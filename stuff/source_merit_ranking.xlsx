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ec75e654234b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nked sources" sheetId="1" r:id="Ref63564245e24786"/>
    <x:sheet xmlns:r="http://schemas.openxmlformats.org/officeDocument/2006/relationships" name="Method" sheetId="2" r:id="Rfcb8c45104db4d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EDEDED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/>
    </x:xf>
    <x:xf numFmtId="0" fontId="0" fillId="0" borderId="1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horizontal="center" vertical="top" wrapText="1"/>
    </x:xf>
    <x:xf numFmtId="200" fontId="0" fillId="0" borderId="1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</x:font>
      <x:fill>
        <x:patternFill patternType="solid">
          <x:bgColor rgb="FFDDEEDD"/>
        </x:patternFill>
      </x:fill>
    </x:dxf>
    <x:dxf>
      <x:fill>
        <x:patternFill patternType="solid">
          <x:bgColor rgb="FFE9F2E9"/>
        </x:patternFill>
      </x:fill>
    </x:dxf>
    <x:dxf>
      <x:fill>
        <x:patternFill patternType="solid">
          <x:bgColor rgb="FFF7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8f918318e04bb7" /><Relationship Type="http://schemas.openxmlformats.org/officeDocument/2006/relationships/theme" Target="/xl/theme/theme1.xml" Id="Rd2987d2bf7fe403c" /><Relationship Type="http://schemas.openxmlformats.org/officeDocument/2006/relationships/sharedStrings" Target="/xl/sharedStrings.xml" Id="Rbda8c8d0f1414108" /><Relationship Type="http://schemas.openxmlformats.org/officeDocument/2006/relationships/worksheet" Target="/xl/worksheets/sheet1.xml" Id="Ref63564245e24786" /><Relationship Type="http://schemas.openxmlformats.org/officeDocument/2006/relationships/worksheet" Target="/xl/worksheets/sheet2.xml" Id="Rfcb8c45104db4d07" /></Relationships>
</file>

<file path=xl/tables/table1.xml><?xml version="1.0" encoding="utf-8"?>
<x:table xmlns:x="http://schemas.openxmlformats.org/spreadsheetml/2006/main" id="1" name="SourceMeritTable" displayName="SourceMeritTable" ref="A1:T256" headerRowCount="1" totalsRowCount="0" totalsRowShown="0">
  <x:tableColumns count="20">
    <x:tableColumn id="1" name="Rank"/>
    <x:tableColumn id="2" name="Merit score"/>
    <x:tableColumn id="3" name="Merit band"/>
    <x:tableColumn id="4" name="Publication / report"/>
    <x:tableColumn id="5" name="Date"/>
    <x:tableColumn id="6" name="Strand"/>
    <x:tableColumn id="7" name="Journal / outlet"/>
    <x:tableColumn id="8" name="Institution behind report / source"/>
    <x:tableColumn id="9" name="Who wrote it"/>
    <x:tableColumn id="10" name="Quality / reputation"/>
    <x:tableColumn id="11" name="Relevance to EU R&amp;I geopolitics"/>
    <x:tableColumn id="12" name="Relevance level"/>
    <x:tableColumn id="13" name="Evidence type"/>
    <x:tableColumn id="14" name="Scanner source tier"/>
    <x:tableColumn id="15" name="Source link"/>
    <x:tableColumn id="16" name="Reputation reference"/>
    <x:tableColumn id="17" name="Authority pts"/>
    <x:tableColumn id="18" name="Relevance pts"/>
    <x:tableColumn id="19" name="Evidence pts"/>
    <x:tableColumn id="20" name="Author transparency p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cfe163cdc44407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1" hidden="0" customWidth="1"/>
    <x:col min="3" max="3" width="23" hidden="0" customWidth="1"/>
    <x:col min="4" max="4" width="48" hidden="0" customWidth="1"/>
    <x:col min="5" max="5" width="12" hidden="0" customWidth="1"/>
    <x:col min="6" max="6" width="8" hidden="0" customWidth="1"/>
    <x:col min="7" max="7" width="29" hidden="0" customWidth="1"/>
    <x:col min="8" max="8" width="34" hidden="0" customWidth="1"/>
    <x:col min="9" max="9" width="31" hidden="0" customWidth="1"/>
    <x:col min="10" max="10" width="40" hidden="0" customWidth="1"/>
    <x:col min="11" max="11" width="43" hidden="0" customWidth="1"/>
    <x:col min="12" max="12" width="31" hidden="0" customWidth="1"/>
    <x:col min="13" max="13" width="27" hidden="0" customWidth="1"/>
    <x:col min="14" max="14" width="20" hidden="0" customWidth="1"/>
    <x:col min="15" max="15" width="44" hidden="0" customWidth="1"/>
    <x:col min="16" max="16" width="40" hidden="0" customWidth="1"/>
    <x:col min="17" max="17" width="11" hidden="0" customWidth="1"/>
    <x:col min="18" max="18" width="12" hidden="0" customWidth="1"/>
    <x:col min="19" max="19" width="11" hidden="0" customWidth="1"/>
    <x:col min="20" max="20" width="17" hidden="0" customWidth="1"/>
  </x:cols>
  <x:sheetData>
    <x:row r="1" ht="34" customHeight="1">
      <x:c r="A1" s="6" t="str">
        <x:v>Rank</x:v>
      </x:c>
      <x:c r="B1" s="6" t="str">
        <x:v>Merit score</x:v>
      </x:c>
      <x:c r="C1" s="6" t="str">
        <x:v>Merit band</x:v>
      </x:c>
      <x:c r="D1" s="6" t="str">
        <x:v>Publication / report</x:v>
      </x:c>
      <x:c r="E1" s="6" t="str">
        <x:v>Date</x:v>
      </x:c>
      <x:c r="F1" s="6" t="str">
        <x:v>Strand</x:v>
      </x:c>
      <x:c r="G1" s="6" t="str">
        <x:v>Journal / outlet</x:v>
      </x:c>
      <x:c r="H1" s="6" t="str">
        <x:v>Institution behind report / source</x:v>
      </x:c>
      <x:c r="I1" s="6" t="str">
        <x:v>Who wrote it</x:v>
      </x:c>
      <x:c r="J1" s="6" t="str">
        <x:v>Quality / reputation</x:v>
      </x:c>
      <x:c r="K1" s="6" t="str">
        <x:v>Relevance to EU R&amp;I geopolitics</x:v>
      </x:c>
      <x:c r="L1" s="6" t="str">
        <x:v>Relevance level</x:v>
      </x:c>
      <x:c r="M1" s="6" t="str">
        <x:v>Evidence type</x:v>
      </x:c>
      <x:c r="N1" s="6" t="str">
        <x:v>Scanner source tier</x:v>
      </x:c>
      <x:c r="O1" s="6" t="str">
        <x:v>Source link</x:v>
      </x:c>
      <x:c r="P1" s="6" t="str">
        <x:v>Reputation reference</x:v>
      </x:c>
      <x:c r="Q1" s="6" t="str">
        <x:v>Authority pts</x:v>
      </x:c>
      <x:c r="R1" s="6" t="str">
        <x:v>Relevance pts</x:v>
      </x:c>
      <x:c r="S1" s="6" t="str">
        <x:v>Evidence pts</x:v>
      </x:c>
      <x:c r="T1" s="6" t="str">
        <x:v>Author transparency pts</x:v>
      </x:c>
    </x:row>
    <x:row r="2" ht="48" customHeight="1">
      <x:c r="A2" s="16" t="n">
        <x:f>ROW()-1</x:f>
        <x:v>1</x:v>
      </x:c>
      <x:c r="B2" s="16" t="n">
        <x:f>SUM(Q2:T2)</x:f>
        <x:v>100</x:v>
      </x:c>
      <x:c r="C2" s="17" t="str">
        <x:f>IF(B2&gt;=93,"A — Highest authority",IF(B2&gt;=85,"B — Very strong",IF(B2&gt;=75,"C — Strong",IF(B2&gt;=65,"D — Useful with context","E — Supporting / lower weight"))))</x:f>
        <x:v>A — Highest authority</x:v>
      </x:c>
      <x:c r="D2" s="14" t="str">
        <x:v>Europe’s venture capital gap and the financing of high-growth firms</x:v>
      </x:c>
      <x:c r="E2" s="20" t="n">
        <x:v>46238</x:v>
      </x:c>
      <x:c r="F2" s="17" t="str">
        <x:v>A</x:v>
      </x:c>
      <x:c r="G2" s="14" t="str"/>
      <x:c r="H2" s="14" t="str">
        <x:v>European Central Bank</x:v>
      </x:c>
      <x:c r="I2" s="14" t="str">
        <x:v>Adam Baumann; Zakaria Gati; Francesca Vinci; Gerome Wolf</x:v>
      </x:c>
      <x:c r="J2" s="14" t="str">
        <x:v>EU official / EU body. Highest for this radar: primary EU institution, agency or programme source.</x:v>
      </x:c>
      <x:c r="K2" s="14" t="str">
        <x:v>Directly concerns Europe/EU and research, technology, innovation, funding or science policy.</x:v>
      </x:c>
      <x:c r="L2" s="14" t="str">
        <x:v>Direct EU relevance</x:v>
      </x:c>
      <x:c r="M2" s="14" t="str">
        <x:v>Primary/official source</x:v>
      </x:c>
      <x:c r="N2" s="14" t="str">
        <x:v>Tier 1</x:v>
      </x:c>
      <x:c r="O2" s="14" t="str">
        <x:v>https://www.ecb.europa.eu/press/economic-bulletin/focus/2026/html/ecb.ebbox202605_01~4453cc2a34.en.html</x:v>
      </x:c>
      <x:c r="P2" s="14" t="str"/>
      <x:c r="Q2" s="16" t="n">
        <x:v>55</x:v>
      </x:c>
      <x:c r="R2" s="16" t="n">
        <x:v>25</x:v>
      </x:c>
      <x:c r="S2" s="16" t="n">
        <x:v>15</x:v>
      </x:c>
      <x:c r="T2" s="16" t="n">
        <x:v>5</x:v>
      </x:c>
    </x:row>
    <x:row r="3" ht="48" customHeight="1">
      <x:c r="A3" s="16" t="n">
        <x:f>ROW()-1</x:f>
        <x:v>2</x:v>
      </x:c>
      <x:c r="B3" s="16" t="n">
        <x:f>SUM(Q3:T3)</x:f>
        <x:v>100</x:v>
      </x:c>
      <x:c r="C3" s="17" t="str">
        <x:f>IF(B3&gt;=93,"A — Highest authority",IF(B3&gt;=85,"B — Very strong",IF(B3&gt;=75,"C — Strong",IF(B3&gt;=65,"D — Useful with context","E — Supporting / lower weight"))))</x:f>
        <x:v>A — Highest authority</x:v>
      </x:c>
      <x:c r="D3" s="14" t="str">
        <x:v>Autonomy through partnerships: Charting the EU's global digital engagement</x:v>
      </x:c>
      <x:c r="E3" s="20" t="n">
        <x:v>46230</x:v>
      </x:c>
      <x:c r="F3" s="17" t="str">
        <x:v>A</x:v>
      </x:c>
      <x:c r="G3" s="14" t="str"/>
      <x:c r="H3" s="14" t="str">
        <x:v>EUISS</x:v>
      </x:c>
      <x:c r="I3" s="14" t="str">
        <x:v>EUISS</x:v>
      </x:c>
      <x:c r="J3" s="14" t="str">
        <x:v>EU official / EU body. Highest for this radar: primary EU institution, agency or programme source.</x:v>
      </x:c>
      <x:c r="K3" s="14" t="str">
        <x:v>Directly concerns Europe/EU and research, technology, innovation, funding or science policy.</x:v>
      </x:c>
      <x:c r="L3" s="14" t="str">
        <x:v>Direct EU relevance</x:v>
      </x:c>
      <x:c r="M3" s="14" t="str">
        <x:v>Primary/official source</x:v>
      </x:c>
      <x:c r="N3" s="14" t="str">
        <x:v>Tier 1</x:v>
      </x:c>
      <x:c r="O3" s="14" t="str">
        <x:v>https://www.iss.europa.eu/sites/default/files/2026-07/2026-07%20Autonomy%20through%20partnerships.pdf</x:v>
      </x:c>
      <x:c r="P3" s="14" t="str"/>
      <x:c r="Q3" s="16" t="n">
        <x:v>55</x:v>
      </x:c>
      <x:c r="R3" s="16" t="n">
        <x:v>25</x:v>
      </x:c>
      <x:c r="S3" s="16" t="n">
        <x:v>15</x:v>
      </x:c>
      <x:c r="T3" s="16" t="n">
        <x:v>5</x:v>
      </x:c>
    </x:row>
    <x:row r="4" ht="48" customHeight="1">
      <x:c r="A4" s="16" t="n">
        <x:f>ROW()-1</x:f>
        <x:v>3</x:v>
      </x:c>
      <x:c r="B4" s="16" t="n">
        <x:f>SUM(Q4:T4)</x:f>
        <x:v>100</x:v>
      </x:c>
      <x:c r="C4" s="17" t="str">
        <x:f>IF(B4&gt;=93,"A — Highest authority",IF(B4&gt;=85,"B — Very strong",IF(B4&gt;=75,"C — Strong",IF(B4&gt;=65,"D — Useful with context","E — Supporting / lower weight"))))</x:f>
        <x:v>A — Highest authority</x:v>
      </x:c>
      <x:c r="D4" s="14" t="str">
        <x:v>2025 EFSA Annual Report Emerging Risks and Horizon Scanning Activities</x:v>
      </x:c>
      <x:c r="E4" s="20" t="n">
        <x:v>46204</x:v>
      </x:c>
      <x:c r="F4" s="17" t="str">
        <x:v>A</x:v>
      </x:c>
      <x:c r="G4" s="14" t="str">
        <x:v>EFSA Supporting Publications</x:v>
      </x:c>
      <x:c r="H4" s="14" t="str">
        <x:v>European Food Safety Authority (EFSA)</x:v>
      </x:c>
      <x:c r="I4" s="14" t="str">
        <x:v>Milen Georgiev, Georgi Chobanov, Raquel Garcia Matas, Georgia Gkrintzali, Angelo Maggiore, Carlos Gonçalo das Neves, Sara Tramontini, et al.</x:v>
      </x:c>
      <x:c r="J4" s="14" t="str">
        <x:v>EU official / EU body. Highest for this radar: primary EU institution, agency or programme source.</x:v>
      </x:c>
      <x:c r="K4" s="14" t="str">
        <x:v>Directly concerns Europe/EU and research, technology, innovation, funding or science policy.</x:v>
      </x:c>
      <x:c r="L4" s="14" t="str">
        <x:v>Direct EU relevance</x:v>
      </x:c>
      <x:c r="M4" s="14" t="str">
        <x:v>Primary/official source</x:v>
      </x:c>
      <x:c r="N4" s="14" t="str">
        <x:v>Tier 2 broad journal</x:v>
      </x:c>
      <x:c r="O4" s="14" t="str">
        <x:v>https://doi.org/10.2903/sp.efsa.2026.en-10262</x:v>
      </x:c>
      <x:c r="P4" s="14" t="str"/>
      <x:c r="Q4" s="16" t="n">
        <x:v>55</x:v>
      </x:c>
      <x:c r="R4" s="16" t="n">
        <x:v>25</x:v>
      </x:c>
      <x:c r="S4" s="16" t="n">
        <x:v>15</x:v>
      </x:c>
      <x:c r="T4" s="16" t="n">
        <x:v>5</x:v>
      </x:c>
    </x:row>
    <x:row r="5" ht="48" customHeight="1">
      <x:c r="A5" s="16" t="n">
        <x:f>ROW()-1</x:f>
        <x:v>4</x:v>
      </x:c>
      <x:c r="B5" s="16" t="n">
        <x:f>SUM(Q5:T5)</x:f>
        <x:v>100</x:v>
      </x:c>
      <x:c r="C5" s="17" t="str">
        <x:f>IF(B5&gt;=93,"A — Highest authority",IF(B5&gt;=85,"B — Very strong",IF(B5&gt;=75,"C — Strong",IF(B5&gt;=65,"D — Useful with context","E — Supporting / lower weight"))))</x:f>
        <x:v>A — Highest authority</x:v>
      </x:c>
      <x:c r="D5" s="14" t="str">
        <x:v>Beijing’s critical raw material weapon – and how to dismantle it</x:v>
      </x:c>
      <x:c r="E5" s="20" t="n">
        <x:v>46176</x:v>
      </x:c>
      <x:c r="F5" s="17" t="str">
        <x:v>A</x:v>
      </x:c>
      <x:c r="G5" s="14" t="str"/>
      <x:c r="H5" s="14" t="str">
        <x:v>European Union Institute for Security Studies (EUISS)</x:v>
      </x:c>
      <x:c r="I5" s="14" t="str">
        <x:v>Joris Teer</x:v>
      </x:c>
      <x:c r="J5" s="14" t="str">
        <x:v>EU official / EU body. Highest for this radar: primary EU institution, agency or programme source.</x:v>
      </x:c>
      <x:c r="K5" s="14" t="str">
        <x:v>Directly concerns Europe/EU and research, technology, innovation, funding or science policy.</x:v>
      </x:c>
      <x:c r="L5" s="14" t="str">
        <x:v>Direct EU relevance</x:v>
      </x:c>
      <x:c r="M5" s="14" t="str">
        <x:v>Primary/official source</x:v>
      </x:c>
      <x:c r="N5" s="14" t="str">
        <x:v>Tier 1</x:v>
      </x:c>
      <x:c r="O5" s="14" t="str">
        <x:v>https://op.europa.eu/en/publication-detail/-/publication/8c81d298-6560-11f1-9b18-01aa75ed71a1/language-en</x:v>
      </x:c>
      <x:c r="P5" s="14" t="str"/>
      <x:c r="Q5" s="16" t="n">
        <x:v>55</x:v>
      </x:c>
      <x:c r="R5" s="16" t="n">
        <x:v>25</x:v>
      </x:c>
      <x:c r="S5" s="16" t="n">
        <x:v>15</x:v>
      </x:c>
      <x:c r="T5" s="16" t="n">
        <x:v>5</x:v>
      </x:c>
    </x:row>
    <x:row r="6" ht="48" customHeight="1">
      <x:c r="A6" s="16" t="n">
        <x:f>ROW()-1</x:f>
        <x:v>5</x:v>
      </x:c>
      <x:c r="B6" s="16" t="n">
        <x:f>SUM(Q6:T6)</x:f>
        <x:v>100</x:v>
      </x:c>
      <x:c r="C6" s="17" t="str">
        <x:f>IF(B6&gt;=93,"A — Highest authority",IF(B6&gt;=85,"B — Very strong",IF(B6&gt;=75,"C — Strong",IF(B6&gt;=65,"D — Useful with context","E — Supporting / lower weight"))))</x:f>
        <x:v>A — Highest authority</x:v>
      </x:c>
      <x:c r="D6" s="14" t="str">
        <x:v>Exploring the investor landscape for venture capital</x:v>
      </x:c>
      <x:c r="E6" s="20" t="n">
        <x:v>46149</x:v>
      </x:c>
      <x:c r="F6" s="17" t="str">
        <x:v>A</x:v>
      </x:c>
      <x:c r="G6" s="14" t="str"/>
      <x:c r="H6" s="14" t="str">
        <x:v>European Central Bank</x:v>
      </x:c>
      <x:c r="I6" s="14" t="str">
        <x:v>Elena Banu; Tanja Derin; Johanne Evrard; Claudia Lambert; Daniel Legran; Wagner Eduardo Schuster</x:v>
      </x:c>
      <x:c r="J6" s="14" t="str">
        <x:v>EU official / EU body. Highest for this radar: primary EU institution, agency or programme source.</x:v>
      </x:c>
      <x:c r="K6" s="14" t="str">
        <x:v>Directly concerns Europe/EU and research, technology, innovation, funding or science policy.</x:v>
      </x:c>
      <x:c r="L6" s="14" t="str">
        <x:v>Direct EU relevance</x:v>
      </x:c>
      <x:c r="M6" s="14" t="str">
        <x:v>Primary/official source</x:v>
      </x:c>
      <x:c r="N6" s="14" t="str">
        <x:v>Tier 1</x:v>
      </x:c>
      <x:c r="O6" s="14" t="str">
        <x:v>https://www.ecb.europa.eu/press/fie/box/html/ecb.fiebox202605_04.en.html</x:v>
      </x:c>
      <x:c r="P6" s="14" t="str"/>
      <x:c r="Q6" s="16" t="n">
        <x:v>55</x:v>
      </x:c>
      <x:c r="R6" s="16" t="n">
        <x:v>25</x:v>
      </x:c>
      <x:c r="S6" s="16" t="n">
        <x:v>15</x:v>
      </x:c>
      <x:c r="T6" s="16" t="n">
        <x:v>5</x:v>
      </x:c>
    </x:row>
    <x:row r="7" ht="48" customHeight="1">
      <x:c r="A7" s="16" t="n">
        <x:f>ROW()-1</x:f>
        <x:v>6</x:v>
      </x:c>
      <x:c r="B7" s="16" t="n">
        <x:f>SUM(Q7:T7)</x:f>
        <x:v>99</x:v>
      </x:c>
      <x:c r="C7" s="17" t="str">
        <x:f>IF(B7&gt;=93,"A — Highest authority",IF(B7&gt;=85,"B — Very strong",IF(B7&gt;=75,"C — Strong",IF(B7&gt;=65,"D — Useful with context","E — Supporting / lower weight"))))</x:f>
        <x:v>A — Highest authority</x:v>
      </x:c>
      <x:c r="D7" s="14" t="str">
        <x:v>European Commission updates EIC Fund Investment Guidelines for the EIC Accelerator and STEP Scaleup</x:v>
      </x:c>
      <x:c r="E7" s="20" t="n">
        <x:v>46261</x:v>
      </x:c>
      <x:c r="F7" s="17" t="str">
        <x:v>A</x:v>
      </x:c>
      <x:c r="G7" s="14" t="str"/>
      <x:c r="H7" s="14" t="str">
        <x:v>European Innovation Council</x:v>
      </x:c>
      <x:c r="I7" s="14" t="str">
        <x:v>European Innovation Council and SMEs Executive Agency</x:v>
      </x:c>
      <x:c r="J7" s="14" t="str">
        <x:v>EU official / EU body. Highest for this radar: primary EU institution, agency or programme source.</x:v>
      </x:c>
      <x:c r="K7" s="14" t="str">
        <x:v>Directly concerns Europe/EU and research, technology, innovation, funding or science policy.</x:v>
      </x:c>
      <x:c r="L7" s="14" t="str">
        <x:v>Direct EU relevance</x:v>
      </x:c>
      <x:c r="M7" s="14" t="str">
        <x:v>Primary/official source</x:v>
      </x:c>
      <x:c r="N7" s="14" t="str">
        <x:v>Tier 1</x:v>
      </x:c>
      <x:c r="O7" s="14" t="str">
        <x:v>https://eic.ec.europa.eu/document/download/6df458e7-fa47-4ace-93fa-86099606bdb0_en?filename=EIC_Fund_Investment_2026_guidelines_f.pdf</x:v>
      </x:c>
      <x:c r="P7" s="14" t="str"/>
      <x:c r="Q7" s="16" t="n">
        <x:v>55</x:v>
      </x:c>
      <x:c r="R7" s="16" t="n">
        <x:v>25</x:v>
      </x:c>
      <x:c r="S7" s="16" t="n">
        <x:v>15</x:v>
      </x:c>
      <x:c r="T7" s="16" t="n">
        <x:v>4</x:v>
      </x:c>
    </x:row>
    <x:row r="8" ht="48" customHeight="1">
      <x:c r="A8" s="16" t="n">
        <x:f>ROW()-1</x:f>
        <x:v>7</x:v>
      </x:c>
      <x:c r="B8" s="16" t="n">
        <x:f>SUM(Q8:T8)</x:f>
        <x:v>99</x:v>
      </x:c>
      <x:c r="C8" s="17" t="str">
        <x:f>IF(B8&gt;=93,"A — Highest authority",IF(B8&gt;=85,"B — Very strong",IF(B8&gt;=75,"C — Strong",IF(B8&gt;=65,"D — Useful with context","E — Supporting / lower weight"))))</x:f>
        <x:v>A — Highest authority</x:v>
      </x:c>
      <x:c r="D8" s="14" t="str">
        <x:v>Programme for agile and rapid defence innovation: Council and Parliament reach political agreement</x:v>
      </x:c>
      <x:c r="E8" s="20" t="n">
        <x:v>46218</x:v>
      </x:c>
      <x:c r="F8" s="17" t="str">
        <x:v>A</x:v>
      </x:c>
      <x:c r="G8" s="14" t="str"/>
      <x:c r="H8" s="14" t="str">
        <x:v>Council of the European Union</x:v>
      </x:c>
      <x:c r="I8" s="14" t="str">
        <x:v>Council of the EU / European Parliament</x:v>
      </x:c>
      <x:c r="J8" s="14" t="str">
        <x:v>EU official / EU body. Highest for this radar: primary EU institution, agency or programme source.</x:v>
      </x:c>
      <x:c r="K8" s="14" t="str">
        <x:v>Directly concerns Europe/EU and research, technology, innovation, funding or science policy.</x:v>
      </x:c>
      <x:c r="L8" s="14" t="str">
        <x:v>Direct EU relevance</x:v>
      </x:c>
      <x:c r="M8" s="14" t="str">
        <x:v>Primary/official source</x:v>
      </x:c>
      <x:c r="N8" s="14" t="str">
        <x:v>Tier 1</x:v>
      </x:c>
      <x:c r="O8" s="14" t="str">
        <x:v>https://www.consilium.europa.eu/en/press/press-releases/2026/07/15/programme-for-agile-and-rapid-defence-innovation-council-and-parliament-reach-political-agreement/</x:v>
      </x:c>
      <x:c r="P8" s="14" t="str"/>
      <x:c r="Q8" s="16" t="n">
        <x:v>55</x:v>
      </x:c>
      <x:c r="R8" s="16" t="n">
        <x:v>25</x:v>
      </x:c>
      <x:c r="S8" s="16" t="n">
        <x:v>15</x:v>
      </x:c>
      <x:c r="T8" s="16" t="n">
        <x:v>4</x:v>
      </x:c>
    </x:row>
    <x:row r="9" ht="48" customHeight="1">
      <x:c r="A9" s="16" t="n">
        <x:f>ROW()-1</x:f>
        <x:v>8</x:v>
      </x:c>
      <x:c r="B9" s="16" t="n">
        <x:f>SUM(Q9:T9)</x:f>
        <x:v>99</x:v>
      </x:c>
      <x:c r="C9" s="17" t="str">
        <x:f>IF(B9&gt;=93,"A — Highest authority",IF(B9&gt;=85,"B — Very strong",IF(B9&gt;=75,"C — Strong",IF(B9&gt;=65,"D — Useful with context","E — Supporting / lower weight"))))</x:f>
        <x:v>A — Highest authority</x:v>
      </x:c>
      <x:c r="D9" s="14" t="str">
        <x:v>Europe launches €80 billion investment alliance to scale up tech leaders</x:v>
      </x:c>
      <x:c r="E9" s="20" t="n">
        <x:v>46213</x:v>
      </x:c>
      <x:c r="F9" s="17" t="str">
        <x:v>A</x:v>
      </x:c>
      <x:c r="G9" s="14" t="str"/>
      <x:c r="H9" s="14" t="str">
        <x:v>European Investment Bank</x:v>
      </x:c>
      <x:c r="I9" s="14" t="str">
        <x:v>European Investment Bank</x:v>
      </x:c>
      <x:c r="J9" s="14" t="str">
        <x:v>EU official / EU body. Highest for this radar: primary EU institution, agency or programme source.</x:v>
      </x:c>
      <x:c r="K9" s="14" t="str">
        <x:v>Directly concerns Europe/EU and research, technology, innovation, funding or science policy.</x:v>
      </x:c>
      <x:c r="L9" s="14" t="str">
        <x:v>Direct EU relevance</x:v>
      </x:c>
      <x:c r="M9" s="14" t="str">
        <x:v>Primary/official source</x:v>
      </x:c>
      <x:c r="N9" s="14" t="str">
        <x:v>Tier 1</x:v>
      </x:c>
      <x:c r="O9" s="14" t="str">
        <x:v>https://www.eib.org/en/press/all/2026-244-europe-launches-eur80-billion-investment-alliance-to-scale-up-tech-leaders</x:v>
      </x:c>
      <x:c r="P9" s="14" t="str"/>
      <x:c r="Q9" s="16" t="n">
        <x:v>55</x:v>
      </x:c>
      <x:c r="R9" s="16" t="n">
        <x:v>25</x:v>
      </x:c>
      <x:c r="S9" s="16" t="n">
        <x:v>15</x:v>
      </x:c>
      <x:c r="T9" s="16" t="n">
        <x:v>4</x:v>
      </x:c>
    </x:row>
    <x:row r="10" ht="48" customHeight="1">
      <x:c r="A10" s="16" t="n">
        <x:f>ROW()-1</x:f>
        <x:v>9</x:v>
      </x:c>
      <x:c r="B10" s="16" t="n">
        <x:f>SUM(Q10:T10)</x:f>
        <x:v>99</x:v>
      </x:c>
      <x:c r="C10" s="17" t="str">
        <x:f>IF(B10&gt;=93,"A — Highest authority",IF(B10&gt;=85,"B — Very strong",IF(B10&gt;=75,"C — Strong",IF(B10&gt;=65,"D — Useful with context","E — Supporting / lower weight"))))</x:f>
        <x:v>A — Highest authority</x:v>
      </x:c>
      <x:c r="D10" s="14" t="str">
        <x:v>The European Innovation Council opens to defence and dual-use technologies — amended EIC Work Programme 2026</x:v>
      </x:c>
      <x:c r="E10" s="20" t="n">
        <x:v>46190</x:v>
      </x:c>
      <x:c r="F10" s="17" t="str">
        <x:v>A</x:v>
      </x:c>
      <x:c r="G10" s="14" t="str"/>
      <x:c r="H10" s="14" t="str">
        <x:v>European Innovation Council / European Commission</x:v>
      </x:c>
      <x:c r="I10" s="14" t="str">
        <x:v>European Innovation Council</x:v>
      </x:c>
      <x:c r="J10" s="14" t="str">
        <x:v>EU official / EU body. Highest for this radar: primary EU institution, agency or programme source.</x:v>
      </x:c>
      <x:c r="K10" s="14" t="str">
        <x:v>Directly concerns Europe/EU and research, technology, innovation, funding or science policy.</x:v>
      </x:c>
      <x:c r="L10" s="14" t="str">
        <x:v>Direct EU relevance</x:v>
      </x:c>
      <x:c r="M10" s="14" t="str">
        <x:v>Primary/official source</x:v>
      </x:c>
      <x:c r="N10" s="14" t="str">
        <x:v>Tier 1</x:v>
      </x:c>
      <x:c r="O10" s="14" t="str">
        <x:v>https://eic.ec.europa.eu/news/european-innovation-council-opens-defence-and-dual-use-technologies-2026-06-17_en</x:v>
      </x:c>
      <x:c r="P10" s="14" t="str"/>
      <x:c r="Q10" s="16" t="n">
        <x:v>55</x:v>
      </x:c>
      <x:c r="R10" s="16" t="n">
        <x:v>25</x:v>
      </x:c>
      <x:c r="S10" s="16" t="n">
        <x:v>15</x:v>
      </x:c>
      <x:c r="T10" s="16" t="n">
        <x:v>4</x:v>
      </x:c>
    </x:row>
    <x:row r="11" ht="48" customHeight="1">
      <x:c r="A11" s="16" t="n">
        <x:f>ROW()-1</x:f>
        <x:v>10</x:v>
      </x:c>
      <x:c r="B11" s="16" t="n">
        <x:f>SUM(Q11:T11)</x:f>
        <x:v>99</x:v>
      </x:c>
      <x:c r="C11" s="17" t="str">
        <x:f>IF(B11&gt;=93,"A — Highest authority",IF(B11&gt;=85,"B — Very strong",IF(B11&gt;=75,"C — Strong",IF(B11&gt;=65,"D — Useful with context","E — Supporting / lower weight"))))</x:f>
        <x:v>A — Highest authority</x:v>
      </x:c>
      <x:c r="D11" s="14" t="str">
        <x:v>Cloud and AI Development Act — Council working document ST 10104/26</x:v>
      </x:c>
      <x:c r="E11" s="20" t="n">
        <x:v>46177</x:v>
      </x:c>
      <x:c r="F11" s="17" t="str">
        <x:v>A</x:v>
      </x:c>
      <x:c r="G11" s="14" t="str"/>
      <x:c r="H11" s="14" t="str">
        <x:v>Council of the European Union</x:v>
      </x:c>
      <x:c r="I11" s="14" t="str">
        <x:v>Council of the European Union</x:v>
      </x:c>
      <x:c r="J11" s="14" t="str">
        <x:v>EU official / EU body. Highest for this radar: primary EU institution, agency or programme source.</x:v>
      </x:c>
      <x:c r="K11" s="14" t="str">
        <x:v>Directly concerns Europe/EU and research, technology, innovation, funding or science policy.</x:v>
      </x:c>
      <x:c r="L11" s="14" t="str">
        <x:v>Direct EU relevance</x:v>
      </x:c>
      <x:c r="M11" s="14" t="str">
        <x:v>Primary/official source</x:v>
      </x:c>
      <x:c r="N11" s="14" t="str">
        <x:v>Tier 1</x:v>
      </x:c>
      <x:c r="O11" s="14" t="str">
        <x:v>https://data.consilium.europa.eu/doc/document/ST-10104-2026-INIT/en/pdf</x:v>
      </x:c>
      <x:c r="P11" s="14" t="str"/>
      <x:c r="Q11" s="16" t="n">
        <x:v>55</x:v>
      </x:c>
      <x:c r="R11" s="16" t="n">
        <x:v>25</x:v>
      </x:c>
      <x:c r="S11" s="16" t="n">
        <x:v>15</x:v>
      </x:c>
      <x:c r="T11" s="16" t="n">
        <x:v>4</x:v>
      </x:c>
    </x:row>
    <x:row r="12" ht="48" customHeight="1">
      <x:c r="A12" s="16" t="n">
        <x:f>ROW()-1</x:f>
        <x:v>11</x:v>
      </x:c>
      <x:c r="B12" s="16" t="n">
        <x:f>SUM(Q12:T12)</x:f>
        <x:v>99</x:v>
      </x:c>
      <x:c r="C12" s="17" t="str">
        <x:f>IF(B12&gt;=93,"A — Highest authority",IF(B12&gt;=85,"B — Very strong",IF(B12&gt;=75,"C — Strong",IF(B12&gt;=65,"D — Useful with context","E — Supporting / lower weight"))))</x:f>
        <x:v>A — Highest authority</x:v>
      </x:c>
      <x:c r="D12" s="14" t="str">
        <x:v>Four New EuroHPC JU Calls to Boost Quantum Innovation and Standardisation in Europe</x:v>
      </x:c>
      <x:c r="E12" s="20" t="n">
        <x:v>46175</x:v>
      </x:c>
      <x:c r="F12" s="17" t="str">
        <x:v>A</x:v>
      </x:c>
      <x:c r="G12" s="14" t="str"/>
      <x:c r="H12" s="14" t="str">
        <x:v>EuroHPC Joint Undertaking</x:v>
      </x:c>
      <x:c r="I12" s="14" t="str">
        <x:v>European High-Performance Computing Joint Undertaking</x:v>
      </x:c>
      <x:c r="J12" s="14" t="str">
        <x:v>EU official / EU body. Highest for this radar: primary EU institution, agency or programme source.</x:v>
      </x:c>
      <x:c r="K12" s="14" t="str">
        <x:v>Directly concerns Europe/EU and research, technology, innovation, funding or science policy.</x:v>
      </x:c>
      <x:c r="L12" s="14" t="str">
        <x:v>Direct EU relevance</x:v>
      </x:c>
      <x:c r="M12" s="14" t="str">
        <x:v>Primary/official source</x:v>
      </x:c>
      <x:c r="N12" s="14" t="str">
        <x:v>Tier 1</x:v>
      </x:c>
      <x:c r="O12" s="14" t="str">
        <x:v>https://www.eurohpc-ju.europa.eu/four-new-eurohpc-ju-calls-boost-quantum-innovation-and-standardisation-europe-2026-06-02_en</x:v>
      </x:c>
      <x:c r="P12" s="14" t="str"/>
      <x:c r="Q12" s="16" t="n">
        <x:v>55</x:v>
      </x:c>
      <x:c r="R12" s="16" t="n">
        <x:v>25</x:v>
      </x:c>
      <x:c r="S12" s="16" t="n">
        <x:v>15</x:v>
      </x:c>
      <x:c r="T12" s="16" t="n">
        <x:v>4</x:v>
      </x:c>
    </x:row>
    <x:row r="13" ht="48" customHeight="1">
      <x:c r="A13" s="16" t="n">
        <x:f>ROW()-1</x:f>
        <x:v>12</x:v>
      </x:c>
      <x:c r="B13" s="16" t="n">
        <x:f>SUM(Q13:T13)</x:f>
        <x:v>99</x:v>
      </x:c>
      <x:c r="C13" s="17" t="str">
        <x:f>IF(B13&gt;=93,"A — Highest authority",IF(B13&gt;=85,"B — Very strong",IF(B13&gt;=75,"C — Strong",IF(B13&gt;=65,"D — Useful with context","E — Supporting / lower weight"))))</x:f>
        <x:v>A — Highest authority</x:v>
      </x:c>
      <x:c r="D13" s="14" t="str">
        <x:v>Council Recommendation on a European Union framework for science diplomacy</x:v>
      </x:c>
      <x:c r="E13" s="20" t="n">
        <x:v>46171</x:v>
      </x:c>
      <x:c r="F13" s="17" t="str">
        <x:v>A</x:v>
      </x:c>
      <x:c r="G13" s="14" t="str"/>
      <x:c r="H13" s="14" t="str">
        <x:v>Council of the European Union</x:v>
      </x:c>
      <x:c r="I13" s="14" t="str">
        <x:v>Council of the European Union</x:v>
      </x:c>
      <x:c r="J13" s="14" t="str">
        <x:v>EU official / EU body. Highest for this radar: primary EU institution, agency or programme source.</x:v>
      </x:c>
      <x:c r="K13" s="14" t="str">
        <x:v>Directly concerns Europe/EU and research, technology, innovation, funding or science policy.</x:v>
      </x:c>
      <x:c r="L13" s="14" t="str">
        <x:v>Direct EU relevance</x:v>
      </x:c>
      <x:c r="M13" s="14" t="str">
        <x:v>Primary/official source</x:v>
      </x:c>
      <x:c r="N13" s="14" t="str">
        <x:v>Tier 1</x:v>
      </x:c>
      <x:c r="O13" s="14" t="str">
        <x:v>https://www.consilium.europa.eu/en/press/press-releases/2026/05/29/council-defines-a-new-framework-for-science-diplomacy/</x:v>
      </x:c>
      <x:c r="P13" s="14" t="str"/>
      <x:c r="Q13" s="16" t="n">
        <x:v>55</x:v>
      </x:c>
      <x:c r="R13" s="16" t="n">
        <x:v>25</x:v>
      </x:c>
      <x:c r="S13" s="16" t="n">
        <x:v>15</x:v>
      </x:c>
      <x:c r="T13" s="16" t="n">
        <x:v>4</x:v>
      </x:c>
    </x:row>
    <x:row r="14" ht="48" customHeight="1">
      <x:c r="A14" s="16" t="n">
        <x:f>ROW()-1</x:f>
        <x:v>13</x:v>
      </x:c>
      <x:c r="B14" s="16" t="n">
        <x:f>SUM(Q14:T14)</x:f>
        <x:v>97</x:v>
      </x:c>
      <x:c r="C14" s="17" t="str">
        <x:f>IF(B14&gt;=93,"A — Highest authority",IF(B14&gt;=85,"B — Very strong",IF(B14&gt;=75,"C — Strong",IF(B14&gt;=65,"D — Useful with context","E — Supporting / lower weight"))))</x:f>
        <x:v>A — Highest authority</x:v>
      </x:c>
      <x:c r="D14" s="14" t="str">
        <x:v>GenAI4EU: Funding opportunities to boost Generative AI “made in Europe”</x:v>
      </x:c>
      <x:c r="E14" s="20" t="n">
        <x:v>46295</x:v>
      </x:c>
      <x:c r="F14" s="17" t="str">
        <x:v>C</x:v>
      </x:c>
      <x:c r="G14" s="14" t="str"/>
      <x:c r="H14" s="14" t="str">
        <x:v>European Commission — Digital Strategy</x:v>
      </x:c>
      <x:c r="I14" s="14" t="str">
        <x:v>Not stated in radar metadata</x:v>
      </x:c>
      <x:c r="J14" s="14" t="str">
        <x:v>EU official / EU body. Highest for this radar: primary EU institution, agency or programme source.</x:v>
      </x:c>
      <x:c r="K14" s="14" t="str">
        <x:v>Direct EU policy or programme signal that may affect research, technology, funding or capability.</x:v>
      </x:c>
      <x:c r="L14" s="14" t="str">
        <x:v>Direct EU signal</x:v>
      </x:c>
      <x:c r="M14" s="14" t="str">
        <x:v>Primary/official source</x:v>
      </x:c>
      <x:c r="N14" s="14" t="str">
        <x:v>Not coded</x:v>
      </x:c>
      <x:c r="O14" s="14" t="str">
        <x:v>https://ec.europa.eu/info/funding-tenders/opportunities/docs/2021-2027/digital/wp-call/2025/call-fiche_digital-2025-ai-08_en.pdf</x:v>
      </x:c>
      <x:c r="P14" s="14" t="str"/>
      <x:c r="Q14" s="16" t="n">
        <x:v>55</x:v>
      </x:c>
      <x:c r="R14" s="16" t="n">
        <x:v>25</x:v>
      </x:c>
      <x:c r="S14" s="16" t="n">
        <x:v>15</x:v>
      </x:c>
      <x:c r="T14" s="16" t="n">
        <x:v>2</x:v>
      </x:c>
    </x:row>
    <x:row r="15" ht="48" customHeight="1">
      <x:c r="A15" s="16" t="n">
        <x:f>ROW()-1</x:f>
        <x:v>14</x:v>
      </x:c>
      <x:c r="B15" s="16" t="n">
        <x:f>SUM(Q15:T15)</x:f>
        <x:v>97</x:v>
      </x:c>
      <x:c r="C15" s="17" t="str">
        <x:f>IF(B15&gt;=93,"A — Highest authority",IF(B15&gt;=85,"B — Very strong",IF(B15&gt;=75,"C — Strong",IF(B15&gt;=65,"D — Useful with context","E — Supporting / lower weight"))))</x:f>
        <x:v>A — Highest authority</x:v>
      </x:c>
      <x:c r="D15" s="14" t="str">
        <x:v>EuroCC 3 and CASTIEL 3: Further supporting the existing European network of National Competence Centres for HPC (NCCs)</x:v>
      </x:c>
      <x:c r="E15" s="20" t="n">
        <x:v>46265</x:v>
      </x:c>
      <x:c r="F15" s="17" t="str">
        <x:v>C</x:v>
      </x:c>
      <x:c r="G15" s="14" t="str"/>
      <x:c r="H15" s="14" t="str">
        <x:v>EuroHPC Joint Undertaking</x:v>
      </x:c>
      <x:c r="I15" s="14" t="str">
        <x:v>Not stated in radar metadata</x:v>
      </x:c>
      <x:c r="J15" s="14" t="str">
        <x:v>EU official / EU body. Highest for this radar: primary EU institution, agency or programme source.</x:v>
      </x:c>
      <x:c r="K15" s="14" t="str">
        <x:v>Direct EU policy or programme signal that may affect research, technology, funding or capability.</x:v>
      </x:c>
      <x:c r="L15" s="14" t="str">
        <x:v>Direct EU signal</x:v>
      </x:c>
      <x:c r="M15" s="14" t="str">
        <x:v>Primary/official source</x:v>
      </x:c>
      <x:c r="N15" s="14" t="str">
        <x:v>Not coded</x:v>
      </x:c>
      <x:c r="O15" s="14" t="str">
        <x:v>https://www.eurohpc-ju.europa.eu/eurocc-3-and-castiel-3-further-supporting-existing-european-network-national-competence-centres-hpc-2026-08-31_en</x:v>
      </x:c>
      <x:c r="P15" s="14" t="str"/>
      <x:c r="Q15" s="16" t="n">
        <x:v>55</x:v>
      </x:c>
      <x:c r="R15" s="16" t="n">
        <x:v>25</x:v>
      </x:c>
      <x:c r="S15" s="16" t="n">
        <x:v>15</x:v>
      </x:c>
      <x:c r="T15" s="16" t="n">
        <x:v>2</x:v>
      </x:c>
    </x:row>
    <x:row r="16" ht="48" customHeight="1">
      <x:c r="A16" s="16" t="n">
        <x:f>ROW()-1</x:f>
        <x:v>15</x:v>
      </x:c>
      <x:c r="B16" s="16" t="n">
        <x:f>SUM(Q16:T16)</x:f>
        <x:v>97</x:v>
      </x:c>
      <x:c r="C16" s="17" t="str">
        <x:f>IF(B16&gt;=93,"A — Highest authority",IF(B16&gt;=85,"B — Very strong",IF(B16&gt;=75,"C — Strong",IF(B16&gt;=65,"D — Useful with context","E — Supporting / lower weight"))))</x:f>
        <x:v>A — Highest authority</x:v>
      </x:c>
      <x:c r="D16" s="14" t="str">
        <x:v>ERC Advanced Grants: Nearly €840 million to support Europe’s leading researchers</x:v>
      </x:c>
      <x:c r="E16" s="20" t="n">
        <x:v>46196</x:v>
      </x:c>
      <x:c r="F16" s="17" t="str">
        <x:v>C</x:v>
      </x:c>
      <x:c r="G16" s="14" t="str"/>
      <x:c r="H16" s="14" t="str">
        <x:v>European Research Council</x:v>
      </x:c>
      <x:c r="I16" s="14" t="str">
        <x:v>Not stated in radar metadata</x:v>
      </x:c>
      <x:c r="J16" s="14" t="str">
        <x:v>EU official / EU body. Highest for this radar: primary EU institution, agency or programme source.</x:v>
      </x:c>
      <x:c r="K16" s="14" t="str">
        <x:v>Direct EU policy or programme signal that may affect research, technology, funding or capability.</x:v>
      </x:c>
      <x:c r="L16" s="14" t="str">
        <x:v>Direct EU signal</x:v>
      </x:c>
      <x:c r="M16" s="14" t="str">
        <x:v>Primary/official source</x:v>
      </x:c>
      <x:c r="N16" s="14" t="str">
        <x:v>Not coded</x:v>
      </x:c>
      <x:c r="O16" s="14" t="str">
        <x:v>https://erc.europa.eu/news-events/news/erc-2025-advanced-grants-results</x:v>
      </x:c>
      <x:c r="P16" s="14" t="str"/>
      <x:c r="Q16" s="16" t="n">
        <x:v>55</x:v>
      </x:c>
      <x:c r="R16" s="16" t="n">
        <x:v>25</x:v>
      </x:c>
      <x:c r="S16" s="16" t="n">
        <x:v>15</x:v>
      </x:c>
      <x:c r="T16" s="16" t="n">
        <x:v>2</x:v>
      </x:c>
    </x:row>
    <x:row r="17" ht="48" customHeight="1">
      <x:c r="A17" s="16" t="n">
        <x:f>ROW()-1</x:f>
        <x:v>16</x:v>
      </x:c>
      <x:c r="B17" s="16" t="n">
        <x:f>SUM(Q17:T17)</x:f>
        <x:v>93</x:v>
      </x:c>
      <x:c r="C17" s="17" t="str">
        <x:f>IF(B17&gt;=93,"A — Highest authority",IF(B17&gt;=85,"B — Very strong",IF(B17&gt;=75,"C — Strong",IF(B17&gt;=65,"D — Useful with context","E — Supporting / lower weight"))))</x:f>
        <x:v>A — Highest authority</x:v>
      </x:c>
      <x:c r="D17" s="14" t="str">
        <x:v>Bioeconomy as a driver of innovation capacity in agricultural regions: international experience and adaptation in Russian regions</x:v>
      </x:c>
      <x:c r="E17" s="20" t="n">
        <x:v>46188</x:v>
      </x:c>
      <x:c r="F17" s="17" t="str">
        <x:v>A</x:v>
      </x:c>
      <x:c r="G17" s="14" t="str"/>
      <x:c r="H17" s="14" t="str">
        <x:v>OECD</x:v>
      </x:c>
      <x:c r="I17" s="14" t="str">
        <x:v>A.B. Badmaev, Viktoria Baginova, Sergei Riumkin, Inga Ryumkina, Aleksandr Mangutov</x:v>
      </x:c>
      <x:c r="J17" s="14" t="str">
        <x:v>Major public / multilateral body. Very high policy authority: major public or intergovernmental institution.</x:v>
      </x:c>
      <x:c r="K17" s="14" t="str">
        <x:v>Directly concerns Europe/EU and research, technology, innovation, funding or science policy.</x:v>
      </x:c>
      <x:c r="L17" s="14" t="str">
        <x:v>Direct EU relevance</x:v>
      </x:c>
      <x:c r="M17" s="14" t="str">
        <x:v>Peer-reviewed article</x:v>
      </x:c>
      <x:c r="N17" s="14" t="str">
        <x:v>Tier 1</x:v>
      </x:c>
      <x:c r="O17" s="14" t="str">
        <x:v>https://doi.org/10.55186/25876740_2026_69_3_373</x:v>
      </x:c>
      <x:c r="P17" s="14" t="str">
        <x:v>https://www.oecd.org/en/about.html</x:v>
      </x:c>
      <x:c r="Q17" s="16" t="n">
        <x:v>48</x:v>
      </x:c>
      <x:c r="R17" s="16" t="n">
        <x:v>25</x:v>
      </x:c>
      <x:c r="S17" s="16" t="n">
        <x:v>15</x:v>
      </x:c>
      <x:c r="T17" s="16" t="n">
        <x:v>5</x:v>
      </x:c>
    </x:row>
    <x:row r="18" ht="48" customHeight="1">
      <x:c r="A18" s="16" t="n">
        <x:f>ROW()-1</x:f>
        <x:v>17</x:v>
      </x:c>
      <x:c r="B18" s="16" t="n">
        <x:f>SUM(Q18:T18)</x:f>
        <x:v>92</x:v>
      </x:c>
      <x:c r="C18" s="17" t="str">
        <x:f>IF(B18&gt;=93,"A — Highest authority",IF(B18&gt;=85,"B — Very strong",IF(B18&gt;=75,"C — Strong",IF(B18&gt;=65,"D — Useful with context","E — Supporting / lower weight"))))</x:f>
        <x:v>B — Very strong</x:v>
      </x:c>
      <x:c r="D18" s="14" t="str">
        <x:v>National Knowledge Security Guidelines 2026</x:v>
      </x:c>
      <x:c r="E18" s="20" t="n">
        <x:v>46212</x:v>
      </x:c>
      <x:c r="F18" s="17" t="str">
        <x:v>A</x:v>
      </x:c>
      <x:c r="G18" s="14" t="str"/>
      <x:c r="H18" s="14" t="str">
        <x:v>National Contact Point for Knowledge Security, Government of the Netherlands</x:v>
      </x:c>
      <x:c r="I18" s="14" t="str">
        <x:v>Loket Kennisveiligheid / Government of the Netherlands</x:v>
      </x:c>
      <x:c r="J18" s="14" t="str">
        <x:v>Major public / multilateral body. Very high policy authority: major public or intergovernmental institution.</x:v>
      </x:c>
      <x:c r="K18" s="14" t="str">
        <x:v>Directly concerns Europe/EU and research, technology, innovation, funding or science policy.</x:v>
      </x:c>
      <x:c r="L18" s="14" t="str">
        <x:v>Direct EU relevance</x:v>
      </x:c>
      <x:c r="M18" s="14" t="str">
        <x:v>Manually verified scholarly/policy source</x:v>
      </x:c>
      <x:c r="N18" s="14" t="str">
        <x:v>Tier 1</x:v>
      </x:c>
      <x:c r="O18" s="14" t="str">
        <x:v>https://english.loketkennisveiligheid.nl/documents/2026/7/9/national-knowledge-security-guidelines-2026</x:v>
      </x:c>
      <x:c r="P18" s="14" t="str"/>
      <x:c r="Q18" s="16" t="n">
        <x:v>48</x:v>
      </x:c>
      <x:c r="R18" s="16" t="n">
        <x:v>25</x:v>
      </x:c>
      <x:c r="S18" s="16" t="n">
        <x:v>14</x:v>
      </x:c>
      <x:c r="T18" s="16" t="n">
        <x:v>5</x:v>
      </x:c>
    </x:row>
    <x:row r="19" ht="48" customHeight="1">
      <x:c r="A19" s="16" t="n">
        <x:f>ROW()-1</x:f>
        <x:v>18</x:v>
      </x:c>
      <x:c r="B19" s="16" t="n">
        <x:f>SUM(Q19:T19)</x:f>
        <x:v>92</x:v>
      </x:c>
      <x:c r="C19" s="17" t="str">
        <x:f>IF(B19&gt;=93,"A — Highest authority",IF(B19&gt;=85,"B — Very strong",IF(B19&gt;=75,"C — Strong",IF(B19&gt;=65,"D — Useful with context","E — Supporting / lower weight"))))</x:f>
        <x:v>B — Very strong</x:v>
      </x:c>
      <x:c r="D19" s="14" t="str">
        <x:v>Geopolitics in Science Policy: Dilemmas for the mobilisation of research</x:v>
      </x:c>
      <x:c r="E19" s="20" t="n">
        <x:v>46146</x:v>
      </x:c>
      <x:c r="F19" s="17" t="str">
        <x:v>A</x:v>
      </x:c>
      <x:c r="G19" s="14" t="str"/>
      <x:c r="H19" s="14" t="str">
        <x:v>Rathenau Instituut</x:v>
      </x:c>
      <x:c r="I19" s="14" t="str">
        <x:v>Baar, E.; Eveleens, C.; Baarslag, V.; Deuten, J.</x:v>
      </x:c>
      <x:c r="J19" s="14" t="str">
        <x:v>Major public / multilateral body. Very high policy authority: major public or intergovernmental institution.</x:v>
      </x:c>
      <x:c r="K19" s="14" t="str">
        <x:v>Directly concerns Europe/EU and research, technology, innovation, funding or science policy.</x:v>
      </x:c>
      <x:c r="L19" s="14" t="str">
        <x:v>Direct EU relevance</x:v>
      </x:c>
      <x:c r="M19" s="14" t="str">
        <x:v>Manually verified scholarly/policy source</x:v>
      </x:c>
      <x:c r="N19" s="14" t="str">
        <x:v>Tier 1</x:v>
      </x:c>
      <x:c r="O19" s="14" t="str">
        <x:v>https://www.rathenau.nl/en/knowledge-and-innovation-transitions/challenge-driven-knowledge-and-innovation-policy/geopolitics-science-policy</x:v>
      </x:c>
      <x:c r="P19" s="14" t="str">
        <x:v>https://www.rathenau.nl/en/about-us</x:v>
      </x:c>
      <x:c r="Q19" s="16" t="n">
        <x:v>48</x:v>
      </x:c>
      <x:c r="R19" s="16" t="n">
        <x:v>25</x:v>
      </x:c>
      <x:c r="S19" s="16" t="n">
        <x:v>14</x:v>
      </x:c>
      <x:c r="T19" s="16" t="n">
        <x:v>5</x:v>
      </x:c>
    </x:row>
    <x:row r="20" ht="48" customHeight="1">
      <x:c r="A20" s="16" t="n">
        <x:f>ROW()-1</x:f>
        <x:v>19</x:v>
      </x:c>
      <x:c r="B20" s="16" t="n">
        <x:f>SUM(Q20:T20)</x:f>
        <x:v>91</x:v>
      </x:c>
      <x:c r="C20" s="17" t="str">
        <x:f>IF(B20&gt;=93,"A — Highest authority",IF(B20&gt;=85,"B — Very strong",IF(B20&gt;=75,"C — Strong",IF(B20&gt;=65,"D — Useful with context","E — Supporting / lower weight"))))</x:f>
        <x:v>B — Very strong</x:v>
      </x:c>
      <x:c r="D20" s="14" t="str">
        <x:v>Can science diplomacy help safeguard science as a global public good? Reflections on strategy, data and people</x:v>
      </x:c>
      <x:c r="E20" s="20" t="n">
        <x:v>46246</x:v>
      </x:c>
      <x:c r="F20" s="17" t="str">
        <x:v>A</x:v>
      </x:c>
      <x:c r="G20" s="14" t="str">
        <x:v>Royal Society Open Science</x:v>
      </x:c>
      <x:c r="H20" s="14" t="str"/>
      <x:c r="I20" s="14" t="str">
        <x:v>Angela Liberatore</x:v>
      </x:c>
      <x:c r="J20" s="14" t="str">
        <x:v>Leading peer-reviewed journal. Very high academic standing: established, high-visibility peer-reviewed journal.</x:v>
      </x:c>
      <x:c r="K20" s="14" t="str">
        <x:v>Directly concerns Europe/EU and research, technology, innovation, funding or science policy.</x:v>
      </x:c>
      <x:c r="L20" s="14" t="str">
        <x:v>Direct EU relevance</x:v>
      </x:c>
      <x:c r="M20" s="14" t="str">
        <x:v>Peer-reviewed article</x:v>
      </x:c>
      <x:c r="N20" s="14" t="str">
        <x:v>Tier 2 broad journal</x:v>
      </x:c>
      <x:c r="O20" s="14" t="str">
        <x:v>https://doi.org/10.1098/rsos.260721</x:v>
      </x:c>
      <x:c r="P20" s="14" t="str"/>
      <x:c r="Q20" s="16" t="n">
        <x:v>46</x:v>
      </x:c>
      <x:c r="R20" s="16" t="n">
        <x:v>25</x:v>
      </x:c>
      <x:c r="S20" s="16" t="n">
        <x:v>15</x:v>
      </x:c>
      <x:c r="T20" s="16" t="n">
        <x:v>5</x:v>
      </x:c>
    </x:row>
    <x:row r="21" ht="48" customHeight="1">
      <x:c r="A21" s="16" t="n">
        <x:f>ROW()-1</x:f>
        <x:v>20</x:v>
      </x:c>
      <x:c r="B21" s="16" t="n">
        <x:f>SUM(Q21:T21)</x:f>
        <x:v>91</x:v>
      </x:c>
      <x:c r="C21" s="17" t="str">
        <x:f>IF(B21&gt;=93,"A — Highest authority",IF(B21&gt;=85,"B — Very strong",IF(B21&gt;=75,"C — Strong",IF(B21&gt;=65,"D — Useful with context","E — Supporting / lower weight"))))</x:f>
        <x:v>B — Very strong</x:v>
      </x:c>
      <x:c r="D21" s="14" t="str">
        <x:v>The Neo-Academic Cold War: Political Traumas and Transnational Paranoia</x:v>
      </x:c>
      <x:c r="E21" s="20" t="n">
        <x:v>46244</x:v>
      </x:c>
      <x:c r="F21" s="17" t="str">
        <x:v>A</x:v>
      </x:c>
      <x:c r="G21" s="14" t="str">
        <x:v>Higher Education Policy</x:v>
      </x:c>
      <x:c r="H21" s="14" t="str"/>
      <x:c r="I21" s="14" t="str">
        <x:v>John Aubrey Douglass</x:v>
      </x:c>
      <x:c r="J21" s="14" t="str">
        <x:v>Leading peer-reviewed journal. Very high academic standing: established, high-visibility peer-reviewed journal.</x:v>
      </x:c>
      <x:c r="K21" s="14" t="str">
        <x:v>Directly concerns Europe/EU and research, technology, innovation, funding or science policy.</x:v>
      </x:c>
      <x:c r="L21" s="14" t="str">
        <x:v>Direct EU relevance</x:v>
      </x:c>
      <x:c r="M21" s="14" t="str">
        <x:v>Peer-reviewed article</x:v>
      </x:c>
      <x:c r="N21" s="14" t="str">
        <x:v>Tier 2 broad journal</x:v>
      </x:c>
      <x:c r="O21" s="14" t="str">
        <x:v>https://doi.org/10.1057/s41307-026-00465-z</x:v>
      </x:c>
      <x:c r="P21" s="14" t="str"/>
      <x:c r="Q21" s="16" t="n">
        <x:v>46</x:v>
      </x:c>
      <x:c r="R21" s="16" t="n">
        <x:v>25</x:v>
      </x:c>
      <x:c r="S21" s="16" t="n">
        <x:v>15</x:v>
      </x:c>
      <x:c r="T21" s="16" t="n">
        <x:v>5</x:v>
      </x:c>
    </x:row>
    <x:row r="22" ht="48" customHeight="1">
      <x:c r="A22" s="16" t="n">
        <x:f>ROW()-1</x:f>
        <x:v>21</x:v>
      </x:c>
      <x:c r="B22" s="16" t="n">
        <x:f>SUM(Q22:T22)</x:f>
        <x:v>91</x:v>
      </x:c>
      <x:c r="C22" s="17" t="str">
        <x:f>IF(B22&gt;=93,"A — Highest authority",IF(B22&gt;=85,"B — Very strong",IF(B22&gt;=75,"C — Strong",IF(B22&gt;=65,"D — Useful with context","E — Supporting / lower weight"))))</x:f>
        <x:v>B — Very strong</x:v>
      </x:c>
      <x:c r="D22" s="14" t="str">
        <x:v>China and Limits to the European Union's Geoeconomic Turn</x:v>
      </x:c>
      <x:c r="E22" s="20" t="n">
        <x:v>46209</x:v>
      </x:c>
      <x:c r="F22" s="17" t="str">
        <x:v>A</x:v>
      </x:c>
      <x:c r="G22" s="14" t="str">
        <x:v>JCMS Journal of Common Market Studies</x:v>
      </x:c>
      <x:c r="H22" s="14" t="str"/>
      <x:c r="I22" s="14" t="str">
        <x:v>Alasdair R. Young, Scott A. W. Brown</x:v>
      </x:c>
      <x:c r="J22" s="14" t="str">
        <x:v>Leading peer-reviewed journal. Very high academic standing: established, high-visibility peer-reviewed journal.</x:v>
      </x:c>
      <x:c r="K22" s="14" t="str">
        <x:v>Directly concerns Europe/EU and research, technology, innovation, funding or science policy.</x:v>
      </x:c>
      <x:c r="L22" s="14" t="str">
        <x:v>Direct EU relevance</x:v>
      </x:c>
      <x:c r="M22" s="14" t="str">
        <x:v>Peer-reviewed article</x:v>
      </x:c>
      <x:c r="N22" s="14" t="str">
        <x:v>Tier 2 broad journal</x:v>
      </x:c>
      <x:c r="O22" s="14" t="str">
        <x:v>https://doi.org/10.1111/jcms.70140</x:v>
      </x:c>
      <x:c r="P22" s="14" t="str">
        <x:v>https://onlinelibrary.wiley.com/journal/14685965</x:v>
      </x:c>
      <x:c r="Q22" s="16" t="n">
        <x:v>46</x:v>
      </x:c>
      <x:c r="R22" s="16" t="n">
        <x:v>25</x:v>
      </x:c>
      <x:c r="S22" s="16" t="n">
        <x:v>15</x:v>
      </x:c>
      <x:c r="T22" s="16" t="n">
        <x:v>5</x:v>
      </x:c>
    </x:row>
    <x:row r="23" ht="48" customHeight="1">
      <x:c r="A23" s="16" t="n">
        <x:f>ROW()-1</x:f>
        <x:v>22</x:v>
      </x:c>
      <x:c r="B23" s="16" t="n">
        <x:f>SUM(Q23:T23)</x:f>
        <x:v>91</x:v>
      </x:c>
      <x:c r="C23" s="17" t="str">
        <x:f>IF(B23&gt;=93,"A — Highest authority",IF(B23&gt;=85,"B — Very strong",IF(B23&gt;=75,"C — Strong",IF(B23&gt;=65,"D — Useful with context","E — Supporting / lower weight"))))</x:f>
        <x:v>B — Very strong</x:v>
      </x:c>
      <x:c r="D23" s="14" t="str">
        <x:v>Governing knowledge, shaping Europe: research security in the EU’s geopolitical turn</x:v>
      </x:c>
      <x:c r="E23" s="20" t="n">
        <x:v>46185</x:v>
      </x:c>
      <x:c r="F23" s="17" t="str">
        <x:v>A</x:v>
      </x:c>
      <x:c r="G23" s="14" t="str">
        <x:v>European Security</x:v>
      </x:c>
      <x:c r="H23" s="14" t="str"/>
      <x:c r="I23" s="14" t="str">
        <x:v>Cristina Pinna</x:v>
      </x:c>
      <x:c r="J23" s="14" t="str">
        <x:v>Leading peer-reviewed journal. Very high academic standing: established, high-visibility peer-reviewed journal.</x:v>
      </x:c>
      <x:c r="K23" s="14" t="str">
        <x:v>Directly concerns Europe/EU and research, technology, innovation, funding or science policy.</x:v>
      </x:c>
      <x:c r="L23" s="14" t="str">
        <x:v>Direct EU relevance</x:v>
      </x:c>
      <x:c r="M23" s="14" t="str">
        <x:v>Peer-reviewed article</x:v>
      </x:c>
      <x:c r="N23" s="14" t="str">
        <x:v>Tier 2 comparable</x:v>
      </x:c>
      <x:c r="O23" s="14" t="str">
        <x:v>https://doi.org/10.1080/09662839.2026.2680646</x:v>
      </x:c>
      <x:c r="P23" s="14" t="str">
        <x:v>https://www.tandfonline.com/journals/feus20</x:v>
      </x:c>
      <x:c r="Q23" s="16" t="n">
        <x:v>46</x:v>
      </x:c>
      <x:c r="R23" s="16" t="n">
        <x:v>25</x:v>
      </x:c>
      <x:c r="S23" s="16" t="n">
        <x:v>15</x:v>
      </x:c>
      <x:c r="T23" s="16" t="n">
        <x:v>5</x:v>
      </x:c>
    </x:row>
    <x:row r="24" ht="48" customHeight="1">
      <x:c r="A24" s="16" t="n">
        <x:f>ROW()-1</x:f>
        <x:v>23</x:v>
      </x:c>
      <x:c r="B24" s="16" t="n">
        <x:f>SUM(Q24:T24)</x:f>
        <x:v>91</x:v>
      </x:c>
      <x:c r="C24" s="17" t="str">
        <x:f>IF(B24&gt;=93,"A — Highest authority",IF(B24&gt;=85,"B — Very strong",IF(B24&gt;=75,"C — Strong",IF(B24&gt;=65,"D — Useful with context","E — Supporting / lower weight"))))</x:f>
        <x:v>B — Very strong</x:v>
      </x:c>
      <x:c r="D24" s="14" t="str">
        <x:v>As open as possible? Comparing Scandinavian approaches to research security</x:v>
      </x:c>
      <x:c r="E24" s="20" t="n">
        <x:v>46171</x:v>
      </x:c>
      <x:c r="F24" s="17" t="str">
        <x:v>A</x:v>
      </x:c>
      <x:c r="G24" s="14" t="str">
        <x:v>Science and Public Policy</x:v>
      </x:c>
      <x:c r="H24" s="14" t="str"/>
      <x:c r="I24" s="14" t="str">
        <x:v>Tommy Shih, Stine Haakonsson, Kristin Fjæstad, Hans Jørgen Gåsemyr</x:v>
      </x:c>
      <x:c r="J24" s="14" t="str">
        <x:v>Leading peer-reviewed journal. Very high academic standing: established, high-visibility peer-reviewed journal.</x:v>
      </x:c>
      <x:c r="K24" s="14" t="str">
        <x:v>Directly concerns Europe/EU and research, technology, innovation, funding or science policy.</x:v>
      </x:c>
      <x:c r="L24" s="14" t="str">
        <x:v>Direct EU relevance</x:v>
      </x:c>
      <x:c r="M24" s="14" t="str">
        <x:v>Peer-reviewed article</x:v>
      </x:c>
      <x:c r="N24" s="14" t="str">
        <x:v>Tier 2</x:v>
      </x:c>
      <x:c r="O24" s="14" t="str">
        <x:v>https://doi.org/10.1093/scipol/scag056</x:v>
      </x:c>
      <x:c r="P24" s="14" t="str">
        <x:v>https://academic.oup.com/spp/pages/about</x:v>
      </x:c>
      <x:c r="Q24" s="16" t="n">
        <x:v>46</x:v>
      </x:c>
      <x:c r="R24" s="16" t="n">
        <x:v>25</x:v>
      </x:c>
      <x:c r="S24" s="16" t="n">
        <x:v>15</x:v>
      </x:c>
      <x:c r="T24" s="16" t="n">
        <x:v>5</x:v>
      </x:c>
    </x:row>
    <x:row r="25" ht="48" customHeight="1">
      <x:c r="A25" s="16" t="n">
        <x:f>ROW()-1</x:f>
        <x:v>24</x:v>
      </x:c>
      <x:c r="B25" s="16" t="n">
        <x:f>SUM(Q25:T25)</x:f>
        <x:v>91</x:v>
      </x:c>
      <x:c r="C25" s="17" t="str">
        <x:f>IF(B25&gt;=93,"A — Highest authority",IF(B25&gt;=85,"B — Very strong",IF(B25&gt;=75,"C — Strong",IF(B25&gt;=65,"D — Useful with context","E — Supporting / lower weight"))))</x:f>
        <x:v>B — Very strong</x:v>
      </x:c>
      <x:c r="D25" s="14" t="str">
        <x:v>A self-reliance framework for identifying strategic advanced materials</x:v>
      </x:c>
      <x:c r="E25" s="20" t="n">
        <x:v>46163</x:v>
      </x:c>
      <x:c r="F25" s="17" t="str">
        <x:v>A</x:v>
      </x:c>
      <x:c r="G25" s="14" t="str">
        <x:v>Nature Communications</x:v>
      </x:c>
      <x:c r="H25" s="14" t="str"/>
      <x:c r="I25" s="14" t="str">
        <x:v>Cristina Teixeira, Cian Gabbett, Kevin Synnatschke, Jonathan N. Coleman, Zdeněk Sofer, Manuel J. Mendes, Elvira Fortunato, R Martins, et al.</x:v>
      </x:c>
      <x:c r="J25" s="14" t="str">
        <x:v>Leading peer-reviewed journal. Very high academic standing: established, high-visibility peer-reviewed journal.</x:v>
      </x:c>
      <x:c r="K25" s="14" t="str">
        <x:v>Directly concerns Europe/EU and research, technology, innovation, funding or science policy.</x:v>
      </x:c>
      <x:c r="L25" s="14" t="str">
        <x:v>Direct EU relevance</x:v>
      </x:c>
      <x:c r="M25" s="14" t="str">
        <x:v>Peer-reviewed article</x:v>
      </x:c>
      <x:c r="N25" s="14" t="str">
        <x:v>Tier 2 broad journal</x:v>
      </x:c>
      <x:c r="O25" s="14" t="str">
        <x:v>https://doi.org/10.1038/s41467-026-73294-8</x:v>
      </x:c>
      <x:c r="P25" s="14" t="str">
        <x:v>https://www.nature.com/ncomms/journal-information</x:v>
      </x:c>
      <x:c r="Q25" s="16" t="n">
        <x:v>46</x:v>
      </x:c>
      <x:c r="R25" s="16" t="n">
        <x:v>25</x:v>
      </x:c>
      <x:c r="S25" s="16" t="n">
        <x:v>15</x:v>
      </x:c>
      <x:c r="T25" s="16" t="n">
        <x:v>5</x:v>
      </x:c>
    </x:row>
    <x:row r="26" ht="48" customHeight="1">
      <x:c r="A26" s="16" t="n">
        <x:f>ROW()-1</x:f>
        <x:v>25</x:v>
      </x:c>
      <x:c r="B26" s="16" t="n">
        <x:f>SUM(Q26:T26)</x:f>
        <x:v>91</x:v>
      </x:c>
      <x:c r="C26" s="17" t="str">
        <x:f>IF(B26&gt;=93,"A — Highest authority",IF(B26&gt;=85,"B — Very strong",IF(B26&gt;=75,"C — Strong",IF(B26&gt;=65,"D — Useful with context","E — Supporting / lower weight"))))</x:f>
        <x:v>B — Very strong</x:v>
      </x:c>
      <x:c r="D26" s="14" t="str">
        <x:v>Neoclassical realist research program for the 21st century: From topography and traditions to an abductive practical guide</x:v>
      </x:c>
      <x:c r="E26" s="20" t="n">
        <x:v>46161</x:v>
      </x:c>
      <x:c r="F26" s="17" t="str">
        <x:v>A</x:v>
      </x:c>
      <x:c r="G26" s="14" t="str">
        <x:v>European Journal of International Relations</x:v>
      </x:c>
      <x:c r="H26" s="14" t="str"/>
      <x:c r="I26" s="14" t="str">
        <x:v>Nik Hynek, Michal Šenk</x:v>
      </x:c>
      <x:c r="J26" s="14" t="str">
        <x:v>Leading peer-reviewed journal. Very high academic standing: established, high-visibility peer-reviewed journal.</x:v>
      </x:c>
      <x:c r="K26" s="14" t="str">
        <x:v>Directly concerns Europe/EU and research, technology, innovation, funding or science policy.</x:v>
      </x:c>
      <x:c r="L26" s="14" t="str">
        <x:v>Direct EU relevance</x:v>
      </x:c>
      <x:c r="M26" s="14" t="str">
        <x:v>Peer-reviewed article</x:v>
      </x:c>
      <x:c r="N26" s="14" t="str">
        <x:v>Tier 2 comparable</x:v>
      </x:c>
      <x:c r="O26" s="14" t="str">
        <x:v>https://doi.org/10.1177/13540661261446160</x:v>
      </x:c>
      <x:c r="P26" s="14" t="str">
        <x:v>https://journals.sagepub.com/journal/EJT</x:v>
      </x:c>
      <x:c r="Q26" s="16" t="n">
        <x:v>46</x:v>
      </x:c>
      <x:c r="R26" s="16" t="n">
        <x:v>25</x:v>
      </x:c>
      <x:c r="S26" s="16" t="n">
        <x:v>15</x:v>
      </x:c>
      <x:c r="T26" s="16" t="n">
        <x:v>5</x:v>
      </x:c>
    </x:row>
    <x:row r="27" ht="48" customHeight="1">
      <x:c r="A27" s="16" t="n">
        <x:f>ROW()-1</x:f>
        <x:v>26</x:v>
      </x:c>
      <x:c r="B27" s="16" t="n">
        <x:f>SUM(Q27:T27)</x:f>
        <x:v>91</x:v>
      </x:c>
      <x:c r="C27" s="17" t="str">
        <x:f>IF(B27&gt;=93,"A — Highest authority",IF(B27&gt;=85,"B — Very strong",IF(B27&gt;=75,"C — Strong",IF(B27&gt;=65,"D — Useful with context","E — Supporting / lower weight"))))</x:f>
        <x:v>B — Very strong</x:v>
      </x:c>
      <x:c r="D27" s="14" t="str">
        <x:v>Research funding, science production, and international collaborations: Luxembourg’s maturing national science system</x:v>
      </x:c>
      <x:c r="E27" s="20" t="n">
        <x:v>46156</x:v>
      </x:c>
      <x:c r="F27" s="17" t="str">
        <x:v>A</x:v>
      </x:c>
      <x:c r="G27" s="14" t="str">
        <x:v>Science and Public Policy</x:v>
      </x:c>
      <x:c r="H27" s="14" t="str"/>
      <x:c r="I27" s="14" t="str">
        <x:v>Juan José Moradel-Vásquez, Jennifer Dusdal</x:v>
      </x:c>
      <x:c r="J27" s="14" t="str">
        <x:v>Leading peer-reviewed journal. Very high academic standing: established, high-visibility peer-reviewed journal.</x:v>
      </x:c>
      <x:c r="K27" s="14" t="str">
        <x:v>Directly concerns Europe/EU and research, technology, innovation, funding or science policy.</x:v>
      </x:c>
      <x:c r="L27" s="14" t="str">
        <x:v>Direct EU relevance</x:v>
      </x:c>
      <x:c r="M27" s="14" t="str">
        <x:v>Peer-reviewed article</x:v>
      </x:c>
      <x:c r="N27" s="14" t="str">
        <x:v>Tier 2</x:v>
      </x:c>
      <x:c r="O27" s="14" t="str">
        <x:v>https://doi.org/10.1093/scipol/scag027</x:v>
      </x:c>
      <x:c r="P27" s="14" t="str">
        <x:v>https://academic.oup.com/spp/pages/about</x:v>
      </x:c>
      <x:c r="Q27" s="16" t="n">
        <x:v>46</x:v>
      </x:c>
      <x:c r="R27" s="16" t="n">
        <x:v>25</x:v>
      </x:c>
      <x:c r="S27" s="16" t="n">
        <x:v>15</x:v>
      </x:c>
      <x:c r="T27" s="16" t="n">
        <x:v>5</x:v>
      </x:c>
    </x:row>
    <x:row r="28" ht="48" customHeight="1">
      <x:c r="A28" s="16" t="n">
        <x:f>ROW()-1</x:f>
        <x:v>27</x:v>
      </x:c>
      <x:c r="B28" s="16" t="n">
        <x:f>SUM(Q28:T28)</x:f>
        <x:v>91</x:v>
      </x:c>
      <x:c r="C28" s="17" t="str">
        <x:f>IF(B28&gt;=93,"A — Highest authority",IF(B28&gt;=85,"B — Very strong",IF(B28&gt;=75,"C — Strong",IF(B28&gt;=65,"D — Useful with context","E — Supporting / lower weight"))))</x:f>
        <x:v>B — Very strong</x:v>
      </x:c>
      <x:c r="D28" s="14" t="str">
        <x:v>The new frontier of research competition: perspectives on national AI4S strategies</x:v>
      </x:c>
      <x:c r="E28" s="20" t="n">
        <x:v>46155</x:v>
      </x:c>
      <x:c r="F28" s="17" t="str">
        <x:v>A</x:v>
      </x:c>
      <x:c r="G28" s="14" t="str">
        <x:v>Science and Public Policy</x:v>
      </x:c>
      <x:c r="H28" s="14" t="str"/>
      <x:c r="I28" s="14" t="str">
        <x:v>Yi Ji, Xueyan Zhu</x:v>
      </x:c>
      <x:c r="J28" s="14" t="str">
        <x:v>Leading peer-reviewed journal. Very high academic standing: established, high-visibility peer-reviewed journal.</x:v>
      </x:c>
      <x:c r="K28" s="14" t="str">
        <x:v>Directly concerns Europe/EU and research, technology, innovation, funding or science policy.</x:v>
      </x:c>
      <x:c r="L28" s="14" t="str">
        <x:v>Direct EU relevance</x:v>
      </x:c>
      <x:c r="M28" s="14" t="str">
        <x:v>Peer-reviewed article</x:v>
      </x:c>
      <x:c r="N28" s="14" t="str">
        <x:v>Tier 2</x:v>
      </x:c>
      <x:c r="O28" s="14" t="str">
        <x:v>https://doi.org/10.1093/scipol/scag041</x:v>
      </x:c>
      <x:c r="P28" s="14" t="str">
        <x:v>https://academic.oup.com/spp/pages/about</x:v>
      </x:c>
      <x:c r="Q28" s="16" t="n">
        <x:v>46</x:v>
      </x:c>
      <x:c r="R28" s="16" t="n">
        <x:v>25</x:v>
      </x:c>
      <x:c r="S28" s="16" t="n">
        <x:v>15</x:v>
      </x:c>
      <x:c r="T28" s="16" t="n">
        <x:v>5</x:v>
      </x:c>
    </x:row>
    <x:row r="29" ht="48" customHeight="1">
      <x:c r="A29" s="16" t="n">
        <x:f>ROW()-1</x:f>
        <x:v>28</x:v>
      </x:c>
      <x:c r="B29" s="16" t="n">
        <x:f>SUM(Q29:T29)</x:f>
        <x:v>91</x:v>
      </x:c>
      <x:c r="C29" s="17" t="str">
        <x:f>IF(B29&gt;=93,"A — Highest authority",IF(B29&gt;=85,"B — Very strong",IF(B29&gt;=75,"C — Strong",IF(B29&gt;=65,"D — Useful with context","E — Supporting / lower weight"))))</x:f>
        <x:v>B — Very strong</x:v>
      </x:c>
      <x:c r="D29" s="14" t="str">
        <x:v>Statisticians at the Forefront of Health Technology Assessment: Aligning Regulatory and HTA Evidence Through Transdisciplinary Collaboration</x:v>
      </x:c>
      <x:c r="E29" s="20" t="n">
        <x:v>46148</x:v>
      </x:c>
      <x:c r="F29" s="17" t="str">
        <x:v>A</x:v>
      </x:c>
      <x:c r="G29" s="14" t="str">
        <x:v>Statistics in Biopharmaceutical Research</x:v>
      </x:c>
      <x:c r="H29" s="14" t="str"/>
      <x:c r="I29" s="14" t="str">
        <x:v>Min‐Hua Jen, Zhihong Cai, Haitao Chu, Ursula Becker, Joseph C. Cappelleri, Liang Chen, Orlando Dohring, Y Li, et al.</x:v>
      </x:c>
      <x:c r="J29" s="14" t="str">
        <x:v>Leading peer-reviewed journal. Very high academic standing: established, high-visibility peer-reviewed journal.</x:v>
      </x:c>
      <x:c r="K29" s="14" t="str">
        <x:v>Directly concerns Europe/EU and research, technology, innovation, funding or science policy.</x:v>
      </x:c>
      <x:c r="L29" s="14" t="str">
        <x:v>Direct EU relevance</x:v>
      </x:c>
      <x:c r="M29" s="14" t="str">
        <x:v>Peer-reviewed article</x:v>
      </x:c>
      <x:c r="N29" s="14" t="str">
        <x:v>Tier 2 broad journal</x:v>
      </x:c>
      <x:c r="O29" s="14" t="str">
        <x:v>https://doi.org/10.1080/19466315.2026.2669302</x:v>
      </x:c>
      <x:c r="P29" s="14" t="str"/>
      <x:c r="Q29" s="16" t="n">
        <x:v>46</x:v>
      </x:c>
      <x:c r="R29" s="16" t="n">
        <x:v>25</x:v>
      </x:c>
      <x:c r="S29" s="16" t="n">
        <x:v>15</x:v>
      </x:c>
      <x:c r="T29" s="16" t="n">
        <x:v>5</x:v>
      </x:c>
    </x:row>
    <x:row r="30" ht="48" customHeight="1">
      <x:c r="A30" s="16" t="n">
        <x:f>ROW()-1</x:f>
        <x:v>29</x:v>
      </x:c>
      <x:c r="B30" s="16" t="n">
        <x:f>SUM(Q30:T30)</x:f>
        <x:v>91</x:v>
      </x:c>
      <x:c r="C30" s="17" t="str">
        <x:f>IF(B30&gt;=93,"A — Highest authority",IF(B30&gt;=85,"B — Very strong",IF(B30&gt;=75,"C — Strong",IF(B30&gt;=65,"D — Useful with context","E — Supporting / lower weight"))))</x:f>
        <x:v>B — Very strong</x:v>
      </x:c>
      <x:c r="D30" s="14" t="str">
        <x:v>Democracy and Economic Structural Drivers of Green Supply Chain Management: Evidence From European Economies</x:v>
      </x:c>
      <x:c r="E30" s="20" t="n">
        <x:v>46147</x:v>
      </x:c>
      <x:c r="F30" s="17" t="str">
        <x:v>A</x:v>
      </x:c>
      <x:c r="G30" s="14" t="str">
        <x:v>Sustainable Development</x:v>
      </x:c>
      <x:c r="H30" s="14" t="str"/>
      <x:c r="I30" s="14" t="str">
        <x:v>Yang Chengpu, Evans Opoku‐Mensah</x:v>
      </x:c>
      <x:c r="J30" s="14" t="str">
        <x:v>Leading peer-reviewed journal. Very high academic standing: established, high-visibility peer-reviewed journal.</x:v>
      </x:c>
      <x:c r="K30" s="14" t="str">
        <x:v>Directly concerns Europe/EU and research, technology, innovation, funding or science policy.</x:v>
      </x:c>
      <x:c r="L30" s="14" t="str">
        <x:v>Direct EU relevance</x:v>
      </x:c>
      <x:c r="M30" s="14" t="str">
        <x:v>Peer-reviewed article</x:v>
      </x:c>
      <x:c r="N30" s="14" t="str">
        <x:v>Tier 2 broad journal</x:v>
      </x:c>
      <x:c r="O30" s="14" t="str">
        <x:v>https://doi.org/10.1002/sd.71133</x:v>
      </x:c>
      <x:c r="P30" s="14" t="str"/>
      <x:c r="Q30" s="16" t="n">
        <x:v>46</x:v>
      </x:c>
      <x:c r="R30" s="16" t="n">
        <x:v>25</x:v>
      </x:c>
      <x:c r="S30" s="16" t="n">
        <x:v>15</x:v>
      </x:c>
      <x:c r="T30" s="16" t="n">
        <x:v>5</x:v>
      </x:c>
    </x:row>
    <x:row r="31" ht="48" customHeight="1">
      <x:c r="A31" s="16" t="n">
        <x:f>ROW()-1</x:f>
        <x:v>30</x:v>
      </x:c>
      <x:c r="B31" s="16" t="n">
        <x:f>SUM(Q31:T31)</x:f>
        <x:v>91</x:v>
      </x:c>
      <x:c r="C31" s="17" t="str">
        <x:f>IF(B31&gt;=93,"A — Highest authority",IF(B31&gt;=85,"B — Very strong",IF(B31&gt;=75,"C — Strong",IF(B31&gt;=65,"D — Useful with context","E — Supporting / lower weight"))))</x:f>
        <x:v>B — Very strong</x:v>
      </x:c>
      <x:c r="D31" s="14" t="str">
        <x:v>The European Union’s Approach to Strategic Technology Governance: The Case of AI</x:v>
      </x:c>
      <x:c r="E31" s="20" t="n">
        <x:v>46142</x:v>
      </x:c>
      <x:c r="F31" s="17" t="str">
        <x:v>A</x:v>
      </x:c>
      <x:c r="G31" s="14" t="str">
        <x:v>Geopolitics</x:v>
      </x:c>
      <x:c r="H31" s="14" t="str"/>
      <x:c r="I31" s="14" t="str">
        <x:v>Sophie Vanhoonacker, Thomas Christiansen, Flavia Lucenti</x:v>
      </x:c>
      <x:c r="J31" s="14" t="str">
        <x:v>Leading peer-reviewed journal. Very high academic standing: established, high-visibility peer-reviewed journal.</x:v>
      </x:c>
      <x:c r="K31" s="14" t="str">
        <x:v>Directly concerns Europe/EU and research, technology, innovation, funding or science policy.</x:v>
      </x:c>
      <x:c r="L31" s="14" t="str">
        <x:v>Direct EU relevance</x:v>
      </x:c>
      <x:c r="M31" s="14" t="str">
        <x:v>Peer-reviewed article</x:v>
      </x:c>
      <x:c r="N31" s="14" t="str">
        <x:v>Tier 2 broad journal</x:v>
      </x:c>
      <x:c r="O31" s="14" t="str">
        <x:v>https://doi.org/10.1080/14650045.2026.2661676</x:v>
      </x:c>
      <x:c r="P31" s="14" t="str"/>
      <x:c r="Q31" s="16" t="n">
        <x:v>46</x:v>
      </x:c>
      <x:c r="R31" s="16" t="n">
        <x:v>25</x:v>
      </x:c>
      <x:c r="S31" s="16" t="n">
        <x:v>15</x:v>
      </x:c>
      <x:c r="T31" s="16" t="n">
        <x:v>5</x:v>
      </x:c>
    </x:row>
    <x:row r="32" ht="48" customHeight="1">
      <x:c r="A32" s="16" t="n">
        <x:f>ROW()-1</x:f>
        <x:v>31</x:v>
      </x:c>
      <x:c r="B32" s="16" t="n">
        <x:f>SUM(Q32:T32)</x:f>
        <x:v>91</x:v>
      </x:c>
      <x:c r="C32" s="17" t="str">
        <x:f>IF(B32&gt;=93,"A — Highest authority",IF(B32&gt;=85,"B — Very strong",IF(B32&gt;=75,"C — Strong",IF(B32&gt;=65,"D — Useful with context","E — Supporting / lower weight"))))</x:f>
        <x:v>B — Very strong</x:v>
      </x:c>
      <x:c r="D32" s="14" t="str">
        <x:v>Research security by roundtable: analysis of Germany’s committees for the ethics of security-relevant research</x:v>
      </x:c>
      <x:c r="E32" s="20" t="n">
        <x:v>46140</x:v>
      </x:c>
      <x:c r="F32" s="17" t="str">
        <x:v>A</x:v>
      </x:c>
      <x:c r="G32" s="14" t="str">
        <x:v>Science and Public Policy</x:v>
      </x:c>
      <x:c r="H32" s="14" t="str"/>
      <x:c r="I32" s="14" t="str">
        <x:v>Brendan Walker-Munro</x:v>
      </x:c>
      <x:c r="J32" s="14" t="str">
        <x:v>Leading peer-reviewed journal. Very high academic standing: established, high-visibility peer-reviewed journal.</x:v>
      </x:c>
      <x:c r="K32" s="14" t="str">
        <x:v>Directly concerns Europe/EU and research, technology, innovation, funding or science policy.</x:v>
      </x:c>
      <x:c r="L32" s="14" t="str">
        <x:v>Direct EU relevance</x:v>
      </x:c>
      <x:c r="M32" s="14" t="str">
        <x:v>Peer-reviewed article</x:v>
      </x:c>
      <x:c r="N32" s="14" t="str">
        <x:v>Tier 2</x:v>
      </x:c>
      <x:c r="O32" s="14" t="str">
        <x:v>https://doi.org/10.1093/scipol/scag028</x:v>
      </x:c>
      <x:c r="P32" s="14" t="str">
        <x:v>https://academic.oup.com/spp/pages/about</x:v>
      </x:c>
      <x:c r="Q32" s="16" t="n">
        <x:v>46</x:v>
      </x:c>
      <x:c r="R32" s="16" t="n">
        <x:v>25</x:v>
      </x:c>
      <x:c r="S32" s="16" t="n">
        <x:v>15</x:v>
      </x:c>
      <x:c r="T32" s="16" t="n">
        <x:v>5</x:v>
      </x:c>
    </x:row>
    <x:row r="33" ht="48" customHeight="1">
      <x:c r="A33" s="16" t="n">
        <x:f>ROW()-1</x:f>
        <x:v>32</x:v>
      </x:c>
      <x:c r="B33" s="16" t="n">
        <x:f>SUM(Q33:T33)</x:f>
        <x:v>90</x:v>
      </x:c>
      <x:c r="C33" s="17" t="str">
        <x:f>IF(B33&gt;=93,"A — Highest authority",IF(B33&gt;=85,"B — Very strong",IF(B33&gt;=75,"C — Strong",IF(B33&gt;=65,"D — Useful with context","E — Supporting / lower weight"))))</x:f>
        <x:v>B — Very strong</x:v>
      </x:c>
      <x:c r="D33" s="14" t="str">
        <x:v>Science Knows No Borders: ALLEA condemns proposed restrictions on international research collaboration</x:v>
      </x:c>
      <x:c r="E33" s="20" t="n">
        <x:v>46202</x:v>
      </x:c>
      <x:c r="F33" s="17" t="str">
        <x:v>A</x:v>
      </x:c>
      <x:c r="G33" s="14" t="str"/>
      <x:c r="H33" s="14" t="str">
        <x:v>ALLEA</x:v>
      </x:c>
      <x:c r="I33" s="14" t="str">
        <x:v>ALLEA</x:v>
      </x:c>
      <x:c r="J33" s="14" t="str">
        <x:v>European science / university network. Very high science-policy standing: established European research or academy network.</x:v>
      </x:c>
      <x:c r="K33" s="14" t="str">
        <x:v>Directly concerns Europe/EU and research, technology, innovation, funding or science policy.</x:v>
      </x:c>
      <x:c r="L33" s="14" t="str">
        <x:v>Direct EU relevance</x:v>
      </x:c>
      <x:c r="M33" s="14" t="str">
        <x:v>Manually verified scholarly/policy source</x:v>
      </x:c>
      <x:c r="N33" s="14" t="str">
        <x:v>Tier 1</x:v>
      </x:c>
      <x:c r="O33" s="14" t="str">
        <x:v>https://allea.org/allea-calls-for-global-defence-of-international-research-collaboration-and-academic-freedom/</x:v>
      </x:c>
      <x:c r="P33" s="14" t="str">
        <x:v>https://allea.org/</x:v>
      </x:c>
      <x:c r="Q33" s="16" t="n">
        <x:v>46</x:v>
      </x:c>
      <x:c r="R33" s="16" t="n">
        <x:v>25</x:v>
      </x:c>
      <x:c r="S33" s="16" t="n">
        <x:v>14</x:v>
      </x:c>
      <x:c r="T33" s="16" t="n">
        <x:v>5</x:v>
      </x:c>
    </x:row>
    <x:row r="34" ht="48" customHeight="1">
      <x:c r="A34" s="16" t="n">
        <x:f>ROW()-1</x:f>
        <x:v>33</x:v>
      </x:c>
      <x:c r="B34" s="16" t="n">
        <x:f>SUM(Q34:T34)</x:f>
        <x:v>90</x:v>
      </x:c>
      <x:c r="C34" s="17" t="str">
        <x:f>IF(B34&gt;=93,"A — Highest authority",IF(B34&gt;=85,"B — Very strong",IF(B34&gt;=75,"C — Strong",IF(B34&gt;=65,"D — Useful with context","E — Supporting / lower weight"))))</x:f>
        <x:v>B — Very strong</x:v>
      </x:c>
      <x:c r="D34" s="14" t="str">
        <x:v>Europe as science superpower: what it will take to rival the US and China</x:v>
      </x:c>
      <x:c r="E34" s="20" t="n">
        <x:v>46196</x:v>
      </x:c>
      <x:c r="F34" s="17" t="str">
        <x:v>A</x:v>
      </x:c>
      <x:c r="G34" s="14" t="str">
        <x:v>Nature</x:v>
      </x:c>
      <x:c r="H34" s="14" t="str"/>
      <x:c r="I34" s="14" t="str">
        <x:v>Elizabeth Gibney</x:v>
      </x:c>
      <x:c r="J34" s="14" t="str">
        <x:v>Leading peer-reviewed journal. Very high academic standing: established, high-visibility peer-reviewed journal.</x:v>
      </x:c>
      <x:c r="K34" s="14" t="str">
        <x:v>Directly concerns Europe/EU and research, technology, innovation, funding or science policy.</x:v>
      </x:c>
      <x:c r="L34" s="14" t="str">
        <x:v>Direct EU relevance</x:v>
      </x:c>
      <x:c r="M34" s="14" t="str">
        <x:v>Manually verified scholarly/policy source</x:v>
      </x:c>
      <x:c r="N34" s="14" t="str">
        <x:v>Tier 2 comparable</x:v>
      </x:c>
      <x:c r="O34" s="14" t="str">
        <x:v>https://www.nature.com/articles/d41586-026-01955-1</x:v>
      </x:c>
      <x:c r="P34" s="14" t="str"/>
      <x:c r="Q34" s="16" t="n">
        <x:v>46</x:v>
      </x:c>
      <x:c r="R34" s="16" t="n">
        <x:v>25</x:v>
      </x:c>
      <x:c r="S34" s="16" t="n">
        <x:v>14</x:v>
      </x:c>
      <x:c r="T34" s="16" t="n">
        <x:v>5</x:v>
      </x:c>
    </x:row>
    <x:row r="35" ht="48" customHeight="1">
      <x:c r="A35" s="16" t="n">
        <x:f>ROW()-1</x:f>
        <x:v>34</x:v>
      </x:c>
      <x:c r="B35" s="16" t="n">
        <x:f>SUM(Q35:T35)</x:f>
        <x:v>90</x:v>
      </x:c>
      <x:c r="C35" s="17" t="str">
        <x:f>IF(B35&gt;=93,"A — Highest authority",IF(B35&gt;=85,"B — Very strong",IF(B35&gt;=75,"C — Strong",IF(B35&gt;=65,"D — Useful with context","E — Supporting / lower weight"))))</x:f>
        <x:v>B — Very strong</x:v>
      </x:c>
      <x:c r="D35" s="14" t="str">
        <x:v>Defence Research in European Universities: A Conceptual Framework</x:v>
      </x:c>
      <x:c r="E35" s="20" t="n">
        <x:v>46168</x:v>
      </x:c>
      <x:c r="F35" s="17" t="str">
        <x:v>A</x:v>
      </x:c>
      <x:c r="G35" s="14" t="str"/>
      <x:c r="H35" s="14" t="str">
        <x:v>League of European Research Universities (LERU)</x:v>
      </x:c>
      <x:c r="I35" s="14" t="str">
        <x:v>Rees, G. (lead author)</x:v>
      </x:c>
      <x:c r="J35" s="14" t="str">
        <x:v>European science / university network. Very high science-policy standing: established European research or academy network.</x:v>
      </x:c>
      <x:c r="K35" s="14" t="str">
        <x:v>Directly concerns Europe/EU and research, technology, innovation, funding or science policy.</x:v>
      </x:c>
      <x:c r="L35" s="14" t="str">
        <x:v>Direct EU relevance</x:v>
      </x:c>
      <x:c r="M35" s="14" t="str">
        <x:v>Manually verified scholarly/policy source</x:v>
      </x:c>
      <x:c r="N35" s="14" t="str">
        <x:v>Tier 1</x:v>
      </x:c>
      <x:c r="O35" s="14" t="str">
        <x:v>https://www.leru.org/publications/defence-research-in-european-universities-a-conceptual-framework</x:v>
      </x:c>
      <x:c r="P35" s="14" t="str">
        <x:v>https://www.leru.org/about-leru</x:v>
      </x:c>
      <x:c r="Q35" s="16" t="n">
        <x:v>46</x:v>
      </x:c>
      <x:c r="R35" s="16" t="n">
        <x:v>25</x:v>
      </x:c>
      <x:c r="S35" s="16" t="n">
        <x:v>14</x:v>
      </x:c>
      <x:c r="T35" s="16" t="n">
        <x:v>5</x:v>
      </x:c>
    </x:row>
    <x:row r="36" ht="48" customHeight="1">
      <x:c r="A36" s="16" t="n">
        <x:f>ROW()-1</x:f>
        <x:v>35</x:v>
      </x:c>
      <x:c r="B36" s="16" t="n">
        <x:f>SUM(Q36:T36)</x:f>
        <x:v>89</x:v>
      </x:c>
      <x:c r="C36" s="17" t="str">
        <x:f>IF(B36&gt;=93,"A — Highest authority",IF(B36&gt;=85,"B — Very strong",IF(B36&gt;=75,"C — Strong",IF(B36&gt;=65,"D — Useful with context","E — Supporting / lower weight"))))</x:f>
        <x:v>B — Very strong</x:v>
      </x:c>
      <x:c r="D36" s="14" t="str">
        <x:v>ALLEA Task Forces Meet in London to Discuss Academic Freedom, Research Security, and Data Protection</x:v>
      </x:c>
      <x:c r="E36" s="20" t="n">
        <x:v>46192</x:v>
      </x:c>
      <x:c r="F36" s="17" t="str">
        <x:v>A</x:v>
      </x:c>
      <x:c r="G36" s="14" t="str"/>
      <x:c r="H36" s="14" t="str">
        <x:v>ALLEA</x:v>
      </x:c>
      <x:c r="I36" s="14" t="str">
        <x:v>maria ronald</x:v>
      </x:c>
      <x:c r="J36" s="14" t="str">
        <x:v>European science / university network. Very high science-policy standing: established European research or academy network.</x:v>
      </x:c>
      <x:c r="K36" s="14" t="str">
        <x:v>Directly concerns Europe/EU and research, technology, innovation, funding or science policy.</x:v>
      </x:c>
      <x:c r="L36" s="14" t="str">
        <x:v>Direct EU relevance</x:v>
      </x:c>
      <x:c r="M36" s="14" t="str">
        <x:v>Research/policy paper</x:v>
      </x:c>
      <x:c r="N36" s="14" t="str">
        <x:v>Tier 1</x:v>
      </x:c>
      <x:c r="O36" s="14" t="str">
        <x:v>https://allea.org/allea-task-forces-meet-in-london-to-discuss-academic-freedom-research-security-and-data-protection/</x:v>
      </x:c>
      <x:c r="P36" s="14" t="str">
        <x:v>https://allea.org/</x:v>
      </x:c>
      <x:c r="Q36" s="16" t="n">
        <x:v>46</x:v>
      </x:c>
      <x:c r="R36" s="16" t="n">
        <x:v>25</x:v>
      </x:c>
      <x:c r="S36" s="16" t="n">
        <x:v>13</x:v>
      </x:c>
      <x:c r="T36" s="16" t="n">
        <x:v>5</x:v>
      </x:c>
    </x:row>
    <x:row r="37" ht="48" customHeight="1">
      <x:c r="A37" s="16" t="n">
        <x:f>ROW()-1</x:f>
        <x:v>36</x:v>
      </x:c>
      <x:c r="B37" s="16" t="n">
        <x:f>SUM(Q37:T37)</x:f>
        <x:v>89</x:v>
      </x:c>
      <x:c r="C37" s="17" t="str">
        <x:f>IF(B37&gt;=93,"A — Highest authority",IF(B37&gt;=85,"B — Very strong",IF(B37&gt;=75,"C — Strong",IF(B37&gt;=65,"D — Useful with context","E — Supporting / lower weight"))))</x:f>
        <x:v>B — Very strong</x:v>
      </x:c>
      <x:c r="D37" s="14" t="str">
        <x:v>Event Report: ALLEA General Assembly 2026</x:v>
      </x:c>
      <x:c r="E37" s="20" t="n">
        <x:v>46182</x:v>
      </x:c>
      <x:c r="F37" s="17" t="str">
        <x:v>A</x:v>
      </x:c>
      <x:c r="G37" s="14" t="str"/>
      <x:c r="H37" s="14" t="str">
        <x:v>ALLEA</x:v>
      </x:c>
      <x:c r="I37" s="14" t="str">
        <x:v>maria ronald</x:v>
      </x:c>
      <x:c r="J37" s="14" t="str">
        <x:v>European science / university network. Very high science-policy standing: established European research or academy network.</x:v>
      </x:c>
      <x:c r="K37" s="14" t="str">
        <x:v>Directly concerns Europe/EU and research, technology, innovation, funding or science policy.</x:v>
      </x:c>
      <x:c r="L37" s="14" t="str">
        <x:v>Direct EU relevance</x:v>
      </x:c>
      <x:c r="M37" s="14" t="str">
        <x:v>Research/policy paper</x:v>
      </x:c>
      <x:c r="N37" s="14" t="str">
        <x:v>Tier 1</x:v>
      </x:c>
      <x:c r="O37" s="14" t="str">
        <x:v>https://allea.org/wp-content/uploads/2026/06/Robbert-Dijkgraaf-Keynote-slides.pdf</x:v>
      </x:c>
      <x:c r="P37" s="14" t="str">
        <x:v>https://allea.org/</x:v>
      </x:c>
      <x:c r="Q37" s="16" t="n">
        <x:v>46</x:v>
      </x:c>
      <x:c r="R37" s="16" t="n">
        <x:v>25</x:v>
      </x:c>
      <x:c r="S37" s="16" t="n">
        <x:v>13</x:v>
      </x:c>
      <x:c r="T37" s="16" t="n">
        <x:v>5</x:v>
      </x:c>
    </x:row>
    <x:row r="38" ht="48" customHeight="1">
      <x:c r="A38" s="16" t="n">
        <x:f>ROW()-1</x:f>
        <x:v>37</x:v>
      </x:c>
      <x:c r="B38" s="16" t="n">
        <x:f>SUM(Q38:T38)</x:f>
        <x:v>89</x:v>
      </x:c>
      <x:c r="C38" s="17" t="str">
        <x:f>IF(B38&gt;=93,"A — Highest authority",IF(B38&gt;=85,"B — Very strong",IF(B38&gt;=75,"C — Strong",IF(B38&gt;=65,"D — Useful with context","E — Supporting / lower weight"))))</x:f>
        <x:v>B — Very strong</x:v>
      </x:c>
      <x:c r="D38" s="14" t="str">
        <x:v>ALLEA and Partners Call for Stronger Action on Open Science in the European Research Area</x:v>
      </x:c>
      <x:c r="E38" s="20" t="n">
        <x:v>46157</x:v>
      </x:c>
      <x:c r="F38" s="17" t="str">
        <x:v>A</x:v>
      </x:c>
      <x:c r="G38" s="14" t="str"/>
      <x:c r="H38" s="14" t="str">
        <x:v>ALLEA</x:v>
      </x:c>
      <x:c r="I38" s="14" t="str">
        <x:v>maria ronald</x:v>
      </x:c>
      <x:c r="J38" s="14" t="str">
        <x:v>European science / university network. Very high science-policy standing: established European research or academy network.</x:v>
      </x:c>
      <x:c r="K38" s="14" t="str">
        <x:v>Directly concerns Europe/EU and research, technology, innovation, funding or science policy.</x:v>
      </x:c>
      <x:c r="L38" s="14" t="str">
        <x:v>Direct EU relevance</x:v>
      </x:c>
      <x:c r="M38" s="14" t="str">
        <x:v>Research/policy paper</x:v>
      </x:c>
      <x:c r="N38" s="14" t="str">
        <x:v>Tier 1</x:v>
      </x:c>
      <x:c r="O38" s="14" t="str">
        <x:v>https://allea.org/wp-content/uploads/2026/06/Joint-statement-on-Open-Science-1.pdf</x:v>
      </x:c>
      <x:c r="P38" s="14" t="str">
        <x:v>https://allea.org/</x:v>
      </x:c>
      <x:c r="Q38" s="16" t="n">
        <x:v>46</x:v>
      </x:c>
      <x:c r="R38" s="16" t="n">
        <x:v>25</x:v>
      </x:c>
      <x:c r="S38" s="16" t="n">
        <x:v>13</x:v>
      </x:c>
      <x:c r="T38" s="16" t="n">
        <x:v>5</x:v>
      </x:c>
    </x:row>
    <x:row r="39" ht="48" customHeight="1">
      <x:c r="A39" s="16" t="n">
        <x:f>ROW()-1</x:f>
        <x:v>38</x:v>
      </x:c>
      <x:c r="B39" s="16" t="n">
        <x:f>SUM(Q39:T39)</x:f>
        <x:v>88</x:v>
      </x:c>
      <x:c r="C39" s="17" t="str">
        <x:f>IF(B39&gt;=93,"A — Highest authority",IF(B39&gt;=85,"B — Very strong",IF(B39&gt;=75,"C — Strong",IF(B39&gt;=65,"D — Useful with context","E — Supporting / lower weight"))))</x:f>
        <x:v>B — Very strong</x:v>
      </x:c>
      <x:c r="D39" s="14" t="str">
        <x:v>European Tech Sovereignty</x:v>
      </x:c>
      <x:c r="E39" s="20" t="n">
        <x:v>46148</x:v>
      </x:c>
      <x:c r="F39" s="17" t="str">
        <x:v>A</x:v>
      </x:c>
      <x:c r="G39" s="14" t="str"/>
      <x:c r="H39" s="14" t="str">
        <x:v>Greens/EFA Group, European Parliament</x:v>
      </x:c>
      <x:c r="I39" s="14" t="str">
        <x:v>Greens/EFA Group, European Parliament</x:v>
      </x:c>
      <x:c r="J39" s="14" t="str">
        <x:v>EU parliamentary political group. High EU policy relevance, but it is a political group rather than an EU institution or agency.</x:v>
      </x:c>
      <x:c r="K39" s="14" t="str">
        <x:v>Directly concerns Europe/EU and research, technology, innovation, funding or science policy.</x:v>
      </x:c>
      <x:c r="L39" s="14" t="str">
        <x:v>Direct EU relevance</x:v>
      </x:c>
      <x:c r="M39" s="14" t="str">
        <x:v>Manually verified scholarly/policy source</x:v>
      </x:c>
      <x:c r="N39" s="14" t="str">
        <x:v>Tier 2 comparable</x:v>
      </x:c>
      <x:c r="O39" s="14" t="str">
        <x:v>https://www.greens-efa.eu/en/article/policypaper/european-tech-sovereignty</x:v>
      </x:c>
      <x:c r="P39" s="14" t="str"/>
      <x:c r="Q39" s="16" t="n">
        <x:v>44</x:v>
      </x:c>
      <x:c r="R39" s="16" t="n">
        <x:v>25</x:v>
      </x:c>
      <x:c r="S39" s="16" t="n">
        <x:v>14</x:v>
      </x:c>
      <x:c r="T39" s="16" t="n">
        <x:v>5</x:v>
      </x:c>
    </x:row>
    <x:row r="40" ht="48" customHeight="1">
      <x:c r="A40" s="16" t="n">
        <x:f>ROW()-1</x:f>
        <x:v>39</x:v>
      </x:c>
      <x:c r="B40" s="16" t="n">
        <x:f>SUM(Q40:T40)</x:f>
        <x:v>87</x:v>
      </x:c>
      <x:c r="C40" s="17" t="str">
        <x:f>IF(B40&gt;=93,"A — Highest authority",IF(B40&gt;=85,"B — Very strong",IF(B40&gt;=75,"C — Strong",IF(B40&gt;=65,"D — Useful with context","E — Supporting / lower weight"))))</x:f>
        <x:v>B — Very strong</x:v>
      </x:c>
      <x:c r="D40" s="14" t="str">
        <x:v>Simplifying European Union Policy: Tech Sovereignty Package — virtual discussion summary</x:v>
      </x:c>
      <x:c r="E40" s="20" t="n">
        <x:v>46231</x:v>
      </x:c>
      <x:c r="F40" s="17" t="str">
        <x:v>A</x:v>
      </x:c>
      <x:c r="G40" s="14" t="str"/>
      <x:c r="H40" s="14" t="str">
        <x:v>Center for European Policy Analysis</x:v>
      </x:c>
      <x:c r="I40" s="14" t="str">
        <x:v>CEPA</x:v>
      </x:c>
      <x:c r="J40" s="14" t="str">
        <x:v>Leading policy research institute. High policy standing: established European/international research or policy institute.</x:v>
      </x:c>
      <x:c r="K40" s="14" t="str">
        <x:v>Directly concerns Europe/EU and research, technology, innovation, funding or science policy.</x:v>
      </x:c>
      <x:c r="L40" s="14" t="str">
        <x:v>Direct EU relevance</x:v>
      </x:c>
      <x:c r="M40" s="14" t="str">
        <x:v>Manually verified scholarly/policy source</x:v>
      </x:c>
      <x:c r="N40" s="14" t="str">
        <x:v>Tier 2 comparable</x:v>
      </x:c>
      <x:c r="O40" s="14" t="str">
        <x:v>https://cepa.org/private-events/simplifying-european-union-policy-tech-sovereignty-package/</x:v>
      </x:c>
      <x:c r="P40" s="14" t="str"/>
      <x:c r="Q40" s="16" t="n">
        <x:v>43</x:v>
      </x:c>
      <x:c r="R40" s="16" t="n">
        <x:v>25</x:v>
      </x:c>
      <x:c r="S40" s="16" t="n">
        <x:v>14</x:v>
      </x:c>
      <x:c r="T40" s="16" t="n">
        <x:v>5</x:v>
      </x:c>
    </x:row>
    <x:row r="41" ht="48" customHeight="1">
      <x:c r="A41" s="16" t="n">
        <x:f>ROW()-1</x:f>
        <x:v>40</x:v>
      </x:c>
      <x:c r="B41" s="16" t="n">
        <x:f>SUM(Q41:T41)</x:f>
        <x:v>87</x:v>
      </x:c>
      <x:c r="C41" s="17" t="str">
        <x:f>IF(B41&gt;=93,"A — Highest authority",IF(B41&gt;=85,"B — Very strong",IF(B41&gt;=75,"C — Strong",IF(B41&gt;=65,"D — Useful with context","E — Supporting / lower weight"))))</x:f>
        <x:v>B — Very strong</x:v>
      </x:c>
      <x:c r="D41" s="14" t="str">
        <x:v>Beyond Borders: Chinese Use of Foreign Interference Tactics in Dutch Strategic Industries</x:v>
      </x:c>
      <x:c r="E41" s="20" t="n">
        <x:v>46206</x:v>
      </x:c>
      <x:c r="F41" s="17" t="str">
        <x:v>A</x:v>
      </x:c>
      <x:c r="G41" s="14" t="str"/>
      <x:c r="H41" s="14" t="str">
        <x:v>The Hague Centre for Strategic Studies (HCSS)</x:v>
      </x:c>
      <x:c r="I41" s="14" t="str">
        <x:v>Girardi, B.; Horan, H.</x:v>
      </x:c>
      <x:c r="J41" s="14" t="str">
        <x:v>Leading policy research institute. High policy standing: established European/international research or policy institute.</x:v>
      </x:c>
      <x:c r="K41" s="14" t="str">
        <x:v>Directly concerns Europe/EU and research, technology, innovation, funding or science policy.</x:v>
      </x:c>
      <x:c r="L41" s="14" t="str">
        <x:v>Direct EU relevance</x:v>
      </x:c>
      <x:c r="M41" s="14" t="str">
        <x:v>Manually verified scholarly/policy source</x:v>
      </x:c>
      <x:c r="N41" s="14" t="str">
        <x:v>Tier 2</x:v>
      </x:c>
      <x:c r="O41" s="14" t="str">
        <x:v>https://hcss.nl/news/new-hcss-china-knowledge-network-report-chinese-foreign-interference-in-dutch-strategic-industries-poses-a-systemic-long-term-challenge/</x:v>
      </x:c>
      <x:c r="P41" s="14" t="str"/>
      <x:c r="Q41" s="16" t="n">
        <x:v>43</x:v>
      </x:c>
      <x:c r="R41" s="16" t="n">
        <x:v>25</x:v>
      </x:c>
      <x:c r="S41" s="16" t="n">
        <x:v>14</x:v>
      </x:c>
      <x:c r="T41" s="16" t="n">
        <x:v>5</x:v>
      </x:c>
    </x:row>
    <x:row r="42" ht="48" customHeight="1">
      <x:c r="A42" s="16" t="n">
        <x:f>ROW()-1</x:f>
        <x:v>41</x:v>
      </x:c>
      <x:c r="B42" s="16" t="n">
        <x:f>SUM(Q42:T42)</x:f>
        <x:v>87</x:v>
      </x:c>
      <x:c r="C42" s="17" t="str">
        <x:f>IF(B42&gt;=93,"A — Highest authority",IF(B42&gt;=85,"B — Very strong",IF(B42&gt;=75,"C — Strong",IF(B42&gt;=65,"D — Useful with context","E — Supporting / lower weight"))))</x:f>
        <x:v>B — Very strong</x:v>
      </x:c>
      <x:c r="D42" s="14" t="str">
        <x:v>The EU Semiconductor Geopolitical Risk Survey: Outlook for 2026–2031</x:v>
      </x:c>
      <x:c r="E42" s="20" t="n">
        <x:v>46205</x:v>
      </x:c>
      <x:c r="F42" s="17" t="str">
        <x:v>A</x:v>
      </x:c>
      <x:c r="G42" s="14" t="str"/>
      <x:c r="H42" s="14" t="str">
        <x:v>Institut Montaigne / CHIPDIPLO</x:v>
      </x:c>
      <x:c r="I42" s="14" t="str">
        <x:v>Teer, J.; Sel, P.; et al.</x:v>
      </x:c>
      <x:c r="J42" s="14" t="str">
        <x:v>Leading policy research institute. High policy standing: established European/international research or policy institute.</x:v>
      </x:c>
      <x:c r="K42" s="14" t="str">
        <x:v>Directly concerns Europe/EU and research, technology, innovation, funding or science policy.</x:v>
      </x:c>
      <x:c r="L42" s="14" t="str">
        <x:v>Direct EU relevance</x:v>
      </x:c>
      <x:c r="M42" s="14" t="str">
        <x:v>Manually verified scholarly/policy source</x:v>
      </x:c>
      <x:c r="N42" s="14" t="str">
        <x:v>Tier 2</x:v>
      </x:c>
      <x:c r="O42" s="14" t="str">
        <x:v>https://www.institutmontaigne.org/en/publications/eu-semiconductor-geopolitical-risk-survey-outlook-2026-2031</x:v>
      </x:c>
      <x:c r="P42" s="14" t="str"/>
      <x:c r="Q42" s="16" t="n">
        <x:v>43</x:v>
      </x:c>
      <x:c r="R42" s="16" t="n">
        <x:v>25</x:v>
      </x:c>
      <x:c r="S42" s="16" t="n">
        <x:v>14</x:v>
      </x:c>
      <x:c r="T42" s="16" t="n">
        <x:v>5</x:v>
      </x:c>
    </x:row>
    <x:row r="43" ht="48" customHeight="1">
      <x:c r="A43" s="16" t="n">
        <x:f>ROW()-1</x:f>
        <x:v>42</x:v>
      </x:c>
      <x:c r="B43" s="16" t="n">
        <x:f>SUM(Q43:T43)</x:f>
        <x:v>87</x:v>
      </x:c>
      <x:c r="C43" s="17" t="str">
        <x:f>IF(B43&gt;=93,"A — Highest authority",IF(B43&gt;=85,"B — Very strong",IF(B43&gt;=75,"C — Strong",IF(B43&gt;=65,"D — Useful with context","E — Supporting / lower weight"))))</x:f>
        <x:v>B — Very strong</x:v>
      </x:c>
      <x:c r="D43" s="14" t="str">
        <x:v>Europe Tackles Tech Sovereignty</x:v>
      </x:c>
      <x:c r="E43" s="20" t="n">
        <x:v>46203</x:v>
      </x:c>
      <x:c r="F43" s="17" t="str">
        <x:v>A</x:v>
      </x:c>
      <x:c r="G43" s="14" t="str"/>
      <x:c r="H43" s="14" t="str">
        <x:v>German Marshall Fund of the United States (GMF)</x:v>
      </x:c>
      <x:c r="I43" s="14" t="str">
        <x:v>German Marshall Fund</x:v>
      </x:c>
      <x:c r="J43" s="14" t="str">
        <x:v>Leading policy research institute. High policy standing: established European/international research or policy institute.</x:v>
      </x:c>
      <x:c r="K43" s="14" t="str">
        <x:v>Directly concerns Europe/EU and research, technology, innovation, funding or science policy.</x:v>
      </x:c>
      <x:c r="L43" s="14" t="str">
        <x:v>Direct EU relevance</x:v>
      </x:c>
      <x:c r="M43" s="14" t="str">
        <x:v>Manually verified scholarly/policy source</x:v>
      </x:c>
      <x:c r="N43" s="14" t="str">
        <x:v>Tier 2</x:v>
      </x:c>
      <x:c r="O43" s="14" t="str">
        <x:v>https://www.gmfus.org/news/europe-tackles-tech-sovereignty</x:v>
      </x:c>
      <x:c r="P43" s="14" t="str"/>
      <x:c r="Q43" s="16" t="n">
        <x:v>43</x:v>
      </x:c>
      <x:c r="R43" s="16" t="n">
        <x:v>25</x:v>
      </x:c>
      <x:c r="S43" s="16" t="n">
        <x:v>14</x:v>
      </x:c>
      <x:c r="T43" s="16" t="n">
        <x:v>5</x:v>
      </x:c>
    </x:row>
    <x:row r="44" ht="48" customHeight="1">
      <x:c r="A44" s="16" t="n">
        <x:f>ROW()-1</x:f>
        <x:v>43</x:v>
      </x:c>
      <x:c r="B44" s="16" t="n">
        <x:f>SUM(Q44:T44)</x:f>
        <x:v>87</x:v>
      </x:c>
      <x:c r="C44" s="17" t="str">
        <x:f>IF(B44&gt;=93,"A — Highest authority",IF(B44&gt;=85,"B — Very strong",IF(B44&gt;=75,"C — Strong",IF(B44&gt;=65,"D — Useful with context","E — Supporting / lower weight"))))</x:f>
        <x:v>B — Very strong</x:v>
      </x:c>
      <x:c r="D44" s="14" t="str">
        <x:v>Executive Summary: Fragmented Europe: Dealing with China as a technology and innovation power</x:v>
      </x:c>
      <x:c r="E44" s="20" t="n">
        <x:v>46203</x:v>
      </x:c>
      <x:c r="F44" s="17" t="str">
        <x:v>A</x:v>
      </x:c>
      <x:c r="G44" s="14" t="str"/>
      <x:c r="H44" s="14" t="str">
        <x:v>MERICS</x:v>
      </x:c>
      <x:c r="I44" s="14" t="str">
        <x:v>MERICS</x:v>
      </x:c>
      <x:c r="J44" s="14" t="str">
        <x:v>Leading policy research institute. High policy standing: established European/international research or policy institute.</x:v>
      </x:c>
      <x:c r="K44" s="14" t="str">
        <x:v>Directly concerns Europe/EU and research, technology, innovation, funding or science policy.</x:v>
      </x:c>
      <x:c r="L44" s="14" t="str">
        <x:v>Direct EU relevance</x:v>
      </x:c>
      <x:c r="M44" s="14" t="str">
        <x:v>Institutional report</x:v>
      </x:c>
      <x:c r="N44" s="14" t="str">
        <x:v>Tier 1</x:v>
      </x:c>
      <x:c r="O44" s="14" t="str">
        <x:v>https://merics.org/sites/default/files/2026-07/MERICS%2BETNC_Report_2026_WEB%20%281%29.pdf</x:v>
      </x:c>
      <x:c r="P44" s="14" t="str">
        <x:v>https://merics.org/en/about</x:v>
      </x:c>
      <x:c r="Q44" s="16" t="n">
        <x:v>43</x:v>
      </x:c>
      <x:c r="R44" s="16" t="n">
        <x:v>25</x:v>
      </x:c>
      <x:c r="S44" s="16" t="n">
        <x:v>14</x:v>
      </x:c>
      <x:c r="T44" s="16" t="n">
        <x:v>5</x:v>
      </x:c>
    </x:row>
    <x:row r="45" ht="48" customHeight="1">
      <x:c r="A45" s="16" t="n">
        <x:f>ROW()-1</x:f>
        <x:v>44</x:v>
      </x:c>
      <x:c r="B45" s="16" t="n">
        <x:f>SUM(Q45:T45)</x:f>
        <x:v>87</x:v>
      </x:c>
      <x:c r="C45" s="17" t="str">
        <x:f>IF(B45&gt;=93,"A — Highest authority",IF(B45&gt;=85,"B — Very strong",IF(B45&gt;=75,"C — Strong",IF(B45&gt;=65,"D — Useful with context","E — Supporting / lower weight"))))</x:f>
        <x:v>B — Very strong</x:v>
      </x:c>
      <x:c r="D45" s="14" t="str">
        <x:v>Strategic procurement in Global Europe: Why EU preferences risk undermining its own ambitions</x:v>
      </x:c>
      <x:c r="E45" s="20" t="n">
        <x:v>46197</x:v>
      </x:c>
      <x:c r="F45" s="17" t="str">
        <x:v>A</x:v>
      </x:c>
      <x:c r="G45" s="14" t="str"/>
      <x:c r="H45" s="14" t="str">
        <x:v>ECDPM</x:v>
      </x:c>
      <x:c r="I45" s="14" t="str">
        <x:v>San Bilal; Karim Karaki</x:v>
      </x:c>
      <x:c r="J45" s="14" t="str">
        <x:v>Leading policy research institute. High policy standing: established European/international research or policy institute.</x:v>
      </x:c>
      <x:c r="K45" s="14" t="str">
        <x:v>Directly concerns Europe/EU and research, technology, innovation, funding or science policy.</x:v>
      </x:c>
      <x:c r="L45" s="14" t="str">
        <x:v>Direct EU relevance</x:v>
      </x:c>
      <x:c r="M45" s="14" t="str">
        <x:v>Manually verified scholarly/policy source</x:v>
      </x:c>
      <x:c r="N45" s="14" t="str">
        <x:v>Tier 2 comparable</x:v>
      </x:c>
      <x:c r="O45" s="14" t="str">
        <x:v>https://ecdpm.org/work/strategic-procurement-global-europe-why-eu-preferences-risk-undermining-its-own-ambitions</x:v>
      </x:c>
      <x:c r="P45" s="14" t="str"/>
      <x:c r="Q45" s="16" t="n">
        <x:v>43</x:v>
      </x:c>
      <x:c r="R45" s="16" t="n">
        <x:v>25</x:v>
      </x:c>
      <x:c r="S45" s="16" t="n">
        <x:v>14</x:v>
      </x:c>
      <x:c r="T45" s="16" t="n">
        <x:v>5</x:v>
      </x:c>
    </x:row>
    <x:row r="46" ht="48" customHeight="1">
      <x:c r="A46" s="16" t="n">
        <x:f>ROW()-1</x:f>
        <x:v>45</x:v>
      </x:c>
      <x:c r="B46" s="16" t="n">
        <x:f>SUM(Q46:T46)</x:f>
        <x:v>87</x:v>
      </x:c>
      <x:c r="C46" s="17" t="str">
        <x:f>IF(B46&gt;=93,"A — Highest authority",IF(B46&gt;=85,"B — Very strong",IF(B46&gt;=75,"C — Strong",IF(B46&gt;=65,"D — Useful with context","E — Supporting / lower weight"))))</x:f>
        <x:v>B — Very strong</x:v>
      </x:c>
      <x:c r="D46" s="14" t="str">
        <x:v>A Grand Strategy for Europe’s Clean Industrial Future</x:v>
      </x:c>
      <x:c r="E46" s="20" t="n">
        <x:v>46196</x:v>
      </x:c>
      <x:c r="F46" s="17" t="str">
        <x:v>A</x:v>
      </x:c>
      <x:c r="G46" s="14" t="str"/>
      <x:c r="H46" s="14" t="str">
        <x:v>Carnegie Endowment for International Peace</x:v>
      </x:c>
      <x:c r="I46" s="14" t="str">
        <x:v>Milo McBride; Pauline Gerard</x:v>
      </x:c>
      <x:c r="J46" s="14" t="str">
        <x:v>Leading policy research institute. High policy standing: established European/international research or policy institute.</x:v>
      </x:c>
      <x:c r="K46" s="14" t="str">
        <x:v>Directly concerns Europe/EU and research, technology, innovation, funding or science policy.</x:v>
      </x:c>
      <x:c r="L46" s="14" t="str">
        <x:v>Direct EU relevance</x:v>
      </x:c>
      <x:c r="M46" s="14" t="str">
        <x:v>Manually verified scholarly/policy source</x:v>
      </x:c>
      <x:c r="N46" s="14" t="str">
        <x:v>Tier 3 specialist</x:v>
      </x:c>
      <x:c r="O46" s="14" t="str">
        <x:v>https://carnegieendowment.org/research/2026/06/a-grand-strategy-for-europes-clean-industrial-future</x:v>
      </x:c>
      <x:c r="P46" s="14" t="str"/>
      <x:c r="Q46" s="16" t="n">
        <x:v>43</x:v>
      </x:c>
      <x:c r="R46" s="16" t="n">
        <x:v>25</x:v>
      </x:c>
      <x:c r="S46" s="16" t="n">
        <x:v>14</x:v>
      </x:c>
      <x:c r="T46" s="16" t="n">
        <x:v>5</x:v>
      </x:c>
    </x:row>
    <x:row r="47" ht="48" customHeight="1">
      <x:c r="A47" s="16" t="n">
        <x:f>ROW()-1</x:f>
        <x:v>46</x:v>
      </x:c>
      <x:c r="B47" s="16" t="n">
        <x:f>SUM(Q47:T47)</x:f>
        <x:v>87</x:v>
      </x:c>
      <x:c r="C47" s="17" t="str">
        <x:f>IF(B47&gt;=93,"A — Highest authority",IF(B47&gt;=85,"B — Very strong",IF(B47&gt;=75,"C — Strong",IF(B47&gt;=65,"D — Useful with context","E — Supporting / lower weight"))))</x:f>
        <x:v>B — Very strong</x:v>
      </x:c>
      <x:c r="D47" s="14" t="str">
        <x:v>Europe’s ungoverned space: Military AI and the autonomy that cannot be bought</x:v>
      </x:c>
      <x:c r="E47" s="20" t="n">
        <x:v>46195</x:v>
      </x:c>
      <x:c r="F47" s="17" t="str">
        <x:v>A</x:v>
      </x:c>
      <x:c r="G47" s="14" t="str"/>
      <x:c r="H47" s="14" t="str">
        <x:v>VoxEU/CEPR</x:v>
      </x:c>
      <x:c r="I47" s="14" t="str">
        <x:v>Marco Perugini</x:v>
      </x:c>
      <x:c r="J47" s="14" t="str">
        <x:v>Leading policy research institute. High policy standing: established European/international research or policy institute.</x:v>
      </x:c>
      <x:c r="K47" s="14" t="str">
        <x:v>Directly concerns Europe/EU and research, technology, innovation, funding or science policy.</x:v>
      </x:c>
      <x:c r="L47" s="14" t="str">
        <x:v>Direct EU relevance</x:v>
      </x:c>
      <x:c r="M47" s="14" t="str">
        <x:v>Manually verified scholarly/policy source</x:v>
      </x:c>
      <x:c r="N47" s="14" t="str">
        <x:v>Tier 2</x:v>
      </x:c>
      <x:c r="O47" s="14" t="str">
        <x:v>https://cepr.org/voxeu/columns/europes-ungoverned-space-military-ai-and-autonomy-cannot-be-bought</x:v>
      </x:c>
      <x:c r="P47" s="14" t="str"/>
      <x:c r="Q47" s="16" t="n">
        <x:v>43</x:v>
      </x:c>
      <x:c r="R47" s="16" t="n">
        <x:v>25</x:v>
      </x:c>
      <x:c r="S47" s="16" t="n">
        <x:v>14</x:v>
      </x:c>
      <x:c r="T47" s="16" t="n">
        <x:v>5</x:v>
      </x:c>
    </x:row>
    <x:row r="48" ht="48" customHeight="1">
      <x:c r="A48" s="16" t="n">
        <x:f>ROW()-1</x:f>
        <x:v>47</x:v>
      </x:c>
      <x:c r="B48" s="16" t="n">
        <x:f>SUM(Q48:T48)</x:f>
        <x:v>87</x:v>
      </x:c>
      <x:c r="C48" s="17" t="str">
        <x:f>IF(B48&gt;=93,"A — Highest authority",IF(B48&gt;=85,"B — Very strong",IF(B48&gt;=75,"C — Strong",IF(B48&gt;=65,"D — Useful with context","E — Supporting / lower weight"))))</x:f>
        <x:v>B — Very strong</x:v>
      </x:c>
      <x:c r="D48" s="14" t="str">
        <x:v>Paradigm Shift in Principle, Paper Tiger in Practice? How to Make the Industrial Accelerator Act Count</x:v>
      </x:c>
      <x:c r="E48" s="20" t="n">
        <x:v>46195</x:v>
      </x:c>
      <x:c r="F48" s="17" t="str">
        <x:v>A</x:v>
      </x:c>
      <x:c r="G48" s="14" t="str"/>
      <x:c r="H48" s="14" t="str">
        <x:v>Jacques Delors Centre</x:v>
      </x:c>
      <x:c r="I48" s="14" t="str">
        <x:v>Philipp Jäger; Nils Redeker</x:v>
      </x:c>
      <x:c r="J48" s="14" t="str">
        <x:v>Leading policy research institute. High policy standing: established European/international research or policy institute.</x:v>
      </x:c>
      <x:c r="K48" s="14" t="str">
        <x:v>Directly concerns Europe/EU and research, technology, innovation, funding or science policy.</x:v>
      </x:c>
      <x:c r="L48" s="14" t="str">
        <x:v>Direct EU relevance</x:v>
      </x:c>
      <x:c r="M48" s="14" t="str">
        <x:v>Manually verified scholarly/policy source</x:v>
      </x:c>
      <x:c r="N48" s="14" t="str">
        <x:v>Tier 2 comparable</x:v>
      </x:c>
      <x:c r="O48" s="14" t="str">
        <x:v>https://www.delorscentre.eu/en/publications/detail/publication/how-to-make-the-industrial-accelerator-act-count</x:v>
      </x:c>
      <x:c r="P48" s="14" t="str"/>
      <x:c r="Q48" s="16" t="n">
        <x:v>43</x:v>
      </x:c>
      <x:c r="R48" s="16" t="n">
        <x:v>25</x:v>
      </x:c>
      <x:c r="S48" s="16" t="n">
        <x:v>14</x:v>
      </x:c>
      <x:c r="T48" s="16" t="n">
        <x:v>5</x:v>
      </x:c>
    </x:row>
    <x:row r="49" ht="48" customHeight="1">
      <x:c r="A49" s="16" t="n">
        <x:f>ROW()-1</x:f>
        <x:v>48</x:v>
      </x:c>
      <x:c r="B49" s="16" t="n">
        <x:f>SUM(Q49:T49)</x:f>
        <x:v>87</x:v>
      </x:c>
      <x:c r="C49" s="17" t="str">
        <x:f>IF(B49&gt;=93,"A — Highest authority",IF(B49&gt;=85,"B — Very strong",IF(B49&gt;=75,"C — Strong",IF(B49&gt;=65,"D — Useful with context","E — Supporting / lower weight"))))</x:f>
        <x:v>B — Very strong</x:v>
      </x:c>
      <x:c r="D49" s="14" t="str">
        <x:v>Shared gains, secure links: rethinking EU-Asia digital cooperation – CEPS</x:v>
      </x:c>
      <x:c r="E49" s="20" t="n">
        <x:v>46192</x:v>
      </x:c>
      <x:c r="F49" s="17" t="str">
        <x:v>A</x:v>
      </x:c>
      <x:c r="G49" s="14" t="str"/>
      <x:c r="H49" s="14" t="str">
        <x:v>CEPS</x:v>
      </x:c>
      <x:c r="I49" s="14" t="str">
        <x:v>CEPS</x:v>
      </x:c>
      <x:c r="J49" s="14" t="str">
        <x:v>Leading policy research institute. High policy standing: established European/international research or policy institute.</x:v>
      </x:c>
      <x:c r="K49" s="14" t="str">
        <x:v>Directly concerns Europe/EU and research, technology, innovation, funding or science policy.</x:v>
      </x:c>
      <x:c r="L49" s="14" t="str">
        <x:v>Direct EU relevance</x:v>
      </x:c>
      <x:c r="M49" s="14" t="str">
        <x:v>Institutional report</x:v>
      </x:c>
      <x:c r="N49" s="14" t="str">
        <x:v>Tier 1</x:v>
      </x:c>
      <x:c r="O49" s="14" t="str">
        <x:v>https://cdn.ceps.eu/2026/06/2026-08-FPU-EU-Asia-digital-cooperation.pdf</x:v>
      </x:c>
      <x:c r="P49" s="14" t="str">
        <x:v>https://www.ceps.eu/about-ceps/</x:v>
      </x:c>
      <x:c r="Q49" s="16" t="n">
        <x:v>43</x:v>
      </x:c>
      <x:c r="R49" s="16" t="n">
        <x:v>25</x:v>
      </x:c>
      <x:c r="S49" s="16" t="n">
        <x:v>14</x:v>
      </x:c>
      <x:c r="T49" s="16" t="n">
        <x:v>5</x:v>
      </x:c>
    </x:row>
    <x:row r="50" ht="48" customHeight="1">
      <x:c r="A50" s="16" t="n">
        <x:f>ROW()-1</x:f>
        <x:v>49</x:v>
      </x:c>
      <x:c r="B50" s="16" t="n">
        <x:f>SUM(Q50:T50)</x:f>
        <x:v>87</x:v>
      </x:c>
      <x:c r="C50" s="17" t="str">
        <x:f>IF(B50&gt;=93,"A — Highest authority",IF(B50&gt;=85,"B — Very strong",IF(B50&gt;=75,"C — Strong",IF(B50&gt;=65,"D — Useful with context","E — Supporting / lower weight"))))</x:f>
        <x:v>B — Very strong</x:v>
      </x:c>
      <x:c r="D50" s="14" t="str">
        <x:v>From Trade Dependence to Geopolitical Leverage: The EU in an Era of Weaponized Interdependence</x:v>
      </x:c>
      <x:c r="E50" s="20" t="n">
        <x:v>46188</x:v>
      </x:c>
      <x:c r="F50" s="17" t="str">
        <x:v>A</x:v>
      </x:c>
      <x:c r="G50" s="14" t="str"/>
      <x:c r="H50" s="14" t="str">
        <x:v>Carnegie Europe</x:v>
      </x:c>
      <x:c r="I50" s="14" t="str">
        <x:v>Sinan Ülgen</x:v>
      </x:c>
      <x:c r="J50" s="14" t="str">
        <x:v>Leading policy research institute. High policy standing: established European/international research or policy institute.</x:v>
      </x:c>
      <x:c r="K50" s="14" t="str">
        <x:v>Directly concerns Europe/EU and research, technology, innovation, funding or science policy.</x:v>
      </x:c>
      <x:c r="L50" s="14" t="str">
        <x:v>Direct EU relevance</x:v>
      </x:c>
      <x:c r="M50" s="14" t="str">
        <x:v>Manually verified scholarly/policy source</x:v>
      </x:c>
      <x:c r="N50" s="14" t="str">
        <x:v>Tier 3 specialist</x:v>
      </x:c>
      <x:c r="O50" s="14" t="str">
        <x:v>https://carnegieendowment.org/research/2026/06/from-trade-dependence-to-geopolitical-leverage-the-eu-in-an-era-of-weaponized-interdependence</x:v>
      </x:c>
      <x:c r="P50" s="14" t="str"/>
      <x:c r="Q50" s="16" t="n">
        <x:v>43</x:v>
      </x:c>
      <x:c r="R50" s="16" t="n">
        <x:v>25</x:v>
      </x:c>
      <x:c r="S50" s="16" t="n">
        <x:v>14</x:v>
      </x:c>
      <x:c r="T50" s="16" t="n">
        <x:v>5</x:v>
      </x:c>
    </x:row>
    <x:row r="51" ht="48" customHeight="1">
      <x:c r="A51" s="16" t="n">
        <x:f>ROW()-1</x:f>
        <x:v>50</x:v>
      </x:c>
      <x:c r="B51" s="16" t="n">
        <x:f>SUM(Q51:T51)</x:f>
        <x:v>87</x:v>
      </x:c>
      <x:c r="C51" s="17" t="str">
        <x:f>IF(B51&gt;=93,"A — Highest authority",IF(B51&gt;=85,"B — Very strong",IF(B51&gt;=75,"C — Strong",IF(B51&gt;=65,"D — Useful with context","E — Supporting / lower weight"))))</x:f>
        <x:v>B — Very strong</x:v>
      </x:c>
      <x:c r="D51" s="14" t="str">
        <x:v>Health under the Global Gateway: achievements and future prospects – CEPS</x:v>
      </x:c>
      <x:c r="E51" s="20" t="n">
        <x:v>46188</x:v>
      </x:c>
      <x:c r="F51" s="17" t="str">
        <x:v>A</x:v>
      </x:c>
      <x:c r="G51" s="14" t="str"/>
      <x:c r="H51" s="14" t="str">
        <x:v>CEPS</x:v>
      </x:c>
      <x:c r="I51" s="14" t="str">
        <x:v>CEPS</x:v>
      </x:c>
      <x:c r="J51" s="14" t="str">
        <x:v>Leading policy research institute. High policy standing: established European/international research or policy institute.</x:v>
      </x:c>
      <x:c r="K51" s="14" t="str">
        <x:v>Directly concerns Europe/EU and research, technology, innovation, funding or science policy.</x:v>
      </x:c>
      <x:c r="L51" s="14" t="str">
        <x:v>Direct EU relevance</x:v>
      </x:c>
      <x:c r="M51" s="14" t="str">
        <x:v>Institutional report</x:v>
      </x:c>
      <x:c r="N51" s="14" t="str">
        <x:v>Tier 1</x:v>
      </x:c>
      <x:c r="O51" s="14" t="str">
        <x:v>https://cdn.ceps.eu/2026/06/A1.3.3-Health-under-the-Global-Gateway-formatted.pdf</x:v>
      </x:c>
      <x:c r="P51" s="14" t="str">
        <x:v>https://www.ceps.eu/about-ceps/</x:v>
      </x:c>
      <x:c r="Q51" s="16" t="n">
        <x:v>43</x:v>
      </x:c>
      <x:c r="R51" s="16" t="n">
        <x:v>25</x:v>
      </x:c>
      <x:c r="S51" s="16" t="n">
        <x:v>14</x:v>
      </x:c>
      <x:c r="T51" s="16" t="n">
        <x:v>5</x:v>
      </x:c>
    </x:row>
    <x:row r="52" ht="48" customHeight="1">
      <x:c r="A52" s="16" t="n">
        <x:f>ROW()-1</x:f>
        <x:v>51</x:v>
      </x:c>
      <x:c r="B52" s="16" t="n">
        <x:f>SUM(Q52:T52)</x:f>
        <x:v>87</x:v>
      </x:c>
      <x:c r="C52" s="17" t="str">
        <x:f>IF(B52&gt;=93,"A — Highest authority",IF(B52&gt;=85,"B — Very strong",IF(B52&gt;=75,"C — Strong",IF(B52&gt;=65,"D — Useful with context","E — Supporting / lower weight"))))</x:f>
        <x:v>B — Very strong</x:v>
      </x:c>
      <x:c r="D52" s="14" t="str">
        <x:v>Mitigate, deter, escalate: Europe’s options against US economic coercion</x:v>
      </x:c>
      <x:c r="E52" s="20" t="n">
        <x:v>46184</x:v>
      </x:c>
      <x:c r="F52" s="17" t="str">
        <x:v>A</x:v>
      </x:c>
      <x:c r="G52" s="14" t="str"/>
      <x:c r="H52" s="14" t="str">
        <x:v>European Council on Foreign Relations (ECFR)</x:v>
      </x:c>
      <x:c r="I52" s="14" t="str">
        <x:v>Agathe Demarais; Tobias Gehrke; José Ignacio Torreblanca</x:v>
      </x:c>
      <x:c r="J52" s="14" t="str">
        <x:v>Leading policy research institute. High policy standing: established European/international research or policy institute.</x:v>
      </x:c>
      <x:c r="K52" s="14" t="str">
        <x:v>Directly concerns Europe/EU and research, technology, innovation, funding or science policy.</x:v>
      </x:c>
      <x:c r="L52" s="14" t="str">
        <x:v>Direct EU relevance</x:v>
      </x:c>
      <x:c r="M52" s="14" t="str">
        <x:v>Manually verified scholarly/policy source</x:v>
      </x:c>
      <x:c r="N52" s="14" t="str">
        <x:v>Tier 1</x:v>
      </x:c>
      <x:c r="O52" s="14" t="str">
        <x:v>https://ecfr.eu/publication/mitigate-deter-escalate-europes-options-against-us-economic-coercion/</x:v>
      </x:c>
      <x:c r="P52" s="14" t="str">
        <x:v>https://ecfr.eu/about/</x:v>
      </x:c>
      <x:c r="Q52" s="16" t="n">
        <x:v>43</x:v>
      </x:c>
      <x:c r="R52" s="16" t="n">
        <x:v>25</x:v>
      </x:c>
      <x:c r="S52" s="16" t="n">
        <x:v>14</x:v>
      </x:c>
      <x:c r="T52" s="16" t="n">
        <x:v>5</x:v>
      </x:c>
    </x:row>
    <x:row r="53" ht="48" customHeight="1">
      <x:c r="A53" s="16" t="n">
        <x:f>ROW()-1</x:f>
        <x:v>52</x:v>
      </x:c>
      <x:c r="B53" s="16" t="n">
        <x:f>SUM(Q53:T53)</x:f>
        <x:v>87</x:v>
      </x:c>
      <x:c r="C53" s="17" t="str">
        <x:f>IF(B53&gt;=93,"A — Highest authority",IF(B53&gt;=85,"B — Very strong",IF(B53&gt;=75,"C — Strong",IF(B53&gt;=65,"D — Useful with context","E — Supporting / lower weight"))))</x:f>
        <x:v>B — Very strong</x:v>
      </x:c>
      <x:c r="D53" s="14" t="str">
        <x:v>To achieve tech sovereignty, Europe must not mimic its rivals</x:v>
      </x:c>
      <x:c r="E53" s="20" t="n">
        <x:v>46184</x:v>
      </x:c>
      <x:c r="F53" s="17" t="str">
        <x:v>A</x:v>
      </x:c>
      <x:c r="G53" s="14" t="str"/>
      <x:c r="H53" s="14" t="str">
        <x:v>Bruegel</x:v>
      </x:c>
      <x:c r="I53" s="14" t="str">
        <x:v>Mario Mariniello</x:v>
      </x:c>
      <x:c r="J53" s="14" t="str">
        <x:v>Leading policy research institute. High policy standing: established European/international research or policy institute.</x:v>
      </x:c>
      <x:c r="K53" s="14" t="str">
        <x:v>Directly concerns Europe/EU and research, technology, innovation, funding or science policy.</x:v>
      </x:c>
      <x:c r="L53" s="14" t="str">
        <x:v>Direct EU relevance</x:v>
      </x:c>
      <x:c r="M53" s="14" t="str">
        <x:v>Manually verified scholarly/policy source</x:v>
      </x:c>
      <x:c r="N53" s="14" t="str">
        <x:v>Tier 1</x:v>
      </x:c>
      <x:c r="O53" s="14" t="str">
        <x:v>https://www.bruegel.org/first-glance/achieve-tech-sovereignty-europe-must-not-mimic-its-rivals</x:v>
      </x:c>
      <x:c r="P53" s="14" t="str">
        <x:v>https://www.bruegel.org/</x:v>
      </x:c>
      <x:c r="Q53" s="16" t="n">
        <x:v>43</x:v>
      </x:c>
      <x:c r="R53" s="16" t="n">
        <x:v>25</x:v>
      </x:c>
      <x:c r="S53" s="16" t="n">
        <x:v>14</x:v>
      </x:c>
      <x:c r="T53" s="16" t="n">
        <x:v>5</x:v>
      </x:c>
    </x:row>
    <x:row r="54" ht="48" customHeight="1">
      <x:c r="A54" s="16" t="n">
        <x:f>ROW()-1</x:f>
        <x:v>53</x:v>
      </x:c>
      <x:c r="B54" s="16" t="n">
        <x:f>SUM(Q54:T54)</x:f>
        <x:v>87</x:v>
      </x:c>
      <x:c r="C54" s="17" t="str">
        <x:f>IF(B54&gt;=93,"A — Highest authority",IF(B54&gt;=85,"B — Very strong",IF(B54&gt;=75,"C — Strong",IF(B54&gt;=65,"D — Useful with context","E — Supporting / lower weight"))))</x:f>
        <x:v>B — Very strong</x:v>
      </x:c>
      <x:c r="D54" s="14" t="str">
        <x:v>Beyond the European Chips Act: EU Supply Chain Dependencies on China, Taiwan and the United States</x:v>
      </x:c>
      <x:c r="E54" s="20" t="n">
        <x:v>46177</x:v>
      </x:c>
      <x:c r="F54" s="17" t="str">
        <x:v>A</x:v>
      </x:c>
      <x:c r="G54" s="14" t="str"/>
      <x:c r="H54" s="14" t="str">
        <x:v>Istituto Affari Internazionali (IAI)</x:v>
      </x:c>
      <x:c r="I54" s="14" t="str">
        <x:v>Istituto Affari Internazionali</x:v>
      </x:c>
      <x:c r="J54" s="14" t="str">
        <x:v>Leading policy research institute. High policy standing: established European/international research or policy institute.</x:v>
      </x:c>
      <x:c r="K54" s="14" t="str">
        <x:v>Directly concerns Europe/EU and research, technology, innovation, funding or science policy.</x:v>
      </x:c>
      <x:c r="L54" s="14" t="str">
        <x:v>Direct EU relevance</x:v>
      </x:c>
      <x:c r="M54" s="14" t="str">
        <x:v>Manually verified scholarly/policy source</x:v>
      </x:c>
      <x:c r="N54" s="14" t="str">
        <x:v>Tier 2</x:v>
      </x:c>
      <x:c r="O54" s="14" t="str">
        <x:v>https://www.iai.it/en/publications/c41/beyond-european-chips-act-eu-supply-chain-dependencies-china-taiwan-and-united</x:v>
      </x:c>
      <x:c r="P54" s="14" t="str"/>
      <x:c r="Q54" s="16" t="n">
        <x:v>43</x:v>
      </x:c>
      <x:c r="R54" s="16" t="n">
        <x:v>25</x:v>
      </x:c>
      <x:c r="S54" s="16" t="n">
        <x:v>14</x:v>
      </x:c>
      <x:c r="T54" s="16" t="n">
        <x:v>5</x:v>
      </x:c>
    </x:row>
    <x:row r="55" ht="48" customHeight="1">
      <x:c r="A55" s="16" t="n">
        <x:f>ROW()-1</x:f>
        <x:v>54</x:v>
      </x:c>
      <x:c r="B55" s="16" t="n">
        <x:f>SUM(Q55:T55)</x:f>
        <x:v>87</x:v>
      </x:c>
      <x:c r="C55" s="17" t="str">
        <x:f>IF(B55&gt;=93,"A — Highest authority",IF(B55&gt;=85,"B — Very strong",IF(B55&gt;=75,"C — Strong",IF(B55&gt;=65,"D — Useful with context","E — Supporting / lower weight"))))</x:f>
        <x:v>B — Very strong</x:v>
      </x:c>
      <x:c r="D55" s="14" t="str">
        <x:v>Europe’s Geo-Industrial Deal: A path to securing Europe’s competitiveness abroad</x:v>
      </x:c>
      <x:c r="E55" s="20" t="n">
        <x:v>46176</x:v>
      </x:c>
      <x:c r="F55" s="17" t="str">
        <x:v>A</x:v>
      </x:c>
      <x:c r="G55" s="14" t="str"/>
      <x:c r="H55" s="14" t="str">
        <x:v>European Policy Centre</x:v>
      </x:c>
      <x:c r="I55" s="14" t="str">
        <x:v>Varg Folkman</x:v>
      </x:c>
      <x:c r="J55" s="14" t="str">
        <x:v>Leading policy research institute. High policy standing: established European/international research or policy institute.</x:v>
      </x:c>
      <x:c r="K55" s="14" t="str">
        <x:v>Directly concerns Europe/EU and research, technology, innovation, funding or science policy.</x:v>
      </x:c>
      <x:c r="L55" s="14" t="str">
        <x:v>Direct EU relevance</x:v>
      </x:c>
      <x:c r="M55" s="14" t="str">
        <x:v>Manually verified scholarly/policy source</x:v>
      </x:c>
      <x:c r="N55" s="14" t="str">
        <x:v>Tier 1</x:v>
      </x:c>
      <x:c r="O55" s="14" t="str">
        <x:v>https://www.epc.eu/publication/europes-geo-industrial-deal-a-path-to-securing-europes-competitiveness-abroad/</x:v>
      </x:c>
      <x:c r="P55" s="14" t="str">
        <x:v>https://epc.eu/about/</x:v>
      </x:c>
      <x:c r="Q55" s="16" t="n">
        <x:v>43</x:v>
      </x:c>
      <x:c r="R55" s="16" t="n">
        <x:v>25</x:v>
      </x:c>
      <x:c r="S55" s="16" t="n">
        <x:v>14</x:v>
      </x:c>
      <x:c r="T55" s="16" t="n">
        <x:v>5</x:v>
      </x:c>
    </x:row>
    <x:row r="56" ht="48" customHeight="1">
      <x:c r="A56" s="16" t="n">
        <x:f>ROW()-1</x:f>
        <x:v>55</x:v>
      </x:c>
      <x:c r="B56" s="16" t="n">
        <x:f>SUM(Q56:T56)</x:f>
        <x:v>87</x:v>
      </x:c>
      <x:c r="C56" s="17" t="str">
        <x:f>IF(B56&gt;=93,"A — Highest authority",IF(B56&gt;=85,"B — Very strong",IF(B56&gt;=75,"C — Strong",IF(B56&gt;=65,"D — Useful with context","E — Supporting / lower weight"))))</x:f>
        <x:v>B — Very strong</x:v>
      </x:c>
      <x:c r="D56" s="14" t="str">
        <x:v>Mapping of technology specialisation, complexity and relatedness of the EU and selected global partners – CEPS</x:v>
      </x:c>
      <x:c r="E56" s="20" t="n">
        <x:v>46175</x:v>
      </x:c>
      <x:c r="F56" s="17" t="str">
        <x:v>A</x:v>
      </x:c>
      <x:c r="G56" s="14" t="str"/>
      <x:c r="H56" s="14" t="str">
        <x:v>CEPS</x:v>
      </x:c>
      <x:c r="I56" s="14" t="str">
        <x:v>CEPS</x:v>
      </x:c>
      <x:c r="J56" s="14" t="str">
        <x:v>Leading policy research institute. High policy standing: established European/international research or policy institute.</x:v>
      </x:c>
      <x:c r="K56" s="14" t="str">
        <x:v>Directly concerns Europe/EU and research, technology, innovation, funding or science policy.</x:v>
      </x:c>
      <x:c r="L56" s="14" t="str">
        <x:v>Direct EU relevance</x:v>
      </x:c>
      <x:c r="M56" s="14" t="str">
        <x:v>Institutional report</x:v>
      </x:c>
      <x:c r="N56" s="14" t="str">
        <x:v>Tier 1</x:v>
      </x:c>
      <x:c r="O56" s="14" t="str">
        <x:v>https://cdn.ceps.eu/2026/06/2026-06-GRID-CNECT-TTD.pdf</x:v>
      </x:c>
      <x:c r="P56" s="14" t="str">
        <x:v>https://www.ceps.eu/about-ceps/</x:v>
      </x:c>
      <x:c r="Q56" s="16" t="n">
        <x:v>43</x:v>
      </x:c>
      <x:c r="R56" s="16" t="n">
        <x:v>25</x:v>
      </x:c>
      <x:c r="S56" s="16" t="n">
        <x:v>14</x:v>
      </x:c>
      <x:c r="T56" s="16" t="n">
        <x:v>5</x:v>
      </x:c>
    </x:row>
    <x:row r="57" ht="48" customHeight="1">
      <x:c r="A57" s="16" t="n">
        <x:f>ROW()-1</x:f>
        <x:v>56</x:v>
      </x:c>
      <x:c r="B57" s="16" t="n">
        <x:f>SUM(Q57:T57)</x:f>
        <x:v>87</x:v>
      </x:c>
      <x:c r="C57" s="17" t="str">
        <x:f>IF(B57&gt;=93,"A — Highest authority",IF(B57&gt;=85,"B — Very strong",IF(B57&gt;=75,"C — Strong",IF(B57&gt;=65,"D — Useful with context","E — Supporting / lower weight"))))</x:f>
        <x:v>B — Very strong</x:v>
      </x:c>
      <x:c r="D57" s="14" t="str">
        <x:v>The EU’s need for a new growth model: Innovation under strategic capitalism</x:v>
      </x:c>
      <x:c r="E57" s="20" t="n">
        <x:v>46174</x:v>
      </x:c>
      <x:c r="F57" s="17" t="str">
        <x:v>A</x:v>
      </x:c>
      <x:c r="G57" s="14" t="str"/>
      <x:c r="H57" s="14" t="str">
        <x:v>Finnish Institute of International Affairs (FIIA)</x:v>
      </x:c>
      <x:c r="I57" s="14" t="str">
        <x:v>Mikael Wigell; Sinikukka Saari</x:v>
      </x:c>
      <x:c r="J57" s="14" t="str">
        <x:v>Leading policy research institute. High policy standing: established European/international research or policy institute.</x:v>
      </x:c>
      <x:c r="K57" s="14" t="str">
        <x:v>Directly concerns Europe/EU and research, technology, innovation, funding or science policy.</x:v>
      </x:c>
      <x:c r="L57" s="14" t="str">
        <x:v>Direct EU relevance</x:v>
      </x:c>
      <x:c r="M57" s="14" t="str">
        <x:v>Manually verified scholarly/policy source</x:v>
      </x:c>
      <x:c r="N57" s="14" t="str">
        <x:v>Tier 1</x:v>
      </x:c>
      <x:c r="O57" s="14" t="str">
        <x:v>https://fiia.fi/julkaisu/the-eus-need-for-a-new-growth-model</x:v>
      </x:c>
      <x:c r="P57" s="14" t="str">
        <x:v>https://fiia.fi/en/institute/the-institute</x:v>
      </x:c>
      <x:c r="Q57" s="16" t="n">
        <x:v>43</x:v>
      </x:c>
      <x:c r="R57" s="16" t="n">
        <x:v>25</x:v>
      </x:c>
      <x:c r="S57" s="16" t="n">
        <x:v>14</x:v>
      </x:c>
      <x:c r="T57" s="16" t="n">
        <x:v>5</x:v>
      </x:c>
    </x:row>
    <x:row r="58" ht="48" customHeight="1">
      <x:c r="A58" s="16" t="n">
        <x:f>ROW()-1</x:f>
        <x:v>57</x:v>
      </x:c>
      <x:c r="B58" s="16" t="n">
        <x:f>SUM(Q58:T58)</x:f>
        <x:v>87</x:v>
      </x:c>
      <x:c r="C58" s="17" t="str">
        <x:f>IF(B58&gt;=93,"A — Highest authority",IF(B58&gt;=85,"B — Very strong",IF(B58&gt;=75,"C — Strong",IF(B58&gt;=65,"D — Useful with context","E — Supporting / lower weight"))))</x:f>
        <x:v>B — Very strong</x:v>
      </x:c>
      <x:c r="D58" s="14" t="str">
        <x:v>The WhatsApp World Order: Learning to Live with the New Global Political Economy</x:v>
      </x:c>
      <x:c r="E58" s="20" t="n">
        <x:v>46174</x:v>
      </x:c>
      <x:c r="F58" s="17" t="str">
        <x:v>A</x:v>
      </x:c>
      <x:c r="G58" s="14" t="str"/>
      <x:c r="H58" s="14" t="str">
        <x:v>ECIPE</x:v>
      </x:c>
      <x:c r="I58" s="14" t="str">
        <x:v>ECIPE</x:v>
      </x:c>
      <x:c r="J58" s="14" t="str">
        <x:v>Leading policy research institute. High policy standing: established European/international research or policy institute.</x:v>
      </x:c>
      <x:c r="K58" s="14" t="str">
        <x:v>Directly concerns Europe/EU and research, technology, innovation, funding or science policy.</x:v>
      </x:c>
      <x:c r="L58" s="14" t="str">
        <x:v>Direct EU relevance</x:v>
      </x:c>
      <x:c r="M58" s="14" t="str">
        <x:v>Institutional report</x:v>
      </x:c>
      <x:c r="N58" s="14" t="str">
        <x:v>Tier 1</x:v>
      </x:c>
      <x:c r="O58" s="14" t="str">
        <x:v>https://ecipe.org/wp-content/uploads/2026/05/ECI_26_PolicyBrief_11-2026_LY02.pdf</x:v>
      </x:c>
      <x:c r="P58" s="14" t="str"/>
      <x:c r="Q58" s="16" t="n">
        <x:v>43</x:v>
      </x:c>
      <x:c r="R58" s="16" t="n">
        <x:v>25</x:v>
      </x:c>
      <x:c r="S58" s="16" t="n">
        <x:v>14</x:v>
      </x:c>
      <x:c r="T58" s="16" t="n">
        <x:v>5</x:v>
      </x:c>
    </x:row>
    <x:row r="59" ht="48" customHeight="1">
      <x:c r="A59" s="16" t="n">
        <x:f>ROW()-1</x:f>
        <x:v>58</x:v>
      </x:c>
      <x:c r="B59" s="16" t="n">
        <x:f>SUM(Q59:T59)</x:f>
        <x:v>87</x:v>
      </x:c>
      <x:c r="C59" s="17" t="str">
        <x:f>IF(B59&gt;=93,"A — Highest authority",IF(B59&gt;=85,"B — Very strong",IF(B59&gt;=75,"C — Strong",IF(B59&gt;=65,"D — Useful with context","E — Supporting / lower weight"))))</x:f>
        <x:v>B — Very strong</x:v>
      </x:c>
      <x:c r="D59" s="14" t="str">
        <x:v>From openness to deterrence: Europe’s doctrine of reactive assertiveness</x:v>
      </x:c>
      <x:c r="E59" s="20" t="n">
        <x:v>46173</x:v>
      </x:c>
      <x:c r="F59" s="17" t="str">
        <x:v>A</x:v>
      </x:c>
      <x:c r="G59" s="14" t="str"/>
      <x:c r="H59" s="14" t="str">
        <x:v>European Policy Centre</x:v>
      </x:c>
      <x:c r="I59" s="14" t="str">
        <x:v>Georg Riekeles; Varg Folkman</x:v>
      </x:c>
      <x:c r="J59" s="14" t="str">
        <x:v>Leading policy research institute. High policy standing: established European/international research or policy institute.</x:v>
      </x:c>
      <x:c r="K59" s="14" t="str">
        <x:v>Directly concerns Europe/EU and research, technology, innovation, funding or science policy.</x:v>
      </x:c>
      <x:c r="L59" s="14" t="str">
        <x:v>Direct EU relevance</x:v>
      </x:c>
      <x:c r="M59" s="14" t="str">
        <x:v>Manually verified scholarly/policy source</x:v>
      </x:c>
      <x:c r="N59" s="14" t="str">
        <x:v>Tier 1</x:v>
      </x:c>
      <x:c r="O59" s="14" t="str">
        <x:v>https://epc.eu/publication/from-openness-to-deterrence-europes-doctrine-of-reactive-assertiveness/</x:v>
      </x:c>
      <x:c r="P59" s="14" t="str">
        <x:v>https://epc.eu/about/</x:v>
      </x:c>
      <x:c r="Q59" s="16" t="n">
        <x:v>43</x:v>
      </x:c>
      <x:c r="R59" s="16" t="n">
        <x:v>25</x:v>
      </x:c>
      <x:c r="S59" s="16" t="n">
        <x:v>14</x:v>
      </x:c>
      <x:c r="T59" s="16" t="n">
        <x:v>5</x:v>
      </x:c>
    </x:row>
    <x:row r="60" ht="48" customHeight="1">
      <x:c r="A60" s="16" t="n">
        <x:f>ROW()-1</x:f>
        <x:v>59</x:v>
      </x:c>
      <x:c r="B60" s="16" t="n">
        <x:f>SUM(Q60:T60)</x:f>
        <x:v>87</x:v>
      </x:c>
      <x:c r="C60" s="17" t="str">
        <x:f>IF(B60&gt;=93,"A — Highest authority",IF(B60&gt;=85,"B — Very strong",IF(B60&gt;=75,"C — Strong",IF(B60&gt;=65,"D — Useful with context","E — Supporting / lower weight"))))</x:f>
        <x:v>B — Very strong</x:v>
      </x:c>
      <x:c r="D60" s="14" t="str">
        <x:v>Driving Defence: The automotive sector’s role as a potential enabler of Europe’s defence surge</x:v>
      </x:c>
      <x:c r="E60" s="20" t="n">
        <x:v>46171</x:v>
      </x:c>
      <x:c r="F60" s="17" t="str">
        <x:v>A</x:v>
      </x:c>
      <x:c r="G60" s="14" t="str"/>
      <x:c r="H60" s="14" t="str">
        <x:v>European Policy Centre</x:v>
      </x:c>
      <x:c r="I60" s="14" t="str">
        <x:v>Paul Taylor</x:v>
      </x:c>
      <x:c r="J60" s="14" t="str">
        <x:v>Leading policy research institute. High policy standing: established European/international research or policy institute.</x:v>
      </x:c>
      <x:c r="K60" s="14" t="str">
        <x:v>Directly concerns Europe/EU and research, technology, innovation, funding or science policy.</x:v>
      </x:c>
      <x:c r="L60" s="14" t="str">
        <x:v>Direct EU relevance</x:v>
      </x:c>
      <x:c r="M60" s="14" t="str">
        <x:v>Manually verified scholarly/policy source</x:v>
      </x:c>
      <x:c r="N60" s="14" t="str">
        <x:v>Tier 1</x:v>
      </x:c>
      <x:c r="O60" s="14" t="str">
        <x:v>https://epc.eu/publication/driving-defence-the-automotive-sectors-role-as-a-potential-enabler-of-europes-defence-surge/</x:v>
      </x:c>
      <x:c r="P60" s="14" t="str">
        <x:v>https://epc.eu/about/</x:v>
      </x:c>
      <x:c r="Q60" s="16" t="n">
        <x:v>43</x:v>
      </x:c>
      <x:c r="R60" s="16" t="n">
        <x:v>25</x:v>
      </x:c>
      <x:c r="S60" s="16" t="n">
        <x:v>14</x:v>
      </x:c>
      <x:c r="T60" s="16" t="n">
        <x:v>5</x:v>
      </x:c>
    </x:row>
    <x:row r="61" ht="48" customHeight="1">
      <x:c r="A61" s="16" t="n">
        <x:f>ROW()-1</x:f>
        <x:v>60</x:v>
      </x:c>
      <x:c r="B61" s="16" t="n">
        <x:f>SUM(Q61:T61)</x:f>
        <x:v>87</x:v>
      </x:c>
      <x:c r="C61" s="17" t="str">
        <x:f>IF(B61&gt;=93,"A — Highest authority",IF(B61&gt;=85,"B — Very strong",IF(B61&gt;=75,"C — Strong",IF(B61&gt;=65,"D — Useful with context","E — Supporting / lower weight"))))</x:f>
        <x:v>B — Very strong</x:v>
      </x:c>
      <x:c r="D61" s="14" t="str">
        <x:v>The critical in critical technologies</x:v>
      </x:c>
      <x:c r="E61" s="20" t="n">
        <x:v>46170</x:v>
      </x:c>
      <x:c r="F61" s="17" t="str">
        <x:v>A</x:v>
      </x:c>
      <x:c r="G61" s="14" t="str"/>
      <x:c r="H61" s="14" t="str">
        <x:v>European Policy Centre</x:v>
      </x:c>
      <x:c r="I61" s="14" t="str">
        <x:v>Bart Hogeveen</x:v>
      </x:c>
      <x:c r="J61" s="14" t="str">
        <x:v>Leading policy research institute. High policy standing: established European/international research or policy institute.</x:v>
      </x:c>
      <x:c r="K61" s="14" t="str">
        <x:v>Directly concerns Europe/EU and research, technology, innovation, funding or science policy.</x:v>
      </x:c>
      <x:c r="L61" s="14" t="str">
        <x:v>Direct EU relevance</x:v>
      </x:c>
      <x:c r="M61" s="14" t="str">
        <x:v>Manually verified scholarly/policy source</x:v>
      </x:c>
      <x:c r="N61" s="14" t="str">
        <x:v>Tier 1</x:v>
      </x:c>
      <x:c r="O61" s="14" t="str">
        <x:v>https://epc.eu/publication/the-critical-in-critical-technologies/</x:v>
      </x:c>
      <x:c r="P61" s="14" t="str">
        <x:v>https://epc.eu/about/</x:v>
      </x:c>
      <x:c r="Q61" s="16" t="n">
        <x:v>43</x:v>
      </x:c>
      <x:c r="R61" s="16" t="n">
        <x:v>25</x:v>
      </x:c>
      <x:c r="S61" s="16" t="n">
        <x:v>14</x:v>
      </x:c>
      <x:c r="T61" s="16" t="n">
        <x:v>5</x:v>
      </x:c>
    </x:row>
    <x:row r="62" ht="48" customHeight="1">
      <x:c r="A62" s="16" t="n">
        <x:f>ROW()-1</x:f>
        <x:v>61</x:v>
      </x:c>
      <x:c r="B62" s="16" t="n">
        <x:f>SUM(Q62:T62)</x:f>
        <x:v>87</x:v>
      </x:c>
      <x:c r="C62" s="17" t="str">
        <x:f>IF(B62&gt;=93,"A — Highest authority",IF(B62&gt;=85,"B — Very strong",IF(B62&gt;=75,"C — Strong",IF(B62&gt;=65,"D — Useful with context","E — Supporting / lower weight"))))</x:f>
        <x:v>B — Very strong</x:v>
      </x:c>
      <x:c r="D62" s="14" t="str">
        <x:v>The flaws in the European Union’s proposed Industrial Accelerator Act and how to fix them</x:v>
      </x:c>
      <x:c r="E62" s="20" t="n">
        <x:v>46163</x:v>
      </x:c>
      <x:c r="F62" s="17" t="str">
        <x:v>A</x:v>
      </x:c>
      <x:c r="G62" s="14" t="str"/>
      <x:c r="H62" s="14" t="str">
        <x:v>Bruegel</x:v>
      </x:c>
      <x:c r="I62" s="14" t="str">
        <x:v>Ignacio García Bercero; Antoine Mathieu Collin; Ben McWilliams; Simone Tagliapietra</x:v>
      </x:c>
      <x:c r="J62" s="14" t="str">
        <x:v>Leading policy research institute. High policy standing: established European/international research or policy institute.</x:v>
      </x:c>
      <x:c r="K62" s="14" t="str">
        <x:v>Directly concerns Europe/EU and research, technology, innovation, funding or science policy.</x:v>
      </x:c>
      <x:c r="L62" s="14" t="str">
        <x:v>Direct EU relevance</x:v>
      </x:c>
      <x:c r="M62" s="14" t="str">
        <x:v>Manually verified scholarly/policy source</x:v>
      </x:c>
      <x:c r="N62" s="14" t="str">
        <x:v>Tier 1</x:v>
      </x:c>
      <x:c r="O62" s="14" t="str">
        <x:v>https://www.bruegel.org/policy-brief/flaws-european-unions-proposed-industrial-accelerator-act-and-how-fix-them</x:v>
      </x:c>
      <x:c r="P62" s="14" t="str">
        <x:v>https://www.bruegel.org/</x:v>
      </x:c>
      <x:c r="Q62" s="16" t="n">
        <x:v>43</x:v>
      </x:c>
      <x:c r="R62" s="16" t="n">
        <x:v>25</x:v>
      </x:c>
      <x:c r="S62" s="16" t="n">
        <x:v>14</x:v>
      </x:c>
      <x:c r="T62" s="16" t="n">
        <x:v>5</x:v>
      </x:c>
    </x:row>
    <x:row r="63" ht="48" customHeight="1">
      <x:c r="A63" s="16" t="n">
        <x:f>ROW()-1</x:f>
        <x:v>62</x:v>
      </x:c>
      <x:c r="B63" s="16" t="n">
        <x:f>SUM(Q63:T63)</x:f>
        <x:v>87</x:v>
      </x:c>
      <x:c r="C63" s="17" t="str">
        <x:f>IF(B63&gt;=93,"A — Highest authority",IF(B63&gt;=85,"B — Very strong",IF(B63&gt;=75,"C — Strong",IF(B63&gt;=65,"D — Useful with context","E — Supporting / lower weight"))))</x:f>
        <x:v>B — Very strong</x:v>
      </x:c>
      <x:c r="D63" s="14" t="str">
        <x:v>The growth of dual-use by design research in Europe: Export control risks and challenges</x:v>
      </x:c>
      <x:c r="E63" s="20" t="n">
        <x:v>46163</x:v>
      </x:c>
      <x:c r="F63" s="17" t="str">
        <x:v>A</x:v>
      </x:c>
      <x:c r="G63" s="14" t="str"/>
      <x:c r="H63" s="14" t="str">
        <x:v>Stockholm International Peace Research Institute</x:v>
      </x:c>
      <x:c r="I63" s="14" t="str">
        <x:v>Lauriane Héau</x:v>
      </x:c>
      <x:c r="J63" s="14" t="str">
        <x:v>Leading policy research institute. High policy standing: established European/international research or policy institute.</x:v>
      </x:c>
      <x:c r="K63" s="14" t="str">
        <x:v>Directly concerns Europe/EU and research, technology, innovation, funding or science policy.</x:v>
      </x:c>
      <x:c r="L63" s="14" t="str">
        <x:v>Direct EU relevance</x:v>
      </x:c>
      <x:c r="M63" s="14" t="str">
        <x:v>Manually verified scholarly/policy source</x:v>
      </x:c>
      <x:c r="N63" s="14" t="str">
        <x:v>Tier 2</x:v>
      </x:c>
      <x:c r="O63" s="14" t="str">
        <x:v>https://www.sipri.org/commentary/topical-backgrounder/2026/growth-dual-use-design-research-europe-export-control-risks-and-challenges</x:v>
      </x:c>
      <x:c r="P63" s="14" t="str">
        <x:v>https://www.sipri.org/about/organization</x:v>
      </x:c>
      <x:c r="Q63" s="16" t="n">
        <x:v>43</x:v>
      </x:c>
      <x:c r="R63" s="16" t="n">
        <x:v>25</x:v>
      </x:c>
      <x:c r="S63" s="16" t="n">
        <x:v>14</x:v>
      </x:c>
      <x:c r="T63" s="16" t="n">
        <x:v>5</x:v>
      </x:c>
    </x:row>
    <x:row r="64" ht="48" customHeight="1">
      <x:c r="A64" s="16" t="n">
        <x:f>ROW()-1</x:f>
        <x:v>63</x:v>
      </x:c>
      <x:c r="B64" s="16" t="n">
        <x:f>SUM(Q64:T64)</x:f>
        <x:v>87</x:v>
      </x:c>
      <x:c r="C64" s="17" t="str">
        <x:f>IF(B64&gt;=93,"A — Highest authority",IF(B64&gt;=85,"B — Very strong",IF(B64&gt;=75,"C — Strong",IF(B64&gt;=65,"D — Useful with context","E — Supporting / lower weight"))))</x:f>
        <x:v>B — Very strong</x:v>
      </x:c>
      <x:c r="D64" s="14" t="str">
        <x:v>Dual-use and Defence Research in Europe</x:v>
      </x:c>
      <x:c r="E64" s="20" t="n">
        <x:v>46162</x:v>
      </x:c>
      <x:c r="F64" s="17" t="str">
        <x:v>A</x:v>
      </x:c>
      <x:c r="G64" s="14" t="str"/>
      <x:c r="H64" s="14" t="str">
        <x:v>Center for Security Studies, ETH Zurich</x:v>
      </x:c>
      <x:c r="I64" s="14" t="str">
        <x:v>Leo Eigner</x:v>
      </x:c>
      <x:c r="J64" s="14" t="str">
        <x:v>Leading policy research institute. High policy standing: established European/international research or policy institute.</x:v>
      </x:c>
      <x:c r="K64" s="14" t="str">
        <x:v>Directly concerns Europe/EU and research, technology, innovation, funding or science policy.</x:v>
      </x:c>
      <x:c r="L64" s="14" t="str">
        <x:v>Direct EU relevance</x:v>
      </x:c>
      <x:c r="M64" s="14" t="str">
        <x:v>Manually verified scholarly/policy source</x:v>
      </x:c>
      <x:c r="N64" s="14" t="str">
        <x:v>Tier 2</x:v>
      </x:c>
      <x:c r="O64" s="14" t="str">
        <x:v>https://css.ethz.ch/en/center/CSS-news/2026/05/dual-use-and-defence-research-in-europe.html</x:v>
      </x:c>
      <x:c r="P64" s="14" t="str"/>
      <x:c r="Q64" s="16" t="n">
        <x:v>43</x:v>
      </x:c>
      <x:c r="R64" s="16" t="n">
        <x:v>25</x:v>
      </x:c>
      <x:c r="S64" s="16" t="n">
        <x:v>14</x:v>
      </x:c>
      <x:c r="T64" s="16" t="n">
        <x:v>5</x:v>
      </x:c>
    </x:row>
    <x:row r="65" ht="48" customHeight="1">
      <x:c r="A65" s="16" t="n">
        <x:f>ROW()-1</x:f>
        <x:v>64</x:v>
      </x:c>
      <x:c r="B65" s="16" t="n">
        <x:f>SUM(Q65:T65)</x:f>
        <x:v>87</x:v>
      </x:c>
      <x:c r="C65" s="17" t="str">
        <x:f>IF(B65&gt;=93,"A — Highest authority",IF(B65&gt;=85,"B — Very strong",IF(B65&gt;=75,"C — Strong",IF(B65&gt;=65,"D — Useful with context","E — Supporting / lower weight"))))</x:f>
        <x:v>B — Very strong</x:v>
      </x:c>
      <x:c r="D65" s="14" t="str">
        <x:v>Europe needs a strategy to close the artificial intelligence compute gap</x:v>
      </x:c>
      <x:c r="E65" s="20" t="n">
        <x:v>46161</x:v>
      </x:c>
      <x:c r="F65" s="17" t="str">
        <x:v>A</x:v>
      </x:c>
      <x:c r="G65" s="14" t="str"/>
      <x:c r="H65" s="14" t="str">
        <x:v>Bruegel</x:v>
      </x:c>
      <x:c r="I65" s="14" t="str">
        <x:v>Alicia García-Herrero; Bertin Martens</x:v>
      </x:c>
      <x:c r="J65" s="14" t="str">
        <x:v>Leading policy research institute. High policy standing: established European/international research or policy institute.</x:v>
      </x:c>
      <x:c r="K65" s="14" t="str">
        <x:v>Directly concerns Europe/EU and research, technology, innovation, funding or science policy.</x:v>
      </x:c>
      <x:c r="L65" s="14" t="str">
        <x:v>Direct EU relevance</x:v>
      </x:c>
      <x:c r="M65" s="14" t="str">
        <x:v>Manually verified scholarly/policy source</x:v>
      </x:c>
      <x:c r="N65" s="14" t="str">
        <x:v>Tier 1</x:v>
      </x:c>
      <x:c r="O65" s="14" t="str">
        <x:v>https://www.bruegel.org/analysis/europe-needs-strategy-close-artificial-intelligence-compute-gap</x:v>
      </x:c>
      <x:c r="P65" s="14" t="str">
        <x:v>https://www.bruegel.org/</x:v>
      </x:c>
      <x:c r="Q65" s="16" t="n">
        <x:v>43</x:v>
      </x:c>
      <x:c r="R65" s="16" t="n">
        <x:v>25</x:v>
      </x:c>
      <x:c r="S65" s="16" t="n">
        <x:v>14</x:v>
      </x:c>
      <x:c r="T65" s="16" t="n">
        <x:v>5</x:v>
      </x:c>
    </x:row>
    <x:row r="66" ht="48" customHeight="1">
      <x:c r="A66" s="16" t="n">
        <x:f>ROW()-1</x:f>
        <x:v>65</x:v>
      </x:c>
      <x:c r="B66" s="16" t="n">
        <x:f>SUM(Q66:T66)</x:f>
        <x:v>87</x:v>
      </x:c>
      <x:c r="C66" s="17" t="str">
        <x:f>IF(B66&gt;=93,"A — Highest authority",IF(B66&gt;=85,"B — Very strong",IF(B66&gt;=75,"C — Strong",IF(B66&gt;=65,"D — Useful with context","E — Supporting / lower weight"))))</x:f>
        <x:v>B — Very strong</x:v>
      </x:c>
      <x:c r="D66" s="14" t="str">
        <x:v>Revamping Europe’s chips strategy: indispensability, not self-sufficiency</x:v>
      </x:c>
      <x:c r="E66" s="20" t="n">
        <x:v>46155</x:v>
      </x:c>
      <x:c r="F66" s="17" t="str">
        <x:v>A</x:v>
      </x:c>
      <x:c r="G66" s="14" t="str"/>
      <x:c r="H66" s="14" t="str">
        <x:v>Bruegel</x:v>
      </x:c>
      <x:c r="I66" s="14" t="str">
        <x:v>Niclas Poitiers; Tillman Schenk</x:v>
      </x:c>
      <x:c r="J66" s="14" t="str">
        <x:v>Leading policy research institute. High policy standing: established European/international research or policy institute.</x:v>
      </x:c>
      <x:c r="K66" s="14" t="str">
        <x:v>Directly concerns Europe/EU and research, technology, innovation, funding or science policy.</x:v>
      </x:c>
      <x:c r="L66" s="14" t="str">
        <x:v>Direct EU relevance</x:v>
      </x:c>
      <x:c r="M66" s="14" t="str">
        <x:v>Manually verified scholarly/policy source</x:v>
      </x:c>
      <x:c r="N66" s="14" t="str">
        <x:v>Tier 1</x:v>
      </x:c>
      <x:c r="O66" s="14" t="str">
        <x:v>https://www.bruegel.org/sites/default/files/2026-05/revamping-europe%E2%80%99s-chips-strategy%3A-indispensability%2C-not-self-sufficiency-12183_2.pdf</x:v>
      </x:c>
      <x:c r="P66" s="14" t="str">
        <x:v>https://www.bruegel.org/</x:v>
      </x:c>
      <x:c r="Q66" s="16" t="n">
        <x:v>43</x:v>
      </x:c>
      <x:c r="R66" s="16" t="n">
        <x:v>25</x:v>
      </x:c>
      <x:c r="S66" s="16" t="n">
        <x:v>14</x:v>
      </x:c>
      <x:c r="T66" s="16" t="n">
        <x:v>5</x:v>
      </x:c>
    </x:row>
    <x:row r="67" ht="48" customHeight="1">
      <x:c r="A67" s="16" t="n">
        <x:f>ROW()-1</x:f>
        <x:v>66</x:v>
      </x:c>
      <x:c r="B67" s="16" t="n">
        <x:f>SUM(Q67:T67)</x:f>
        <x:v>87</x:v>
      </x:c>
      <x:c r="C67" s="17" t="str">
        <x:f>IF(B67&gt;=93,"A — Highest authority",IF(B67&gt;=85,"B — Very strong",IF(B67&gt;=75,"C — Strong",IF(B67&gt;=65,"D — Useful with context","E — Supporting / lower weight"))))</x:f>
        <x:v>B — Very strong</x:v>
      </x:c>
      <x:c r="D67" s="14" t="str">
        <x:v>Selective Conditionality: The EU’s Emerging Approach to Foreign Investment</x:v>
      </x:c>
      <x:c r="E67" s="20" t="n">
        <x:v>46153</x:v>
      </x:c>
      <x:c r="F67" s="17" t="str">
        <x:v>A</x:v>
      </x:c>
      <x:c r="G67" s="14" t="str"/>
      <x:c r="H67" s="14" t="str">
        <x:v>Jacques Delors Centre</x:v>
      </x:c>
      <x:c r="I67" s="14" t="str">
        <x:v>Jannik Jansen; Arthur Leichthammer</x:v>
      </x:c>
      <x:c r="J67" s="14" t="str">
        <x:v>Leading policy research institute. High policy standing: established European/international research or policy institute.</x:v>
      </x:c>
      <x:c r="K67" s="14" t="str">
        <x:v>Directly concerns Europe/EU and research, technology, innovation, funding or science policy.</x:v>
      </x:c>
      <x:c r="L67" s="14" t="str">
        <x:v>Direct EU relevance</x:v>
      </x:c>
      <x:c r="M67" s="14" t="str">
        <x:v>Manually verified scholarly/policy source</x:v>
      </x:c>
      <x:c r="N67" s="14" t="str">
        <x:v>Tier 2 comparable</x:v>
      </x:c>
      <x:c r="O67" s="14" t="str">
        <x:v>https://www.delorscentre.eu/en/publications/detail/publication/selective-conditionality</x:v>
      </x:c>
      <x:c r="P67" s="14" t="str"/>
      <x:c r="Q67" s="16" t="n">
        <x:v>43</x:v>
      </x:c>
      <x:c r="R67" s="16" t="n">
        <x:v>25</x:v>
      </x:c>
      <x:c r="S67" s="16" t="n">
        <x:v>14</x:v>
      </x:c>
      <x:c r="T67" s="16" t="n">
        <x:v>5</x:v>
      </x:c>
    </x:row>
    <x:row r="68" ht="48" customHeight="1">
      <x:c r="A68" s="16" t="n">
        <x:f>ROW()-1</x:f>
        <x:v>67</x:v>
      </x:c>
      <x:c r="B68" s="16" t="n">
        <x:f>SUM(Q68:T68)</x:f>
        <x:v>87</x:v>
      </x:c>
      <x:c r="C68" s="17" t="str">
        <x:f>IF(B68&gt;=93,"A — Highest authority",IF(B68&gt;=85,"B — Very strong",IF(B68&gt;=75,"C — Strong",IF(B68&gt;=65,"D — Useful with context","E — Supporting / lower weight"))))</x:f>
        <x:v>B — Very strong</x:v>
      </x:c>
      <x:c r="D68" s="14" t="str">
        <x:v>Flanders’ competitiveness and investment priorities in key strategic technologies – CEPS</x:v>
      </x:c>
      <x:c r="E68" s="20" t="n">
        <x:v>46150</x:v>
      </x:c>
      <x:c r="F68" s="17" t="str">
        <x:v>A</x:v>
      </x:c>
      <x:c r="G68" s="14" t="str"/>
      <x:c r="H68" s="14" t="str">
        <x:v>CEPS</x:v>
      </x:c>
      <x:c r="I68" s="14" t="str">
        <x:v>CEPS</x:v>
      </x:c>
      <x:c r="J68" s="14" t="str">
        <x:v>Leading policy research institute. High policy standing: established European/international research or policy institute.</x:v>
      </x:c>
      <x:c r="K68" s="14" t="str">
        <x:v>Directly concerns Europe/EU and research, technology, innovation, funding or science policy.</x:v>
      </x:c>
      <x:c r="L68" s="14" t="str">
        <x:v>Direct EU relevance</x:v>
      </x:c>
      <x:c r="M68" s="14" t="str">
        <x:v>Institutional report</x:v>
      </x:c>
      <x:c r="N68" s="14" t="str">
        <x:v>Tier 1</x:v>
      </x:c>
      <x:c r="O68" s="14" t="str">
        <x:v>https://www.vario.be/files/VARIO_adviezen-en-rapporten/2026_FEBRUARI_VARIO_ANALYSERAPPORT_47_INVESTERINGSOPPORTUNITEITEN_STRATEGISCHE-TECHNOLOGIE%C3%8BN.pdf</x:v>
      </x:c>
      <x:c r="P68" s="14" t="str">
        <x:v>https://www.ceps.eu/about-ceps/</x:v>
      </x:c>
      <x:c r="Q68" s="16" t="n">
        <x:v>43</x:v>
      </x:c>
      <x:c r="R68" s="16" t="n">
        <x:v>25</x:v>
      </x:c>
      <x:c r="S68" s="16" t="n">
        <x:v>14</x:v>
      </x:c>
      <x:c r="T68" s="16" t="n">
        <x:v>5</x:v>
      </x:c>
    </x:row>
    <x:row r="69" ht="48" customHeight="1">
      <x:c r="A69" s="16" t="n">
        <x:f>ROW()-1</x:f>
        <x:v>68</x:v>
      </x:c>
      <x:c r="B69" s="16" t="n">
        <x:f>SUM(Q69:T69)</x:f>
        <x:v>87</x:v>
      </x:c>
      <x:c r="C69" s="17" t="str">
        <x:f>IF(B69&gt;=93,"A — Highest authority",IF(B69&gt;=85,"B — Very strong",IF(B69&gt;=75,"C — Strong",IF(B69&gt;=65,"D — Useful with context","E — Supporting / lower weight"))))</x:f>
        <x:v>B — Very strong</x:v>
      </x:c>
      <x:c r="D69" s="14" t="str">
        <x:v>Who controls the defence industry?</x:v>
      </x:c>
      <x:c r="E69" s="20" t="n">
        <x:v>46149</x:v>
      </x:c>
      <x:c r="F69" s="17" t="str">
        <x:v>A</x:v>
      </x:c>
      <x:c r="G69" s="14" t="str"/>
      <x:c r="H69" s="14" t="str">
        <x:v>Bruegel</x:v>
      </x:c>
      <x:c r="I69" s="14" t="str">
        <x:v>Marco Becht; Juan Mejino-López; Guntram B. Wolff</x:v>
      </x:c>
      <x:c r="J69" s="14" t="str">
        <x:v>Leading policy research institute. High policy standing: established European/international research or policy institute.</x:v>
      </x:c>
      <x:c r="K69" s="14" t="str">
        <x:v>Directly concerns Europe/EU and research, technology, innovation, funding or science policy.</x:v>
      </x:c>
      <x:c r="L69" s="14" t="str">
        <x:v>Direct EU relevance</x:v>
      </x:c>
      <x:c r="M69" s="14" t="str">
        <x:v>Manually verified scholarly/policy source</x:v>
      </x:c>
      <x:c r="N69" s="14" t="str">
        <x:v>Tier 1</x:v>
      </x:c>
      <x:c r="O69" s="14" t="str">
        <x:v>https://www.bruegel.org/working-paper/who-controls-defence-industry</x:v>
      </x:c>
      <x:c r="P69" s="14" t="str">
        <x:v>https://www.bruegel.org/</x:v>
      </x:c>
      <x:c r="Q69" s="16" t="n">
        <x:v>43</x:v>
      </x:c>
      <x:c r="R69" s="16" t="n">
        <x:v>25</x:v>
      </x:c>
      <x:c r="S69" s="16" t="n">
        <x:v>14</x:v>
      </x:c>
      <x:c r="T69" s="16" t="n">
        <x:v>5</x:v>
      </x:c>
    </x:row>
    <x:row r="70" ht="48" customHeight="1">
      <x:c r="A70" s="16" t="n">
        <x:f>ROW()-1</x:f>
        <x:v>69</x:v>
      </x:c>
      <x:c r="B70" s="16" t="n">
        <x:f>SUM(Q70:T70)</x:f>
        <x:v>87</x:v>
      </x:c>
      <x:c r="C70" s="17" t="str">
        <x:f>IF(B70&gt;=93,"A — Highest authority",IF(B70&gt;=85,"B — Very strong",IF(B70&gt;=75,"C — Strong",IF(B70&gt;=65,"D — Useful with context","E — Supporting / lower weight"))))</x:f>
        <x:v>B — Very strong</x:v>
      </x:c>
      <x:c r="D70" s="14" t="str">
        <x:v>Made in China, Powered by Europe: Mapping the EU’s Strategic Leverage Over the People’s Republic of China</x:v>
      </x:c>
      <x:c r="E70" s="20" t="n">
        <x:v>46148</x:v>
      </x:c>
      <x:c r="F70" s="17" t="str">
        <x:v>A</x:v>
      </x:c>
      <x:c r="G70" s="14" t="str"/>
      <x:c r="H70" s="14" t="str">
        <x:v>Wilfried Martens Centre for European Studies</x:v>
      </x:c>
      <x:c r="I70" s="14" t="str">
        <x:v>Sam Goodman; Dimitar Lilkov</x:v>
      </x:c>
      <x:c r="J70" s="14" t="str">
        <x:v>Leading policy research institute. High policy standing: established European/international research or policy institute.</x:v>
      </x:c>
      <x:c r="K70" s="14" t="str">
        <x:v>Directly concerns Europe/EU and research, technology, innovation, funding or science policy.</x:v>
      </x:c>
      <x:c r="L70" s="14" t="str">
        <x:v>Direct EU relevance</x:v>
      </x:c>
      <x:c r="M70" s="14" t="str">
        <x:v>Manually verified scholarly/policy source</x:v>
      </x:c>
      <x:c r="N70" s="14" t="str">
        <x:v>Tier 2 comparable</x:v>
      </x:c>
      <x:c r="O70" s="14" t="str">
        <x:v>https://www.martenscentre.eu/publication/made-in-china-powered-by-europe-mapping-the-eus-strategic-leverage-over-the-peoples-republic-of-china/</x:v>
      </x:c>
      <x:c r="P70" s="14" t="str"/>
      <x:c r="Q70" s="16" t="n">
        <x:v>43</x:v>
      </x:c>
      <x:c r="R70" s="16" t="n">
        <x:v>25</x:v>
      </x:c>
      <x:c r="S70" s="16" t="n">
        <x:v>14</x:v>
      </x:c>
      <x:c r="T70" s="16" t="n">
        <x:v>5</x:v>
      </x:c>
    </x:row>
    <x:row r="71" ht="48" customHeight="1">
      <x:c r="A71" s="16" t="n">
        <x:f>ROW()-1</x:f>
        <x:v>70</x:v>
      </x:c>
      <x:c r="B71" s="16" t="n">
        <x:f>SUM(Q71:T71)</x:f>
        <x:v>87</x:v>
      </x:c>
      <x:c r="C71" s="17" t="str">
        <x:f>IF(B71&gt;=93,"A — Highest authority",IF(B71&gt;=85,"B — Very strong",IF(B71&gt;=75,"C — Strong",IF(B71&gt;=65,"D — Useful with context","E — Supporting / lower weight"))))</x:f>
        <x:v>B — Very strong</x:v>
      </x:c>
      <x:c r="D71" s="14" t="str">
        <x:v>Cyber (Dis)armament in Practice: The EU’s Role in Governing Software Vulnerabilities in a Fragmented International Order</x:v>
      </x:c>
      <x:c r="E71" s="20" t="n">
        <x:v>46143</x:v>
      </x:c>
      <x:c r="F71" s="17" t="str">
        <x:v>A</x:v>
      </x:c>
      <x:c r="G71" s="14" t="str"/>
      <x:c r="H71" s="14" t="str">
        <x:v>Stockholm International Peace Research Institute (SIPRI)</x:v>
      </x:c>
      <x:c r="I71" s="14" t="str">
        <x:v>Eugenio Benincasa</x:v>
      </x:c>
      <x:c r="J71" s="14" t="str">
        <x:v>Leading policy research institute. High policy standing: established European/international research or policy institute.</x:v>
      </x:c>
      <x:c r="K71" s="14" t="str">
        <x:v>Directly concerns Europe/EU and research, technology, innovation, funding or science policy.</x:v>
      </x:c>
      <x:c r="L71" s="14" t="str">
        <x:v>Direct EU relevance</x:v>
      </x:c>
      <x:c r="M71" s="14" t="str">
        <x:v>Manually verified scholarly/policy source</x:v>
      </x:c>
      <x:c r="N71" s="14" t="str">
        <x:v>Tier 1</x:v>
      </x:c>
      <x:c r="O71" s="14" t="str">
        <x:v>https://www.sipri.org/publications/2026/eu-non-proliferation-and-disarmament-papers/cyber-disarmament-practice-eus-role-governing-software-vulnerabilities-fragmented-international</x:v>
      </x:c>
      <x:c r="P71" s="14" t="str">
        <x:v>https://www.sipri.org/about/organization</x:v>
      </x:c>
      <x:c r="Q71" s="16" t="n">
        <x:v>43</x:v>
      </x:c>
      <x:c r="R71" s="16" t="n">
        <x:v>25</x:v>
      </x:c>
      <x:c r="S71" s="16" t="n">
        <x:v>14</x:v>
      </x:c>
      <x:c r="T71" s="16" t="n">
        <x:v>5</x:v>
      </x:c>
    </x:row>
    <x:row r="72" ht="48" customHeight="1">
      <x:c r="A72" s="16" t="n">
        <x:f>ROW()-1</x:f>
        <x:v>71</x:v>
      </x:c>
      <x:c r="B72" s="16" t="n">
        <x:f>SUM(Q72:T72)</x:f>
        <x:v>87</x:v>
      </x:c>
      <x:c r="C72" s="17" t="str">
        <x:f>IF(B72&gt;=93,"A — Highest authority",IF(B72&gt;=85,"B — Very strong",IF(B72&gt;=75,"C — Strong",IF(B72&gt;=65,"D — Useful with context","E — Supporting / lower weight"))))</x:f>
        <x:v>B — Very strong</x:v>
      </x:c>
      <x:c r="D72" s="14" t="str">
        <x:v>The EU’s geoeconomic gap: Why policy potential misses the mark</x:v>
      </x:c>
      <x:c r="E72" s="20" t="n">
        <x:v>46143</x:v>
      </x:c>
      <x:c r="F72" s="17" t="str">
        <x:v>A</x:v>
      </x:c>
      <x:c r="G72" s="14" t="str"/>
      <x:c r="H72" s="14" t="str">
        <x:v>Finnish Institute of International Affairs (FIIA)</x:v>
      </x:c>
      <x:c r="I72" s="14" t="str">
        <x:v>Tomi Kristeri; Cordelia Buchanan Ponczek</x:v>
      </x:c>
      <x:c r="J72" s="14" t="str">
        <x:v>Leading policy research institute. High policy standing: established European/international research or policy institute.</x:v>
      </x:c>
      <x:c r="K72" s="14" t="str">
        <x:v>Directly concerns Europe/EU and research, technology, innovation, funding or science policy.</x:v>
      </x:c>
      <x:c r="L72" s="14" t="str">
        <x:v>Direct EU relevance</x:v>
      </x:c>
      <x:c r="M72" s="14" t="str">
        <x:v>Manually verified scholarly/policy source</x:v>
      </x:c>
      <x:c r="N72" s="14" t="str">
        <x:v>Tier 1</x:v>
      </x:c>
      <x:c r="O72" s="14" t="str">
        <x:v>https://fiia.fi/en/publication/the-eus-geoeconomic-gap</x:v>
      </x:c>
      <x:c r="P72" s="14" t="str">
        <x:v>https://fiia.fi/en/institute/the-institute</x:v>
      </x:c>
      <x:c r="Q72" s="16" t="n">
        <x:v>43</x:v>
      </x:c>
      <x:c r="R72" s="16" t="n">
        <x:v>25</x:v>
      </x:c>
      <x:c r="S72" s="16" t="n">
        <x:v>14</x:v>
      </x:c>
      <x:c r="T72" s="16" t="n">
        <x:v>5</x:v>
      </x:c>
    </x:row>
    <x:row r="73" ht="48" customHeight="1">
      <x:c r="A73" s="16" t="n">
        <x:f>ROW()-1</x:f>
        <x:v>72</x:v>
      </x:c>
      <x:c r="B73" s="16" t="n">
        <x:f>SUM(Q73:T73)</x:f>
        <x:v>87</x:v>
      </x:c>
      <x:c r="C73" s="17" t="str">
        <x:f>IF(B73&gt;=93,"A — Highest authority",IF(B73&gt;=85,"B — Very strong",IF(B73&gt;=75,"C — Strong",IF(B73&gt;=65,"D — Useful with context","E — Supporting / lower weight"))))</x:f>
        <x:v>B — Very strong</x:v>
      </x:c>
      <x:c r="D73" s="14" t="str">
        <x:v>Industrial policy and technology linkages: Conceptualizing China’s approach</x:v>
      </x:c>
      <x:c r="E73" s="20" t="n">
        <x:v>46142</x:v>
      </x:c>
      <x:c r="F73" s="17" t="str">
        <x:v>A</x:v>
      </x:c>
      <x:c r="G73" s="14" t="str"/>
      <x:c r="H73" s="14" t="str">
        <x:v>MERICS</x:v>
      </x:c>
      <x:c r="I73" s="14" t="str">
        <x:v>MERICS</x:v>
      </x:c>
      <x:c r="J73" s="14" t="str">
        <x:v>Leading policy research institute. High policy standing: established European/international research or policy institute.</x:v>
      </x:c>
      <x:c r="K73" s="14" t="str">
        <x:v>Directly concerns Europe/EU and research, technology, innovation, funding or science policy.</x:v>
      </x:c>
      <x:c r="L73" s="14" t="str">
        <x:v>Direct EU relevance</x:v>
      </x:c>
      <x:c r="M73" s="14" t="str">
        <x:v>Institutional report</x:v>
      </x:c>
      <x:c r="N73" s="14" t="str">
        <x:v>Tier 1</x:v>
      </x:c>
      <x:c r="O73" s="14" t="str">
        <x:v>https://merics.org/sites/default/files/2026-08/vives-discussion-paper-107-schindowski-zenglein-groenewegen-lau-dp-industrial-policy-and-technology-linkages-conceptualizing-chinas-approach-004.pdf</x:v>
      </x:c>
      <x:c r="P73" s="14" t="str">
        <x:v>https://merics.org/en/about</x:v>
      </x:c>
      <x:c r="Q73" s="16" t="n">
        <x:v>43</x:v>
      </x:c>
      <x:c r="R73" s="16" t="n">
        <x:v>25</x:v>
      </x:c>
      <x:c r="S73" s="16" t="n">
        <x:v>14</x:v>
      </x:c>
      <x:c r="T73" s="16" t="n">
        <x:v>5</x:v>
      </x:c>
    </x:row>
    <x:row r="74" ht="48" customHeight="1">
      <x:c r="A74" s="16" t="n">
        <x:f>ROW()-1</x:f>
        <x:v>73</x:v>
      </x:c>
      <x:c r="B74" s="16" t="n">
        <x:f>SUM(Q74:T74)</x:f>
        <x:v>86</x:v>
      </x:c>
      <x:c r="C74" s="17" t="str">
        <x:f>IF(B74&gt;=93,"A — Highest authority",IF(B74&gt;=85,"B — Very strong",IF(B74&gt;=75,"C — Strong",IF(B74&gt;=65,"D — Useful with context","E — Supporting / lower weight"))))</x:f>
        <x:v>B — Very strong</x:v>
      </x:c>
      <x:c r="D74" s="14" t="str">
        <x:v>China's Diffusion‐Forward AI Strategy: The “ AI Race” in Political Economic Context</x:v>
      </x:c>
      <x:c r="E74" s="20" t="n">
        <x:v>46252</x:v>
      </x:c>
      <x:c r="F74" s="17" t="str">
        <x:v>A</x:v>
      </x:c>
      <x:c r="G74" s="14" t="str">
        <x:v>Asian Economic Policy Review</x:v>
      </x:c>
      <x:c r="H74" s="14" t="str"/>
      <x:c r="I74" s="14" t="str">
        <x:v>Hao Chen, Meg Rithmire</x:v>
      </x:c>
      <x:c r="J74" s="14" t="str">
        <x:v>Leading peer-reviewed journal. Very high academic standing: established, high-visibility peer-reviewed journal.</x:v>
      </x:c>
      <x:c r="K74" s="14" t="str">
        <x:v>Important development outside Europe that may change Europe’s technology position, dependencies, competitiveness or security.</x:v>
      </x:c>
      <x:c r="L74" s="14" t="str">
        <x:v>External development with material EU implications</x:v>
      </x:c>
      <x:c r="M74" s="14" t="str">
        <x:v>Peer-reviewed article</x:v>
      </x:c>
      <x:c r="N74" s="14" t="str">
        <x:v>Tier 2 broad journal</x:v>
      </x:c>
      <x:c r="O74" s="14" t="str">
        <x:v>https://doi.org/10.1111/aepr.70045</x:v>
      </x:c>
      <x:c r="P74" s="14" t="str"/>
      <x:c r="Q74" s="16" t="n">
        <x:v>46</x:v>
      </x:c>
      <x:c r="R74" s="16" t="n">
        <x:v>20</x:v>
      </x:c>
      <x:c r="S74" s="16" t="n">
        <x:v>15</x:v>
      </x:c>
      <x:c r="T74" s="16" t="n">
        <x:v>5</x:v>
      </x:c>
    </x:row>
    <x:row r="75" ht="48" customHeight="1">
      <x:c r="A75" s="16" t="n">
        <x:f>ROW()-1</x:f>
        <x:v>74</x:v>
      </x:c>
      <x:c r="B75" s="16" t="n">
        <x:f>SUM(Q75:T75)</x:f>
        <x:v>86</x:v>
      </x:c>
      <x:c r="C75" s="17" t="str">
        <x:f>IF(B75&gt;=93,"A — Highest authority",IF(B75&gt;=85,"B — Very strong",IF(B75&gt;=75,"C — Strong",IF(B75&gt;=65,"D — Useful with context","E — Supporting / lower weight"))))</x:f>
        <x:v>B — Very strong</x:v>
      </x:c>
      <x:c r="D75" s="14" t="str">
        <x:v>Scientific discovery in the age of AI and supercomputing</x:v>
      </x:c>
      <x:c r="E75" s="20" t="n">
        <x:v>46228</x:v>
      </x:c>
      <x:c r="F75" s="17" t="str">
        <x:v>A</x:v>
      </x:c>
      <x:c r="G75" s="14" t="str">
        <x:v>Scientific Reports</x:v>
      </x:c>
      <x:c r="H75" s="14" t="str"/>
      <x:c r="I75" s="14" t="str">
        <x:v>Stefano Bianchini, Aldo Geuna, Fazliddin Shermatov</x:v>
      </x:c>
      <x:c r="J75" s="14" t="str">
        <x:v>Leading peer-reviewed journal. Very high academic standing: established, high-visibility peer-reviewed journal.</x:v>
      </x:c>
      <x:c r="K75" s="14" t="str">
        <x:v>Important development outside Europe that may change Europe’s technology position, dependencies, competitiveness or security.</x:v>
      </x:c>
      <x:c r="L75" s="14" t="str">
        <x:v>External development with material EU implications</x:v>
      </x:c>
      <x:c r="M75" s="14" t="str">
        <x:v>Peer-reviewed article</x:v>
      </x:c>
      <x:c r="N75" s="14" t="str">
        <x:v>Tier 2 broad journal</x:v>
      </x:c>
      <x:c r="O75" s="14" t="str">
        <x:v>https://doi.org/10.1038/s41598-026-63438-7</x:v>
      </x:c>
      <x:c r="P75" s="14" t="str">
        <x:v>https://www.nature.com/srep/about</x:v>
      </x:c>
      <x:c r="Q75" s="16" t="n">
        <x:v>46</x:v>
      </x:c>
      <x:c r="R75" s="16" t="n">
        <x:v>20</x:v>
      </x:c>
      <x:c r="S75" s="16" t="n">
        <x:v>15</x:v>
      </x:c>
      <x:c r="T75" s="16" t="n">
        <x:v>5</x:v>
      </x:c>
    </x:row>
    <x:row r="76" ht="48" customHeight="1">
      <x:c r="A76" s="16" t="n">
        <x:f>ROW()-1</x:f>
        <x:v>75</x:v>
      </x:c>
      <x:c r="B76" s="16" t="n">
        <x:f>SUM(Q76:T76)</x:f>
        <x:v>86</x:v>
      </x:c>
      <x:c r="C76" s="17" t="str">
        <x:f>IF(B76&gt;=93,"A — Highest authority",IF(B76&gt;=85,"B — Very strong",IF(B76&gt;=75,"C — Strong",IF(B76&gt;=65,"D — Useful with context","E — Supporting / lower weight"))))</x:f>
        <x:v>B — Very strong</x:v>
      </x:c>
      <x:c r="D76" s="14" t="str">
        <x:v>The future is fermented: How Europe can succeed in the next industrial race – European Council on Foreign Relations</x:v>
      </x:c>
      <x:c r="E76" s="20" t="n">
        <x:v>46206</x:v>
      </x:c>
      <x:c r="F76" s="17" t="str">
        <x:v>A</x:v>
      </x:c>
      <x:c r="G76" s="14" t="str"/>
      <x:c r="H76" s="14" t="str">
        <x:v>European Council on Foreign Relations</x:v>
      </x:c>
      <x:c r="I76" s="14" t="str">
        <x:v>European Council on Foreign Relations</x:v>
      </x:c>
      <x:c r="J76" s="14" t="str">
        <x:v>Leading policy research institute. High policy standing: established European/international research or policy institute.</x:v>
      </x:c>
      <x:c r="K76" s="14" t="str">
        <x:v>Directly concerns Europe/EU and research, technology, innovation, funding or science policy.</x:v>
      </x:c>
      <x:c r="L76" s="14" t="str">
        <x:v>Direct EU relevance</x:v>
      </x:c>
      <x:c r="M76" s="14" t="str">
        <x:v>Institutional report</x:v>
      </x:c>
      <x:c r="N76" s="14" t="str">
        <x:v>Tier 1</x:v>
      </x:c>
      <x:c r="O76" s="14" t="str">
        <x:v>https://www.petrochemistry.eu/wp-content/uploads/2023/02/Petrochemistry-FlowChart2022_V06-FINAL.pdf</x:v>
      </x:c>
      <x:c r="P76" s="14" t="str">
        <x:v>https://ecfr.eu/about/</x:v>
      </x:c>
      <x:c r="Q76" s="16" t="n">
        <x:v>43</x:v>
      </x:c>
      <x:c r="R76" s="16" t="n">
        <x:v>25</x:v>
      </x:c>
      <x:c r="S76" s="16" t="n">
        <x:v>14</x:v>
      </x:c>
      <x:c r="T76" s="16" t="n">
        <x:v>4</x:v>
      </x:c>
    </x:row>
    <x:row r="77" ht="48" customHeight="1">
      <x:c r="A77" s="16" t="n">
        <x:f>ROW()-1</x:f>
        <x:v>76</x:v>
      </x:c>
      <x:c r="B77" s="16" t="n">
        <x:f>SUM(Q77:T77)</x:f>
        <x:v>86</x:v>
      </x:c>
      <x:c r="C77" s="17" t="str">
        <x:f>IF(B77&gt;=93,"A — Highest authority",IF(B77&gt;=85,"B — Very strong",IF(B77&gt;=75,"C — Strong",IF(B77&gt;=65,"D — Useful with context","E — Supporting / lower weight"))))</x:f>
        <x:v>B — Very strong</x:v>
      </x:c>
      <x:c r="D77" s="14" t="str">
        <x:v>After the Draghi Report: The Role of Central Europe in Strengthening EU Competitiveness</x:v>
      </x:c>
      <x:c r="E77" s="20" t="n">
        <x:v>46149</x:v>
      </x:c>
      <x:c r="F77" s="17" t="str">
        <x:v>A</x:v>
      </x:c>
      <x:c r="G77" s="14" t="str"/>
      <x:c r="H77" s="14" t="str">
        <x:v>EUROPEUM Institute for European Policy</x:v>
      </x:c>
      <x:c r="I77" s="14" t="str">
        <x:v>EUROPEUM Institute for European Policy</x:v>
      </x:c>
      <x:c r="J77" s="14" t="str">
        <x:v>Leading policy research institute. High policy standing: established European/international research or policy institute.</x:v>
      </x:c>
      <x:c r="K77" s="14" t="str">
        <x:v>Directly concerns Europe/EU and research, technology, innovation, funding or science policy.</x:v>
      </x:c>
      <x:c r="L77" s="14" t="str">
        <x:v>Direct EU relevance</x:v>
      </x:c>
      <x:c r="M77" s="14" t="str">
        <x:v>Manually verified scholarly/policy source</x:v>
      </x:c>
      <x:c r="N77" s="14" t="str">
        <x:v>Tier 2 comparable</x:v>
      </x:c>
      <x:c r="O77" s="14" t="str">
        <x:v>https://www.europeum.org/en/articles-and-publications/report-after-the-draghi-report-the-role-of-central-europe-in-strengthening-eu-competitiveness/</x:v>
      </x:c>
      <x:c r="P77" s="14" t="str"/>
      <x:c r="Q77" s="16" t="n">
        <x:v>43</x:v>
      </x:c>
      <x:c r="R77" s="16" t="n">
        <x:v>25</x:v>
      </x:c>
      <x:c r="S77" s="16" t="n">
        <x:v>14</x:v>
      </x:c>
      <x:c r="T77" s="16" t="n">
        <x:v>4</x:v>
      </x:c>
    </x:row>
    <x:row r="78" ht="48" customHeight="1">
      <x:c r="A78" s="16" t="n">
        <x:f>ROW()-1</x:f>
        <x:v>77</x:v>
      </x:c>
      <x:c r="B78" s="16" t="n">
        <x:f>SUM(Q78:T78)</x:f>
        <x:v>86</x:v>
      </x:c>
      <x:c r="C78" s="17" t="str">
        <x:f>IF(B78&gt;=93,"A — Highest authority",IF(B78&gt;=85,"B — Very strong",IF(B78&gt;=75,"C — Strong",IF(B78&gt;=65,"D — Useful with context","E — Supporting / lower weight"))))</x:f>
        <x:v>B — Very strong</x:v>
      </x:c>
      <x:c r="D78" s="14" t="str">
        <x:v>The Fifth Freedom in the European Research Area – Short Report - ECAS</x:v>
      </x:c>
      <x:c r="E78" s="20" t="n">
        <x:v>46184</x:v>
      </x:c>
      <x:c r="F78" s="17" t="str">
        <x:v>A</x:v>
      </x:c>
      <x:c r="G78" s="14" t="str"/>
      <x:c r="H78" s="14" t="str">
        <x:v>European Citizen Action Service</x:v>
      </x:c>
      <x:c r="I78" s="14" t="str">
        <x:v>European Citizen Action Service</x:v>
      </x:c>
      <x:c r="J78" s="14" t="str">
        <x:v>Leading policy research institute. High policy standing: established European/international research or policy institute.</x:v>
      </x:c>
      <x:c r="K78" s="14" t="str">
        <x:v>Directly concerns Europe/EU and research, technology, innovation, funding or science policy.</x:v>
      </x:c>
      <x:c r="L78" s="14" t="str">
        <x:v>Direct EU relevance</x:v>
      </x:c>
      <x:c r="M78" s="14" t="str">
        <x:v>Research/policy paper</x:v>
      </x:c>
      <x:c r="N78" s="14" t="str">
        <x:v>Tier 2</x:v>
      </x:c>
      <x:c r="O78" s="14" t="str">
        <x:v>https://ecas.org/wp-content/uploads/2026/06/The-Fifth-Freedom-in-the-European-Research-Area-Short-Report.pdf</x:v>
      </x:c>
      <x:c r="P78" s="14" t="str"/>
      <x:c r="Q78" s="16" t="n">
        <x:v>43</x:v>
      </x:c>
      <x:c r="R78" s="16" t="n">
        <x:v>25</x:v>
      </x:c>
      <x:c r="S78" s="16" t="n">
        <x:v>13</x:v>
      </x:c>
      <x:c r="T78" s="16" t="n">
        <x:v>5</x:v>
      </x:c>
    </x:row>
    <x:row r="79" ht="48" customHeight="1">
      <x:c r="A79" s="16" t="n">
        <x:f>ROW()-1</x:f>
        <x:v>78</x:v>
      </x:c>
      <x:c r="B79" s="16" t="n">
        <x:f>SUM(Q79:T79)</x:f>
        <x:v>84</x:v>
      </x:c>
      <x:c r="C79" s="17" t="str">
        <x:f>IF(B79&gt;=93,"A — Highest authority",IF(B79&gt;=85,"B — Very strong",IF(B79&gt;=75,"C — Strong",IF(B79&gt;=65,"D — Useful with context","E — Supporting / lower weight"))))</x:f>
        <x:v>C — Strong</x:v>
      </x:c>
      <x:c r="D79" s="14" t="str">
        <x:v>Collaborating for Affordable Patient Access to Medicines: Review of the First Decade of the Beneluxa Initiative in Pharmaceutical Policy</x:v>
      </x:c>
      <x:c r="E79" s="20" t="n">
        <x:v>46228</x:v>
      </x:c>
      <x:c r="F79" s="17" t="str">
        <x:v>B</x:v>
      </x:c>
      <x:c r="G79" s="14" t="str">
        <x:v>Applied Health Economics and Health Policy</x:v>
      </x:c>
      <x:c r="H79" s="14" t="str"/>
      <x:c r="I79" s="14" t="str">
        <x:v>Sabine Vogler, Verena Knoll, Anja Sonemann, Annemie Quanten, Róisín Adams, Tim de Jager, Marc Van de Casteele, L. Timmers</x:v>
      </x:c>
      <x:c r="J79" s="14" t="str">
        <x:v>Leading peer-reviewed journal. Very high academic standing: established, high-visibility peer-reviewed journal.</x:v>
      </x:c>
      <x:c r="K79" s="14" t="str">
        <x:v>Useful comparison or lesson for European policy, even though the source is not mainly about the EU.</x:v>
      </x:c>
      <x:c r="L79" s="14" t="str">
        <x:v>Relevant by comparison / implication</x:v>
      </x:c>
      <x:c r="M79" s="14" t="str">
        <x:v>Peer-reviewed article</x:v>
      </x:c>
      <x:c r="N79" s="14" t="str">
        <x:v>Tier 2 broad journal</x:v>
      </x:c>
      <x:c r="O79" s="14" t="str">
        <x:v>https://doi.org/10.1007/s40258-026-01057-z</x:v>
      </x:c>
      <x:c r="P79" s="14" t="str"/>
      <x:c r="Q79" s="16" t="n">
        <x:v>46</x:v>
      </x:c>
      <x:c r="R79" s="16" t="n">
        <x:v>18</x:v>
      </x:c>
      <x:c r="S79" s="16" t="n">
        <x:v>15</x:v>
      </x:c>
      <x:c r="T79" s="16" t="n">
        <x:v>5</x:v>
      </x:c>
    </x:row>
    <x:row r="80" ht="48" customHeight="1">
      <x:c r="A80" s="16" t="n">
        <x:f>ROW()-1</x:f>
        <x:v>79</x:v>
      </x:c>
      <x:c r="B80" s="16" t="n">
        <x:f>SUM(Q80:T80)</x:f>
        <x:v>84</x:v>
      </x:c>
      <x:c r="C80" s="17" t="str">
        <x:f>IF(B80&gt;=93,"A — Highest authority",IF(B80&gt;=85,"B — Very strong",IF(B80&gt;=75,"C — Strong",IF(B80&gt;=65,"D — Useful with context","E — Supporting / lower weight"))))</x:f>
        <x:v>C — Strong</x:v>
      </x:c>
      <x:c r="D80" s="14" t="str">
        <x:v>Scenario Planning and Organizational Sustainability: A Literature Review and Conceptual Model</x:v>
      </x:c>
      <x:c r="E80" s="20" t="n">
        <x:v>46211</x:v>
      </x:c>
      <x:c r="F80" s="17" t="str">
        <x:v>B</x:v>
      </x:c>
      <x:c r="G80" s="14" t="str">
        <x:v>Business Strategy and the Environment</x:v>
      </x:c>
      <x:c r="H80" s="14" t="str"/>
      <x:c r="I80" s="14" t="str">
        <x:v>Shiny Mathew, Anshu Rani</x:v>
      </x:c>
      <x:c r="J80" s="14" t="str">
        <x:v>Leading peer-reviewed journal. Very high academic standing: established, high-visibility peer-reviewed journal.</x:v>
      </x:c>
      <x:c r="K80" s="14" t="str">
        <x:v>Useful comparison or lesson for European policy, even though the source is not mainly about the EU.</x:v>
      </x:c>
      <x:c r="L80" s="14" t="str">
        <x:v>Relevant by comparison / implication</x:v>
      </x:c>
      <x:c r="M80" s="14" t="str">
        <x:v>Peer-reviewed article</x:v>
      </x:c>
      <x:c r="N80" s="14" t="str">
        <x:v>Tier 2 broad journal</x:v>
      </x:c>
      <x:c r="O80" s="14" t="str">
        <x:v>https://doi.org/10.1002/bse.71191</x:v>
      </x:c>
      <x:c r="P80" s="14" t="str"/>
      <x:c r="Q80" s="16" t="n">
        <x:v>46</x:v>
      </x:c>
      <x:c r="R80" s="16" t="n">
        <x:v>18</x:v>
      </x:c>
      <x:c r="S80" s="16" t="n">
        <x:v>15</x:v>
      </x:c>
      <x:c r="T80" s="16" t="n">
        <x:v>5</x:v>
      </x:c>
    </x:row>
    <x:row r="81" ht="48" customHeight="1">
      <x:c r="A81" s="16" t="n">
        <x:f>ROW()-1</x:f>
        <x:v>80</x:v>
      </x:c>
      <x:c r="B81" s="16" t="n">
        <x:f>SUM(Q81:T81)</x:f>
        <x:v>84</x:v>
      </x:c>
      <x:c r="C81" s="17" t="str">
        <x:f>IF(B81&gt;=93,"A — Highest authority",IF(B81&gt;=85,"B — Very strong",IF(B81&gt;=75,"C — Strong",IF(B81&gt;=65,"D — Useful with context","E — Supporting / lower weight"))))</x:f>
        <x:v>C — Strong</x:v>
      </x:c>
      <x:c r="D81" s="14" t="str">
        <x:v>Stochastic resonance: advanced theories, novel methodologies, and cutting-edge applications in weak signal detection</x:v>
      </x:c>
      <x:c r="E81" s="20" t="n">
        <x:v>46204</x:v>
      </x:c>
      <x:c r="F81" s="17" t="str">
        <x:v>B</x:v>
      </x:c>
      <x:c r="G81" s="14" t="str">
        <x:v>Nonlinear Dynamics</x:v>
      </x:c>
      <x:c r="H81" s="14" t="str"/>
      <x:c r="I81" s="14" t="str">
        <x:v>Xiaoxiao Huang, Gang Zhang, Lianbing Xu, Lin He</x:v>
      </x:c>
      <x:c r="J81" s="14" t="str">
        <x:v>Leading peer-reviewed journal. Very high academic standing: established, high-visibility peer-reviewed journal.</x:v>
      </x:c>
      <x:c r="K81" s="14" t="str">
        <x:v>Useful comparison or lesson for European policy, even though the source is not mainly about the EU.</x:v>
      </x:c>
      <x:c r="L81" s="14" t="str">
        <x:v>Relevant by comparison / implication</x:v>
      </x:c>
      <x:c r="M81" s="14" t="str">
        <x:v>Peer-reviewed article</x:v>
      </x:c>
      <x:c r="N81" s="14" t="str">
        <x:v>Tier 2 broad journal</x:v>
      </x:c>
      <x:c r="O81" s="14" t="str">
        <x:v>https://doi.org/10.1007/s11071-026-12746-8</x:v>
      </x:c>
      <x:c r="P81" s="14" t="str"/>
      <x:c r="Q81" s="16" t="n">
        <x:v>46</x:v>
      </x:c>
      <x:c r="R81" s="16" t="n">
        <x:v>18</x:v>
      </x:c>
      <x:c r="S81" s="16" t="n">
        <x:v>15</x:v>
      </x:c>
      <x:c r="T81" s="16" t="n">
        <x:v>5</x:v>
      </x:c>
    </x:row>
    <x:row r="82" ht="48" customHeight="1">
      <x:c r="A82" s="16" t="n">
        <x:f>ROW()-1</x:f>
        <x:v>81</x:v>
      </x:c>
      <x:c r="B82" s="16" t="n">
        <x:f>SUM(Q82:T82)</x:f>
        <x:v>84</x:v>
      </x:c>
      <x:c r="C82" s="17" t="str">
        <x:f>IF(B82&gt;=93,"A — Highest authority",IF(B82&gt;=85,"B — Very strong",IF(B82&gt;=75,"C — Strong",IF(B82&gt;=65,"D — Useful with context","E — Supporting / lower weight"))))</x:f>
        <x:v>C — Strong</x:v>
      </x:c>
      <x:c r="D82" s="14" t="str">
        <x:v>Horizon Scanning for Medical Technologies: Methodological Framework Development Study of the Medical Innovation Scanning Techniques (MIST) Framework</x:v>
      </x:c>
      <x:c r="E82" s="20" t="n">
        <x:v>46163</x:v>
      </x:c>
      <x:c r="F82" s="17" t="str">
        <x:v>B</x:v>
      </x:c>
      <x:c r="G82" s="14" t="str">
        <x:v>Journal of Medical Internet Research</x:v>
      </x:c>
      <x:c r="H82" s="14" t="str"/>
      <x:c r="I82" s="14" t="str">
        <x:v>Sonia Garcia Gonzalez-Moral, Andrew Mkwashi, Fiona R Beyer, Dawn Craig</x:v>
      </x:c>
      <x:c r="J82" s="14" t="str">
        <x:v>Leading peer-reviewed journal. Very high academic standing: established, high-visibility peer-reviewed journal.</x:v>
      </x:c>
      <x:c r="K82" s="14" t="str">
        <x:v>Useful comparison or lesson for European policy, even though the source is not mainly about the EU.</x:v>
      </x:c>
      <x:c r="L82" s="14" t="str">
        <x:v>Relevant by comparison / implication</x:v>
      </x:c>
      <x:c r="M82" s="14" t="str">
        <x:v>Peer-reviewed article</x:v>
      </x:c>
      <x:c r="N82" s="14" t="str">
        <x:v>Tier 2 broad journal</x:v>
      </x:c>
      <x:c r="O82" s="14" t="str">
        <x:v>https://doi.org/10.2196/93166</x:v>
      </x:c>
      <x:c r="P82" s="14" t="str"/>
      <x:c r="Q82" s="16" t="n">
        <x:v>46</x:v>
      </x:c>
      <x:c r="R82" s="16" t="n">
        <x:v>18</x:v>
      </x:c>
      <x:c r="S82" s="16" t="n">
        <x:v>15</x:v>
      </x:c>
      <x:c r="T82" s="16" t="n">
        <x:v>5</x:v>
      </x:c>
    </x:row>
    <x:row r="83" ht="48" customHeight="1">
      <x:c r="A83" s="16" t="n">
        <x:f>ROW()-1</x:f>
        <x:v>82</x:v>
      </x:c>
      <x:c r="B83" s="16" t="n">
        <x:f>SUM(Q83:T83)</x:f>
        <x:v>84</x:v>
      </x:c>
      <x:c r="C83" s="17" t="str">
        <x:f>IF(B83&gt;=93,"A — Highest authority",IF(B83&gt;=85,"B — Very strong",IF(B83&gt;=75,"C — Strong",IF(B83&gt;=65,"D — Useful with context","E — Supporting / lower weight"))))</x:f>
        <x:v>C — Strong</x:v>
      </x:c>
      <x:c r="D83" s="14" t="str">
        <x:v>Designing strategic scenarios for the digital transition</x:v>
      </x:c>
      <x:c r="E83" s="20" t="n">
        <x:v>46156</x:v>
      </x:c>
      <x:c r="F83" s="17" t="str">
        <x:v>B</x:v>
      </x:c>
      <x:c r="G83" s="14" t="str">
        <x:v>Scientific Reports</x:v>
      </x:c>
      <x:c r="H83" s="14" t="str"/>
      <x:c r="I83" s="14" t="str">
        <x:v>Vítor Alcácer, Alexandra Tenera, Francisco Araujo, Helena Carvalho, Virgílio Cruz-Machado</x:v>
      </x:c>
      <x:c r="J83" s="14" t="str">
        <x:v>Leading peer-reviewed journal. Very high academic standing: established, high-visibility peer-reviewed journal.</x:v>
      </x:c>
      <x:c r="K83" s="14" t="str">
        <x:v>Useful comparison or lesson for European policy, even though the source is not mainly about the EU.</x:v>
      </x:c>
      <x:c r="L83" s="14" t="str">
        <x:v>Relevant by comparison / implication</x:v>
      </x:c>
      <x:c r="M83" s="14" t="str">
        <x:v>Peer-reviewed article</x:v>
      </x:c>
      <x:c r="N83" s="14" t="str">
        <x:v>Tier 2 broad journal</x:v>
      </x:c>
      <x:c r="O83" s="14" t="str">
        <x:v>https://doi.org/10.1038/s41598-026-52549-w</x:v>
      </x:c>
      <x:c r="P83" s="14" t="str">
        <x:v>https://www.nature.com/srep/about</x:v>
      </x:c>
      <x:c r="Q83" s="16" t="n">
        <x:v>46</x:v>
      </x:c>
      <x:c r="R83" s="16" t="n">
        <x:v>18</x:v>
      </x:c>
      <x:c r="S83" s="16" t="n">
        <x:v>15</x:v>
      </x:c>
      <x:c r="T83" s="16" t="n">
        <x:v>5</x:v>
      </x:c>
    </x:row>
    <x:row r="84" ht="48" customHeight="1">
      <x:c r="A84" s="16" t="n">
        <x:f>ROW()-1</x:f>
        <x:v>83</x:v>
      </x:c>
      <x:c r="B84" s="16" t="n">
        <x:f>SUM(Q84:T84)</x:f>
        <x:v>84</x:v>
      </x:c>
      <x:c r="C84" s="17" t="str">
        <x:f>IF(B84&gt;=93,"A — Highest authority",IF(B84&gt;=85,"B — Very strong",IF(B84&gt;=75,"C — Strong",IF(B84&gt;=65,"D — Useful with context","E — Supporting / lower weight"))))</x:f>
        <x:v>C — Strong</x:v>
      </x:c>
      <x:c r="D84" s="14" t="str">
        <x:v>Evidence for the future? Strategic foresight as a source of evidence for policymaking</x:v>
      </x:c>
      <x:c r="E84" s="20" t="n">
        <x:v>46154</x:v>
      </x:c>
      <x:c r="F84" s="17" t="str">
        <x:v>B</x:v>
      </x:c>
      <x:c r="G84" s="14" t="str">
        <x:v>Policy and Society</x:v>
      </x:c>
      <x:c r="H84" s="14" t="str"/>
      <x:c r="I84" s="14" t="str">
        <x:v>Laura De Vito, Gaia Taffoni</x:v>
      </x:c>
      <x:c r="J84" s="14" t="str">
        <x:v>Leading peer-reviewed journal. Very high academic standing: established, high-visibility peer-reviewed journal.</x:v>
      </x:c>
      <x:c r="K84" s="14" t="str">
        <x:v>Useful comparison or lesson for European policy, even though the source is not mainly about the EU.</x:v>
      </x:c>
      <x:c r="L84" s="14" t="str">
        <x:v>Relevant by comparison / implication</x:v>
      </x:c>
      <x:c r="M84" s="14" t="str">
        <x:v>Peer-reviewed article</x:v>
      </x:c>
      <x:c r="N84" s="14" t="str">
        <x:v>Tier 2 comparable</x:v>
      </x:c>
      <x:c r="O84" s="14" t="str">
        <x:v>https://doi.org/10.1093/polsoc/puag009</x:v>
      </x:c>
      <x:c r="P84" s="14" t="str">
        <x:v>https://academic.oup.com/policyandsociety/pages/about</x:v>
      </x:c>
      <x:c r="Q84" s="16" t="n">
        <x:v>46</x:v>
      </x:c>
      <x:c r="R84" s="16" t="n">
        <x:v>18</x:v>
      </x:c>
      <x:c r="S84" s="16" t="n">
        <x:v>15</x:v>
      </x:c>
      <x:c r="T84" s="16" t="n">
        <x:v>5</x:v>
      </x:c>
    </x:row>
    <x:row r="85" ht="48" customHeight="1">
      <x:c r="A85" s="16" t="n">
        <x:f>ROW()-1</x:f>
        <x:v>84</x:v>
      </x:c>
      <x:c r="B85" s="16" t="n">
        <x:f>SUM(Q85:T85)</x:f>
        <x:v>83</x:v>
      </x:c>
      <x:c r="C85" s="17" t="str">
        <x:f>IF(B85&gt;=93,"A — Highest authority",IF(B85&gt;=85,"B — Very strong",IF(B85&gt;=75,"C — Strong",IF(B85&gt;=65,"D — Useful with context","E — Supporting / lower weight"))))</x:f>
        <x:v>C — Strong</x:v>
      </x:c>
      <x:c r="D85" s="14" t="str">
        <x:v>China’s dual circulation strategy and its impact on European industry: the case of the electric vehicle</x:v>
      </x:c>
      <x:c r="E85" s="20" t="n">
        <x:v>46260</x:v>
      </x:c>
      <x:c r="F85" s="17" t="str">
        <x:v>A</x:v>
      </x:c>
      <x:c r="G85" s="14" t="str">
        <x:v>Asia Europe Journal</x:v>
      </x:c>
      <x:c r="H85" s="14" t="str"/>
      <x:c r="I85" s="14" t="str">
        <x:v>Miguel Otero‐Iglesias, Federico Steinberg, Agustín González-Agote</x:v>
      </x:c>
      <x:c r="J85" s="14" t="str">
        <x:v>Established peer-reviewed journal. Good academic standing: established peer-reviewed specialist journal.</x:v>
      </x:c>
      <x:c r="K85" s="14" t="str">
        <x:v>Directly concerns Europe/EU and research, technology, innovation, funding or science policy.</x:v>
      </x:c>
      <x:c r="L85" s="14" t="str">
        <x:v>Direct EU relevance</x:v>
      </x:c>
      <x:c r="M85" s="14" t="str">
        <x:v>Peer-reviewed article</x:v>
      </x:c>
      <x:c r="N85" s="14" t="str">
        <x:v>Tier 2 broad journal</x:v>
      </x:c>
      <x:c r="O85" s="14" t="str">
        <x:v>https://doi.org/10.1007/s10308-026-00785-0</x:v>
      </x:c>
      <x:c r="P85" s="14" t="str"/>
      <x:c r="Q85" s="16" t="n">
        <x:v>38</x:v>
      </x:c>
      <x:c r="R85" s="16" t="n">
        <x:v>25</x:v>
      </x:c>
      <x:c r="S85" s="16" t="n">
        <x:v>15</x:v>
      </x:c>
      <x:c r="T85" s="16" t="n">
        <x:v>5</x:v>
      </x:c>
    </x:row>
    <x:row r="86" ht="48" customHeight="1">
      <x:c r="A86" s="16" t="n">
        <x:f>ROW()-1</x:f>
        <x:v>85</x:v>
      </x:c>
      <x:c r="B86" s="16" t="n">
        <x:f>SUM(Q86:T86)</x:f>
        <x:v>83</x:v>
      </x:c>
      <x:c r="C86" s="17" t="str">
        <x:f>IF(B86&gt;=93,"A — Highest authority",IF(B86&gt;=85,"B — Very strong",IF(B86&gt;=75,"C — Strong",IF(B86&gt;=65,"D — Useful with context","E — Supporting / lower weight"))))</x:f>
        <x:v>C — Strong</x:v>
      </x:c>
      <x:c r="D86" s="14" t="str">
        <x:v>Health Governance Review Volume 31, Issue 3: Evidence synthesis for health governance</x:v>
      </x:c>
      <x:c r="E86" s="20" t="n">
        <x:v>46252</x:v>
      </x:c>
      <x:c r="F86" s="17" t="str">
        <x:v>A</x:v>
      </x:c>
      <x:c r="G86" s="14" t="str">
        <x:v>International Journal of Health Governance</x:v>
      </x:c>
      <x:c r="H86" s="14" t="str"/>
      <x:c r="I86" s="14" t="str">
        <x:v>Irina Ibragimova</x:v>
      </x:c>
      <x:c r="J86" s="14" t="str">
        <x:v>Established peer-reviewed journal. Good academic standing: established peer-reviewed specialist journal.</x:v>
      </x:c>
      <x:c r="K86" s="14" t="str">
        <x:v>Directly concerns Europe/EU and research, technology, innovation, funding or science policy.</x:v>
      </x:c>
      <x:c r="L86" s="14" t="str">
        <x:v>Direct EU relevance</x:v>
      </x:c>
      <x:c r="M86" s="14" t="str">
        <x:v>Peer-reviewed article</x:v>
      </x:c>
      <x:c r="N86" s="14" t="str">
        <x:v>Tier 2 broad journal</x:v>
      </x:c>
      <x:c r="O86" s="14" t="str">
        <x:v>https://doi.org/10.1108/ijhg-09-2026-227</x:v>
      </x:c>
      <x:c r="P86" s="14" t="str"/>
      <x:c r="Q86" s="16" t="n">
        <x:v>38</x:v>
      </x:c>
      <x:c r="R86" s="16" t="n">
        <x:v>25</x:v>
      </x:c>
      <x:c r="S86" s="16" t="n">
        <x:v>15</x:v>
      </x:c>
      <x:c r="T86" s="16" t="n">
        <x:v>5</x:v>
      </x:c>
    </x:row>
    <x:row r="87" ht="48" customHeight="1">
      <x:c r="A87" s="16" t="n">
        <x:f>ROW()-1</x:f>
        <x:v>86</x:v>
      </x:c>
      <x:c r="B87" s="16" t="n">
        <x:f>SUM(Q87:T87)</x:f>
        <x:v>83</x:v>
      </x:c>
      <x:c r="C87" s="17" t="str">
        <x:f>IF(B87&gt;=93,"A — Highest authority",IF(B87&gt;=85,"B — Very strong",IF(B87&gt;=75,"C — Strong",IF(B87&gt;=65,"D — Useful with context","E — Supporting / lower weight"))))</x:f>
        <x:v>C — Strong</x:v>
      </x:c>
      <x:c r="D87" s="14" t="str">
        <x:v>A Copernican revolution? Geopolitical tensions, Polish universities and the (dis)continuities of neo-nationalism</x:v>
      </x:c>
      <x:c r="E87" s="20" t="n">
        <x:v>46250</x:v>
      </x:c>
      <x:c r="F87" s="17" t="str">
        <x:v>A</x:v>
      </x:c>
      <x:c r="G87" s="14" t="str">
        <x:v>Education Inquiry</x:v>
      </x:c>
      <x:c r="H87" s="14" t="str"/>
      <x:c r="I87" s="14" t="str">
        <x:v>Rasmus Harsbo</x:v>
      </x:c>
      <x:c r="J87" s="14" t="str">
        <x:v>Established peer-reviewed journal. Good academic standing: established peer-reviewed specialist journal.</x:v>
      </x:c>
      <x:c r="K87" s="14" t="str">
        <x:v>Directly concerns Europe/EU and research, technology, innovation, funding or science policy.</x:v>
      </x:c>
      <x:c r="L87" s="14" t="str">
        <x:v>Direct EU relevance</x:v>
      </x:c>
      <x:c r="M87" s="14" t="str">
        <x:v>Peer-reviewed article</x:v>
      </x:c>
      <x:c r="N87" s="14" t="str">
        <x:v>Tier 2 broad journal</x:v>
      </x:c>
      <x:c r="O87" s="14" t="str">
        <x:v>https://doi.org/10.1080/20004508.2026.2716435</x:v>
      </x:c>
      <x:c r="P87" s="14" t="str"/>
      <x:c r="Q87" s="16" t="n">
        <x:v>38</x:v>
      </x:c>
      <x:c r="R87" s="16" t="n">
        <x:v>25</x:v>
      </x:c>
      <x:c r="S87" s="16" t="n">
        <x:v>15</x:v>
      </x:c>
      <x:c r="T87" s="16" t="n">
        <x:v>5</x:v>
      </x:c>
    </x:row>
    <x:row r="88" ht="48" customHeight="1">
      <x:c r="A88" s="16" t="n">
        <x:f>ROW()-1</x:f>
        <x:v>87</x:v>
      </x:c>
      <x:c r="B88" s="16" t="n">
        <x:f>SUM(Q88:T88)</x:f>
        <x:v>83</x:v>
      </x:c>
      <x:c r="C88" s="17" t="str">
        <x:f>IF(B88&gt;=93,"A — Highest authority",IF(B88&gt;=85,"B — Very strong",IF(B88&gt;=75,"C — Strong",IF(B88&gt;=65,"D — Useful with context","E — Supporting / lower weight"))))</x:f>
        <x:v>C — Strong</x:v>
      </x:c>
      <x:c r="D88" s="14" t="str">
        <x:v>Smart Innovations and Sustainability in EU Waste Material Trading: Evidence of Quantile Decomposition in EU Circular Economy Transitions</x:v>
      </x:c>
      <x:c r="E88" s="20" t="n">
        <x:v>46246</x:v>
      </x:c>
      <x:c r="F88" s="17" t="str">
        <x:v>A</x:v>
      </x:c>
      <x:c r="G88" s="14" t="str">
        <x:v>Circular Economy and Sustainability</x:v>
      </x:c>
      <x:c r="H88" s="14" t="str"/>
      <x:c r="I88" s="14" t="str">
        <x:v>Eszter Lukács, Peter Németh, Md. Rashed, Mohammad Fakhrul Islam</x:v>
      </x:c>
      <x:c r="J88" s="14" t="str">
        <x:v>Established peer-reviewed journal. Good academic standing: established peer-reviewed specialist journal.</x:v>
      </x:c>
      <x:c r="K88" s="14" t="str">
        <x:v>Directly concerns Europe/EU and research, technology, innovation, funding or science policy.</x:v>
      </x:c>
      <x:c r="L88" s="14" t="str">
        <x:v>Direct EU relevance</x:v>
      </x:c>
      <x:c r="M88" s="14" t="str">
        <x:v>Peer-reviewed article</x:v>
      </x:c>
      <x:c r="N88" s="14" t="str">
        <x:v>Tier 2 broad journal</x:v>
      </x:c>
      <x:c r="O88" s="14" t="str">
        <x:v>https://doi.org/10.1007/s43615-026-01115-7</x:v>
      </x:c>
      <x:c r="P88" s="14" t="str"/>
      <x:c r="Q88" s="16" t="n">
        <x:v>38</x:v>
      </x:c>
      <x:c r="R88" s="16" t="n">
        <x:v>25</x:v>
      </x:c>
      <x:c r="S88" s="16" t="n">
        <x:v>15</x:v>
      </x:c>
      <x:c r="T88" s="16" t="n">
        <x:v>5</x:v>
      </x:c>
    </x:row>
    <x:row r="89" ht="48" customHeight="1">
      <x:c r="A89" s="16" t="n">
        <x:f>ROW()-1</x:f>
        <x:v>88</x:v>
      </x:c>
      <x:c r="B89" s="16" t="n">
        <x:f>SUM(Q89:T89)</x:f>
        <x:v>83</x:v>
      </x:c>
      <x:c r="C89" s="17" t="str">
        <x:f>IF(B89&gt;=93,"A — Highest authority",IF(B89&gt;=85,"B — Very strong",IF(B89&gt;=75,"C — Strong",IF(B89&gt;=65,"D — Useful with context","E — Supporting / lower weight"))))</x:f>
        <x:v>C — Strong</x:v>
      </x:c>
      <x:c r="D89" s="14" t="str">
        <x:v>Are we ready to handle PV waste? A review of PV recycling regulations in Europe, the United States, China, and India</x:v>
      </x:c>
      <x:c r="E89" s="20" t="n">
        <x:v>46239</x:v>
      </x:c>
      <x:c r="F89" s="17" t="str">
        <x:v>A</x:v>
      </x:c>
      <x:c r="G89" s="14" t="str">
        <x:v>Energy Sustainability and Society</x:v>
      </x:c>
      <x:c r="H89" s="14" t="str"/>
      <x:c r="I89" s="14" t="str">
        <x:v>Umer Shahzad, Cristina Irene Mihai, Ian Marius Peters</x:v>
      </x:c>
      <x:c r="J89" s="14" t="str">
        <x:v>Established peer-reviewed journal. Good academic standing: established peer-reviewed specialist journal.</x:v>
      </x:c>
      <x:c r="K89" s="14" t="str">
        <x:v>Directly concerns Europe/EU and research, technology, innovation, funding or science policy.</x:v>
      </x:c>
      <x:c r="L89" s="14" t="str">
        <x:v>Direct EU relevance</x:v>
      </x:c>
      <x:c r="M89" s="14" t="str">
        <x:v>Peer-reviewed article</x:v>
      </x:c>
      <x:c r="N89" s="14" t="str">
        <x:v>Tier 2 broad journal</x:v>
      </x:c>
      <x:c r="O89" s="14" t="str">
        <x:v>https://doi.org/10.1186/s13705-026-00595-7</x:v>
      </x:c>
      <x:c r="P89" s="14" t="str"/>
      <x:c r="Q89" s="16" t="n">
        <x:v>38</x:v>
      </x:c>
      <x:c r="R89" s="16" t="n">
        <x:v>25</x:v>
      </x:c>
      <x:c r="S89" s="16" t="n">
        <x:v>15</x:v>
      </x:c>
      <x:c r="T89" s="16" t="n">
        <x:v>5</x:v>
      </x:c>
    </x:row>
    <x:row r="90" ht="48" customHeight="1">
      <x:c r="A90" s="16" t="n">
        <x:f>ROW()-1</x:f>
        <x:v>89</x:v>
      </x:c>
      <x:c r="B90" s="16" t="n">
        <x:f>SUM(Q90:T90)</x:f>
        <x:v>83</x:v>
      </x:c>
      <x:c r="C90" s="17" t="str">
        <x:f>IF(B90&gt;=93,"A — Highest authority",IF(B90&gt;=85,"B — Very strong",IF(B90&gt;=75,"C — Strong",IF(B90&gt;=65,"D — Useful with context","E — Supporting / lower weight"))))</x:f>
        <x:v>C — Strong</x:v>
      </x:c>
      <x:c r="D90" s="14" t="str">
        <x:v>Sustainable agricultural performance in the European Union in the context of ecological transition, economic fairness, and support policies</x:v>
      </x:c>
      <x:c r="E90" s="20" t="n">
        <x:v>46234</x:v>
      </x:c>
      <x:c r="F90" s="17" t="str">
        <x:v>A</x:v>
      </x:c>
      <x:c r="G90" s="14" t="str">
        <x:v>Agricultural Economics (Zemědělská ekonomika)</x:v>
      </x:c>
      <x:c r="H90" s="14" t="str"/>
      <x:c r="I90" s="14" t="str">
        <x:v>Valentin Marian Antohi, Jean Vasile Andrei, Costinela Forțea, Dumitru Nancu</x:v>
      </x:c>
      <x:c r="J90" s="14" t="str">
        <x:v>Established peer-reviewed journal. Good academic standing: established peer-reviewed specialist journal.</x:v>
      </x:c>
      <x:c r="K90" s="14" t="str">
        <x:v>Directly concerns Europe/EU and research, technology, innovation, funding or science policy.</x:v>
      </x:c>
      <x:c r="L90" s="14" t="str">
        <x:v>Direct EU relevance</x:v>
      </x:c>
      <x:c r="M90" s="14" t="str">
        <x:v>Peer-reviewed article</x:v>
      </x:c>
      <x:c r="N90" s="14" t="str">
        <x:v>Tier 2 broad journal</x:v>
      </x:c>
      <x:c r="O90" s="14" t="str">
        <x:v>https://doi.org/10.17221/329/2025-agricecon</x:v>
      </x:c>
      <x:c r="P90" s="14" t="str"/>
      <x:c r="Q90" s="16" t="n">
        <x:v>38</x:v>
      </x:c>
      <x:c r="R90" s="16" t="n">
        <x:v>25</x:v>
      </x:c>
      <x:c r="S90" s="16" t="n">
        <x:v>15</x:v>
      </x:c>
      <x:c r="T90" s="16" t="n">
        <x:v>5</x:v>
      </x:c>
    </x:row>
    <x:row r="91" ht="48" customHeight="1">
      <x:c r="A91" s="16" t="n">
        <x:f>ROW()-1</x:f>
        <x:v>90</x:v>
      </x:c>
      <x:c r="B91" s="16" t="n">
        <x:f>SUM(Q91:T91)</x:f>
        <x:v>83</x:v>
      </x:c>
      <x:c r="C91" s="17" t="str">
        <x:f>IF(B91&gt;=93,"A — Highest authority",IF(B91&gt;=85,"B — Very strong",IF(B91&gt;=75,"C — Strong",IF(B91&gt;=65,"D — Useful with context","E — Supporting / lower weight"))))</x:f>
        <x:v>C — Strong</x:v>
      </x:c>
      <x:c r="D91" s="14" t="str">
        <x:v>Preserving balance in the EU digital single market: How Like Company could reframe copyright and innovation in the generative AI era</x:v>
      </x:c>
      <x:c r="E91" s="20" t="n">
        <x:v>46230</x:v>
      </x:c>
      <x:c r="F91" s="17" t="str">
        <x:v>A</x:v>
      </x:c>
      <x:c r="G91" s="14" t="str">
        <x:v>The Journal of World Intellectual Property</x:v>
      </x:c>
      <x:c r="H91" s="14" t="str"/>
      <x:c r="I91" s="14" t="str">
        <x:v>Enrico Bonadio, Giancarlo Frosio, Christophe Geiger, Andrés Guadamuz, Stavroula Karapapa, Irini Stamatoudi</x:v>
      </x:c>
      <x:c r="J91" s="14" t="str">
        <x:v>Established peer-reviewed journal. Good academic standing: established peer-reviewed specialist journal.</x:v>
      </x:c>
      <x:c r="K91" s="14" t="str">
        <x:v>Directly concerns Europe/EU and research, technology, innovation, funding or science policy.</x:v>
      </x:c>
      <x:c r="L91" s="14" t="str">
        <x:v>Direct EU relevance</x:v>
      </x:c>
      <x:c r="M91" s="14" t="str">
        <x:v>Peer-reviewed article</x:v>
      </x:c>
      <x:c r="N91" s="14" t="str">
        <x:v>Tier 2 broad journal</x:v>
      </x:c>
      <x:c r="O91" s="14" t="str">
        <x:v>https://doi.org/10.1111/jwip.70032</x:v>
      </x:c>
      <x:c r="P91" s="14" t="str"/>
      <x:c r="Q91" s="16" t="n">
        <x:v>38</x:v>
      </x:c>
      <x:c r="R91" s="16" t="n">
        <x:v>25</x:v>
      </x:c>
      <x:c r="S91" s="16" t="n">
        <x:v>15</x:v>
      </x:c>
      <x:c r="T91" s="16" t="n">
        <x:v>5</x:v>
      </x:c>
    </x:row>
    <x:row r="92" ht="48" customHeight="1">
      <x:c r="A92" s="16" t="n">
        <x:f>ROW()-1</x:f>
        <x:v>91</x:v>
      </x:c>
      <x:c r="B92" s="16" t="n">
        <x:f>SUM(Q92:T92)</x:f>
        <x:v>83</x:v>
      </x:c>
      <x:c r="C92" s="17" t="str">
        <x:f>IF(B92&gt;=93,"A — Highest authority",IF(B92&gt;=85,"B — Very strong",IF(B92&gt;=75,"C — Strong",IF(B92&gt;=65,"D — Useful with context","E — Supporting / lower weight"))))</x:f>
        <x:v>C — Strong</x:v>
      </x:c>
      <x:c r="D92" s="14" t="str">
        <x:v>Guatemala scientific and professional diaspora in Spain: an initial characterization</x:v>
      </x:c>
      <x:c r="E92" s="20" t="n">
        <x:v>46219</x:v>
      </x:c>
      <x:c r="F92" s="17" t="str">
        <x:v>A</x:v>
      </x:c>
      <x:c r="G92" s="14" t="str">
        <x:v>Frontiers in Research Metrics and Analytics</x:v>
      </x:c>
      <x:c r="H92" s="14" t="str"/>
      <x:c r="I92" s="14" t="str">
        <x:v>Kleinsy Bonilla, Claudia S. Romero-Oliva, Susana Arrechea, Juan Manuel Castillo-Zamora, Marie André Destarac</x:v>
      </x:c>
      <x:c r="J92" s="14" t="str">
        <x:v>Established peer-reviewed journal. Good academic standing: established peer-reviewed specialist journal.</x:v>
      </x:c>
      <x:c r="K92" s="14" t="str">
        <x:v>Directly concerns Europe/EU and research, technology, innovation, funding or science policy.</x:v>
      </x:c>
      <x:c r="L92" s="14" t="str">
        <x:v>Direct EU relevance</x:v>
      </x:c>
      <x:c r="M92" s="14" t="str">
        <x:v>Peer-reviewed article</x:v>
      </x:c>
      <x:c r="N92" s="14" t="str">
        <x:v>Tier 2 broad journal</x:v>
      </x:c>
      <x:c r="O92" s="14" t="str">
        <x:v>https://doi.org/10.3389/frma.2026.1860284</x:v>
      </x:c>
      <x:c r="P92" s="14" t="str"/>
      <x:c r="Q92" s="16" t="n">
        <x:v>38</x:v>
      </x:c>
      <x:c r="R92" s="16" t="n">
        <x:v>25</x:v>
      </x:c>
      <x:c r="S92" s="16" t="n">
        <x:v>15</x:v>
      </x:c>
      <x:c r="T92" s="16" t="n">
        <x:v>5</x:v>
      </x:c>
    </x:row>
    <x:row r="93" ht="48" customHeight="1">
      <x:c r="A93" s="16" t="n">
        <x:f>ROW()-1</x:f>
        <x:v>92</x:v>
      </x:c>
      <x:c r="B93" s="16" t="n">
        <x:f>SUM(Q93:T93)</x:f>
        <x:v>83</x:v>
      </x:c>
      <x:c r="C93" s="17" t="str">
        <x:f>IF(B93&gt;=93,"A — Highest authority",IF(B93&gt;=85,"B — Very strong",IF(B93&gt;=75,"C — Strong",IF(B93&gt;=65,"D — Useful with context","E — Supporting / lower weight"))))</x:f>
        <x:v>C — Strong</x:v>
      </x:c>
      <x:c r="D93" s="14" t="str">
        <x:v>Mapping Strategic Innovation Capacity and Sustainable Development in the European Union: Evidence from Grey Clustering</x:v>
      </x:c>
      <x:c r="E93" s="20" t="n">
        <x:v>46210</x:v>
      </x:c>
      <x:c r="F93" s="17" t="str">
        <x:v>A</x:v>
      </x:c>
      <x:c r="G93" s="14" t="str">
        <x:v>Sustainability</x:v>
      </x:c>
      <x:c r="H93" s="14" t="str"/>
      <x:c r="I93" s="14" t="str">
        <x:v>Corina Ioanăș, Bianca-Raluca Cibu, Paul Diaconu, Florinel-Marian Sgărdea, Camelia Delcea</x:v>
      </x:c>
      <x:c r="J93" s="14" t="str">
        <x:v>Established peer-reviewed journal. Good academic standing: established peer-reviewed specialist journal.</x:v>
      </x:c>
      <x:c r="K93" s="14" t="str">
        <x:v>Directly concerns Europe/EU and research, technology, innovation, funding or science policy.</x:v>
      </x:c>
      <x:c r="L93" s="14" t="str">
        <x:v>Direct EU relevance</x:v>
      </x:c>
      <x:c r="M93" s="14" t="str">
        <x:v>Peer-reviewed article</x:v>
      </x:c>
      <x:c r="N93" s="14" t="str">
        <x:v>Tier 2 broad journal</x:v>
      </x:c>
      <x:c r="O93" s="14" t="str">
        <x:v>https://doi.org/10.3390/su18136912</x:v>
      </x:c>
      <x:c r="P93" s="14" t="str"/>
      <x:c r="Q93" s="16" t="n">
        <x:v>38</x:v>
      </x:c>
      <x:c r="R93" s="16" t="n">
        <x:v>25</x:v>
      </x:c>
      <x:c r="S93" s="16" t="n">
        <x:v>15</x:v>
      </x:c>
      <x:c r="T93" s="16" t="n">
        <x:v>5</x:v>
      </x:c>
    </x:row>
    <x:row r="94" ht="48" customHeight="1">
      <x:c r="A94" s="16" t="n">
        <x:f>ROW()-1</x:f>
        <x:v>93</x:v>
      </x:c>
      <x:c r="B94" s="16" t="n">
        <x:f>SUM(Q94:T94)</x:f>
        <x:v>83</x:v>
      </x:c>
      <x:c r="C94" s="17" t="str">
        <x:f>IF(B94&gt;=93,"A — Highest authority",IF(B94&gt;=85,"B — Very strong",IF(B94&gt;=75,"C — Strong",IF(B94&gt;=65,"D — Useful with context","E — Supporting / lower weight"))))</x:f>
        <x:v>C — Strong</x:v>
      </x:c>
      <x:c r="D94" s="14" t="str">
        <x:v>Balancing Doctor Mobility and Public Health Delivery: Human Resources for Health in Latvia</x:v>
      </x:c>
      <x:c r="E94" s="20" t="n">
        <x:v>46204</x:v>
      </x:c>
      <x:c r="F94" s="17" t="str">
        <x:v>A</x:v>
      </x:c>
      <x:c r="G94" s="14" t="str">
        <x:v>Social Inclusion</x:v>
      </x:c>
      <x:c r="H94" s="14" t="str"/>
      <x:c r="I94" s="14" t="str">
        <x:v>Girts Jirgensons, Karina Palkova</x:v>
      </x:c>
      <x:c r="J94" s="14" t="str">
        <x:v>Established peer-reviewed journal. Good academic standing: established peer-reviewed specialist journal.</x:v>
      </x:c>
      <x:c r="K94" s="14" t="str">
        <x:v>Directly concerns Europe/EU and research, technology, innovation, funding or science policy.</x:v>
      </x:c>
      <x:c r="L94" s="14" t="str">
        <x:v>Direct EU relevance</x:v>
      </x:c>
      <x:c r="M94" s="14" t="str">
        <x:v>Peer-reviewed article</x:v>
      </x:c>
      <x:c r="N94" s="14" t="str">
        <x:v>Tier 2 broad journal</x:v>
      </x:c>
      <x:c r="O94" s="14" t="str">
        <x:v>https://doi.org/10.17645/si.12073</x:v>
      </x:c>
      <x:c r="P94" s="14" t="str"/>
      <x:c r="Q94" s="16" t="n">
        <x:v>38</x:v>
      </x:c>
      <x:c r="R94" s="16" t="n">
        <x:v>25</x:v>
      </x:c>
      <x:c r="S94" s="16" t="n">
        <x:v>15</x:v>
      </x:c>
      <x:c r="T94" s="16" t="n">
        <x:v>5</x:v>
      </x:c>
    </x:row>
    <x:row r="95" ht="48" customHeight="1">
      <x:c r="A95" s="16" t="n">
        <x:f>ROW()-1</x:f>
        <x:v>94</x:v>
      </x:c>
      <x:c r="B95" s="16" t="n">
        <x:f>SUM(Q95:T95)</x:f>
        <x:v>83</x:v>
      </x:c>
      <x:c r="C95" s="17" t="str">
        <x:f>IF(B95&gt;=93,"A — Highest authority",IF(B95&gt;=85,"B — Very strong",IF(B95&gt;=75,"C — Strong",IF(B95&gt;=65,"D — Useful with context","E — Supporting / lower weight"))))</x:f>
        <x:v>C — Strong</x:v>
      </x:c>
      <x:c r="D95" s="14" t="str">
        <x:v>Beyond ethics washing: evaluating the responsiveness of US, EU, and UN AI governance to expert warnings</x:v>
      </x:c>
      <x:c r="E95" s="20" t="n">
        <x:v>46204</x:v>
      </x:c>
      <x:c r="F95" s="17" t="str">
        <x:v>A</x:v>
      </x:c>
      <x:c r="G95" s="14" t="str">
        <x:v>AI and Ethics</x:v>
      </x:c>
      <x:c r="H95" s="14" t="str"/>
      <x:c r="I95" s="14" t="str">
        <x:v>Mir Hasib, Lyombe Eko</x:v>
      </x:c>
      <x:c r="J95" s="14" t="str">
        <x:v>Established peer-reviewed journal. Good academic standing: established peer-reviewed specialist journal.</x:v>
      </x:c>
      <x:c r="K95" s="14" t="str">
        <x:v>Directly concerns Europe/EU and research, technology, innovation, funding or science policy.</x:v>
      </x:c>
      <x:c r="L95" s="14" t="str">
        <x:v>Direct EU relevance</x:v>
      </x:c>
      <x:c r="M95" s="14" t="str">
        <x:v>Peer-reviewed article</x:v>
      </x:c>
      <x:c r="N95" s="14" t="str">
        <x:v>Tier 2 broad journal</x:v>
      </x:c>
      <x:c r="O95" s="14" t="str">
        <x:v>https://doi.org/10.1007/s43681-026-01219-8</x:v>
      </x:c>
      <x:c r="P95" s="14" t="str"/>
      <x:c r="Q95" s="16" t="n">
        <x:v>38</x:v>
      </x:c>
      <x:c r="R95" s="16" t="n">
        <x:v>25</x:v>
      </x:c>
      <x:c r="S95" s="16" t="n">
        <x:v>15</x:v>
      </x:c>
      <x:c r="T95" s="16" t="n">
        <x:v>5</x:v>
      </x:c>
    </x:row>
    <x:row r="96" ht="48" customHeight="1">
      <x:c r="A96" s="16" t="n">
        <x:f>ROW()-1</x:f>
        <x:v>95</x:v>
      </x:c>
      <x:c r="B96" s="16" t="n">
        <x:f>SUM(Q96:T96)</x:f>
        <x:v>83</x:v>
      </x:c>
      <x:c r="C96" s="17" t="str">
        <x:f>IF(B96&gt;=93,"A — Highest authority",IF(B96&gt;=85,"B — Very strong",IF(B96&gt;=75,"C — Strong",IF(B96&gt;=65,"D — Useful with context","E — Supporting / lower weight"))))</x:f>
        <x:v>C — Strong</x:v>
      </x:c>
      <x:c r="D96" s="14" t="str">
        <x:v>Innovation in Sparse Environments: The Geographical Innovation Dilemma of The Swedish Food Industry</x:v>
      </x:c>
      <x:c r="E96" s="20" t="n">
        <x:v>46203</x:v>
      </x:c>
      <x:c r="F96" s="17" t="str">
        <x:v>A</x:v>
      </x:c>
      <x:c r="G96" s="14" t="str">
        <x:v>European Countryside</x:v>
      </x:c>
      <x:c r="H96" s="14" t="str"/>
      <x:c r="I96" s="14" t="str">
        <x:v>Thomas Blom, Svante Karlsson</x:v>
      </x:c>
      <x:c r="J96" s="14" t="str">
        <x:v>Established peer-reviewed journal. Good academic standing: established peer-reviewed specialist journal.</x:v>
      </x:c>
      <x:c r="K96" s="14" t="str">
        <x:v>Directly concerns Europe/EU and research, technology, innovation, funding or science policy.</x:v>
      </x:c>
      <x:c r="L96" s="14" t="str">
        <x:v>Direct EU relevance</x:v>
      </x:c>
      <x:c r="M96" s="14" t="str">
        <x:v>Peer-reviewed article</x:v>
      </x:c>
      <x:c r="N96" s="14" t="str">
        <x:v>Tier 2 broad journal</x:v>
      </x:c>
      <x:c r="O96" s="14" t="str">
        <x:v>https://doi.org/10.2478/euco-2026-0015</x:v>
      </x:c>
      <x:c r="P96" s="14" t="str"/>
      <x:c r="Q96" s="16" t="n">
        <x:v>38</x:v>
      </x:c>
      <x:c r="R96" s="16" t="n">
        <x:v>25</x:v>
      </x:c>
      <x:c r="S96" s="16" t="n">
        <x:v>15</x:v>
      </x:c>
      <x:c r="T96" s="16" t="n">
        <x:v>5</x:v>
      </x:c>
    </x:row>
    <x:row r="97" ht="48" customHeight="1">
      <x:c r="A97" s="16" t="n">
        <x:f>ROW()-1</x:f>
        <x:v>96</x:v>
      </x:c>
      <x:c r="B97" s="16" t="n">
        <x:f>SUM(Q97:T97)</x:f>
        <x:v>83</x:v>
      </x:c>
      <x:c r="C97" s="17" t="str">
        <x:f>IF(B97&gt;=93,"A — Highest authority",IF(B97&gt;=85,"B — Very strong",IF(B97&gt;=75,"C — Strong",IF(B97&gt;=65,"D — Useful with context","E — Supporting / lower weight"))))</x:f>
        <x:v>C — Strong</x:v>
      </x:c>
      <x:c r="D97" s="14" t="str">
        <x:v>Reimagining paediatric care: technology, trust, and the global movement for child-centred innovation</x:v>
      </x:c>
      <x:c r="E97" s="20" t="n">
        <x:v>46203</x:v>
      </x:c>
      <x:c r="F97" s="17" t="str">
        <x:v>A</x:v>
      </x:c>
      <x:c r="G97" s="14" t="str">
        <x:v>Frontiers in Medicine</x:v>
      </x:c>
      <x:c r="H97" s="14" t="str"/>
      <x:c r="I97" s="14" t="str">
        <x:v>Paul Dimitri</x:v>
      </x:c>
      <x:c r="J97" s="14" t="str">
        <x:v>Established peer-reviewed journal. Good academic standing: established peer-reviewed specialist journal.</x:v>
      </x:c>
      <x:c r="K97" s="14" t="str">
        <x:v>Directly concerns Europe/EU and research, technology, innovation, funding or science policy.</x:v>
      </x:c>
      <x:c r="L97" s="14" t="str">
        <x:v>Direct EU relevance</x:v>
      </x:c>
      <x:c r="M97" s="14" t="str">
        <x:v>Peer-reviewed article</x:v>
      </x:c>
      <x:c r="N97" s="14" t="str">
        <x:v>Tier 2 broad journal</x:v>
      </x:c>
      <x:c r="O97" s="14" t="str">
        <x:v>https://doi.org/10.3389/fmed.2026.1782611</x:v>
      </x:c>
      <x:c r="P97" s="14" t="str"/>
      <x:c r="Q97" s="16" t="n">
        <x:v>38</x:v>
      </x:c>
      <x:c r="R97" s="16" t="n">
        <x:v>25</x:v>
      </x:c>
      <x:c r="S97" s="16" t="n">
        <x:v>15</x:v>
      </x:c>
      <x:c r="T97" s="16" t="n">
        <x:v>5</x:v>
      </x:c>
    </x:row>
    <x:row r="98" ht="48" customHeight="1">
      <x:c r="A98" s="16" t="n">
        <x:f>ROW()-1</x:f>
        <x:v>97</x:v>
      </x:c>
      <x:c r="B98" s="16" t="n">
        <x:f>SUM(Q98:T98)</x:f>
        <x:v>83</x:v>
      </x:c>
      <x:c r="C98" s="17" t="str">
        <x:f>IF(B98&gt;=93,"A — Highest authority",IF(B98&gt;=85,"B — Very strong",IF(B98&gt;=75,"C — Strong",IF(B98&gt;=65,"D — Useful with context","E — Supporting / lower weight"))))</x:f>
        <x:v>C — Strong</x:v>
      </x:c>
      <x:c r="D98" s="14" t="str">
        <x:v>Rethinking technological complexity and investment: a sectoral analysis in the EU 1995–2020</x:v>
      </x:c>
      <x:c r="E98" s="20" t="n">
        <x:v>46191</x:v>
      </x:c>
      <x:c r="F98" s="17" t="str">
        <x:v>A</x:v>
      </x:c>
      <x:c r="G98" s="14" t="str">
        <x:v>Review of Evolutionary Political Economy</x:v>
      </x:c>
      <x:c r="H98" s="14" t="str"/>
      <x:c r="I98" s="14" t="str">
        <x:v>Giannis Vrettos, Theofanis Papageorgiou</x:v>
      </x:c>
      <x:c r="J98" s="14" t="str">
        <x:v>Established peer-reviewed journal. Good academic standing: established peer-reviewed specialist journal.</x:v>
      </x:c>
      <x:c r="K98" s="14" t="str">
        <x:v>Directly concerns Europe/EU and research, technology, innovation, funding or science policy.</x:v>
      </x:c>
      <x:c r="L98" s="14" t="str">
        <x:v>Direct EU relevance</x:v>
      </x:c>
      <x:c r="M98" s="14" t="str">
        <x:v>Peer-reviewed article</x:v>
      </x:c>
      <x:c r="N98" s="14" t="str">
        <x:v>Tier 2 broad journal</x:v>
      </x:c>
      <x:c r="O98" s="14" t="str">
        <x:v>https://doi.org/10.1007/s43253-026-00186-4</x:v>
      </x:c>
      <x:c r="P98" s="14" t="str"/>
      <x:c r="Q98" s="16" t="n">
        <x:v>38</x:v>
      </x:c>
      <x:c r="R98" s="16" t="n">
        <x:v>25</x:v>
      </x:c>
      <x:c r="S98" s="16" t="n">
        <x:v>15</x:v>
      </x:c>
      <x:c r="T98" s="16" t="n">
        <x:v>5</x:v>
      </x:c>
    </x:row>
    <x:row r="99" ht="48" customHeight="1">
      <x:c r="A99" s="16" t="n">
        <x:f>ROW()-1</x:f>
        <x:v>98</x:v>
      </x:c>
      <x:c r="B99" s="16" t="n">
        <x:f>SUM(Q99:T99)</x:f>
        <x:v>83</x:v>
      </x:c>
      <x:c r="C99" s="17" t="str">
        <x:f>IF(B99&gt;=93,"A — Highest authority",IF(B99&gt;=85,"B — Very strong",IF(B99&gt;=75,"C — Strong",IF(B99&gt;=65,"D — Useful with context","E — Supporting / lower weight"))))</x:f>
        <x:v>C — Strong</x:v>
      </x:c>
      <x:c r="D99" s="14" t="str">
        <x:v>Influence of Environmental Research and Development (R&amp;D) on the Sustainability Performance of Listed Non-Financial Firms on the Frankfurt Stock Exchange, Germany</x:v>
      </x:c>
      <x:c r="E99" s="20" t="n">
        <x:v>46174</x:v>
      </x:c>
      <x:c r="F99" s="17" t="str">
        <x:v>A</x:v>
      </x:c>
      <x:c r="G99" s="14" t="str">
        <x:v>Sustainability</x:v>
      </x:c>
      <x:c r="H99" s="14" t="str"/>
      <x:c r="I99" s="14" t="str">
        <x:v>Abduala A. Ali Almaryoul, Opeoluwa Seun Ojekemi</x:v>
      </x:c>
      <x:c r="J99" s="14" t="str">
        <x:v>Established peer-reviewed journal. Good academic standing: established peer-reviewed specialist journal.</x:v>
      </x:c>
      <x:c r="K99" s="14" t="str">
        <x:v>Directly concerns Europe/EU and research, technology, innovation, funding or science policy.</x:v>
      </x:c>
      <x:c r="L99" s="14" t="str">
        <x:v>Direct EU relevance</x:v>
      </x:c>
      <x:c r="M99" s="14" t="str">
        <x:v>Peer-reviewed article</x:v>
      </x:c>
      <x:c r="N99" s="14" t="str">
        <x:v>Tier 2 broad journal</x:v>
      </x:c>
      <x:c r="O99" s="14" t="str">
        <x:v>https://doi.org/10.3390/su18115572</x:v>
      </x:c>
      <x:c r="P99" s="14" t="str"/>
      <x:c r="Q99" s="16" t="n">
        <x:v>38</x:v>
      </x:c>
      <x:c r="R99" s="16" t="n">
        <x:v>25</x:v>
      </x:c>
      <x:c r="S99" s="16" t="n">
        <x:v>15</x:v>
      </x:c>
      <x:c r="T99" s="16" t="n">
        <x:v>5</x:v>
      </x:c>
    </x:row>
    <x:row r="100" ht="48" customHeight="1">
      <x:c r="A100" s="16" t="n">
        <x:f>ROW()-1</x:f>
        <x:v>99</x:v>
      </x:c>
      <x:c r="B100" s="16" t="n">
        <x:f>SUM(Q100:T100)</x:f>
        <x:v>83</x:v>
      </x:c>
      <x:c r="C100" s="17" t="str">
        <x:f>IF(B100&gt;=93,"A — Highest authority",IF(B100&gt;=85,"B — Very strong",IF(B100&gt;=75,"C — Strong",IF(B100&gt;=65,"D — Useful with context","E — Supporting / lower weight"))))</x:f>
        <x:v>C — Strong</x:v>
      </x:c>
      <x:c r="D100" s="14" t="str">
        <x:v>Wires, Patents and Growth: An Explainable Machine Learning Approach for What Drives Digital Competitiveness in the European Union</x:v>
      </x:c>
      <x:c r="E100" s="20" t="n">
        <x:v>46161</x:v>
      </x:c>
      <x:c r="F100" s="17" t="str">
        <x:v>A</x:v>
      </x:c>
      <x:c r="G100" s="14" t="str">
        <x:v>Electronics</x:v>
      </x:c>
      <x:c r="H100" s="14" t="str"/>
      <x:c r="I100" s="14" t="str">
        <x:v>Rareș Mihai Nițu, Raluca Iuliana Georgescu, Dumitru Alexandru Bodislav, Loredana Maria Popescu, Cristina Voicu, Andrei Josan</x:v>
      </x:c>
      <x:c r="J100" s="14" t="str">
        <x:v>Established peer-reviewed journal. Good academic standing: established peer-reviewed specialist journal.</x:v>
      </x:c>
      <x:c r="K100" s="14" t="str">
        <x:v>Directly concerns Europe/EU and research, technology, innovation, funding or science policy.</x:v>
      </x:c>
      <x:c r="L100" s="14" t="str">
        <x:v>Direct EU relevance</x:v>
      </x:c>
      <x:c r="M100" s="14" t="str">
        <x:v>Peer-reviewed article</x:v>
      </x:c>
      <x:c r="N100" s="14" t="str">
        <x:v>Tier 2 broad journal</x:v>
      </x:c>
      <x:c r="O100" s="14" t="str">
        <x:v>https://doi.org/10.3390/electronics15102190</x:v>
      </x:c>
      <x:c r="P100" s="14" t="str"/>
      <x:c r="Q100" s="16" t="n">
        <x:v>38</x:v>
      </x:c>
      <x:c r="R100" s="16" t="n">
        <x:v>25</x:v>
      </x:c>
      <x:c r="S100" s="16" t="n">
        <x:v>15</x:v>
      </x:c>
      <x:c r="T100" s="16" t="n">
        <x:v>5</x:v>
      </x:c>
    </x:row>
    <x:row r="101" ht="48" customHeight="1">
      <x:c r="A101" s="16" t="n">
        <x:f>ROW()-1</x:f>
        <x:v>100</x:v>
      </x:c>
      <x:c r="B101" s="16" t="n">
        <x:f>SUM(Q101:T101)</x:f>
        <x:v>83</x:v>
      </x:c>
      <x:c r="C101" s="17" t="str">
        <x:f>IF(B101&gt;=93,"A — Highest authority",IF(B101&gt;=85,"B — Very strong",IF(B101&gt;=75,"C — Strong",IF(B101&gt;=65,"D — Useful with context","E — Supporting / lower weight"))))</x:f>
        <x:v>C — Strong</x:v>
      </x:c>
      <x:c r="D101" s="14" t="str">
        <x:v>Responsible Artificial Intelligence for Earth observation: human rights and the EU AI act</x:v>
      </x:c>
      <x:c r="E101" s="20" t="n">
        <x:v>46157</x:v>
      </x:c>
      <x:c r="F101" s="17" t="str">
        <x:v>A</x:v>
      </x:c>
      <x:c r="G101" s="14" t="str">
        <x:v>AI and Ethics</x:v>
      </x:c>
      <x:c r="H101" s="14" t="str"/>
      <x:c r="I101" s="14" t="str">
        <x:v>Caroline Margaux Gevaert, Sanja Šćepanović, Nadia Bernaz, Hannes Taubenböck, Mrinalini Kochupillai</x:v>
      </x:c>
      <x:c r="J101" s="14" t="str">
        <x:v>Established peer-reviewed journal. Good academic standing: established peer-reviewed specialist journal.</x:v>
      </x:c>
      <x:c r="K101" s="14" t="str">
        <x:v>Directly concerns Europe/EU and research, technology, innovation, funding or science policy.</x:v>
      </x:c>
      <x:c r="L101" s="14" t="str">
        <x:v>Direct EU relevance</x:v>
      </x:c>
      <x:c r="M101" s="14" t="str">
        <x:v>Peer-reviewed article</x:v>
      </x:c>
      <x:c r="N101" s="14" t="str">
        <x:v>Tier 2 broad journal</x:v>
      </x:c>
      <x:c r="O101" s="14" t="str">
        <x:v>https://doi.org/10.1007/s43681-026-01149-5</x:v>
      </x:c>
      <x:c r="P101" s="14" t="str"/>
      <x:c r="Q101" s="16" t="n">
        <x:v>38</x:v>
      </x:c>
      <x:c r="R101" s="16" t="n">
        <x:v>25</x:v>
      </x:c>
      <x:c r="S101" s="16" t="n">
        <x:v>15</x:v>
      </x:c>
      <x:c r="T101" s="16" t="n">
        <x:v>5</x:v>
      </x:c>
    </x:row>
    <x:row r="102" ht="48" customHeight="1">
      <x:c r="A102" s="16" t="n">
        <x:f>ROW()-1</x:f>
        <x:v>101</x:v>
      </x:c>
      <x:c r="B102" s="16" t="n">
        <x:f>SUM(Q102:T102)</x:f>
        <x:v>83</x:v>
      </x:c>
      <x:c r="C102" s="17" t="str">
        <x:f>IF(B102&gt;=93,"A — Highest authority",IF(B102&gt;=85,"B — Very strong",IF(B102&gt;=75,"C — Strong",IF(B102&gt;=65,"D — Useful with context","E — Supporting / lower weight"))))</x:f>
        <x:v>C — Strong</x:v>
      </x:c>
      <x:c r="D102" s="14" t="str">
        <x:v>Path-dependent energy innovation under carbon pricing and subsidy policies: challenges for Europe’s net-zero transition</x:v>
      </x:c>
      <x:c r="E102" s="20" t="n">
        <x:v>46156</x:v>
      </x:c>
      <x:c r="F102" s="17" t="str">
        <x:v>A</x:v>
      </x:c>
      <x:c r="G102" s="14" t="str">
        <x:v>Empirica</x:v>
      </x:c>
      <x:c r="H102" s="14" t="str"/>
      <x:c r="I102" s="14" t="str">
        <x:v>Bilal Çayır, Onur Yeni</x:v>
      </x:c>
      <x:c r="J102" s="14" t="str">
        <x:v>Established peer-reviewed journal. Good academic standing: established peer-reviewed specialist journal.</x:v>
      </x:c>
      <x:c r="K102" s="14" t="str">
        <x:v>Directly concerns Europe/EU and research, technology, innovation, funding or science policy.</x:v>
      </x:c>
      <x:c r="L102" s="14" t="str">
        <x:v>Direct EU relevance</x:v>
      </x:c>
      <x:c r="M102" s="14" t="str">
        <x:v>Peer-reviewed article</x:v>
      </x:c>
      <x:c r="N102" s="14" t="str">
        <x:v>Tier 2 broad journal</x:v>
      </x:c>
      <x:c r="O102" s="14" t="str">
        <x:v>https://doi.org/10.1007/s10663-026-09683-5</x:v>
      </x:c>
      <x:c r="P102" s="14" t="str"/>
      <x:c r="Q102" s="16" t="n">
        <x:v>38</x:v>
      </x:c>
      <x:c r="R102" s="16" t="n">
        <x:v>25</x:v>
      </x:c>
      <x:c r="S102" s="16" t="n">
        <x:v>15</x:v>
      </x:c>
      <x:c r="T102" s="16" t="n">
        <x:v>5</x:v>
      </x:c>
    </x:row>
    <x:row r="103" ht="48" customHeight="1">
      <x:c r="A103" s="16" t="n">
        <x:f>ROW()-1</x:f>
        <x:v>102</x:v>
      </x:c>
      <x:c r="B103" s="16" t="n">
        <x:f>SUM(Q103:T103)</x:f>
        <x:v>83</x:v>
      </x:c>
      <x:c r="C103" s="17" t="str">
        <x:f>IF(B103&gt;=93,"A — Highest authority",IF(B103&gt;=85,"B — Very strong",IF(B103&gt;=75,"C — Strong",IF(B103&gt;=65,"D — Useful with context","E — Supporting / lower weight"))))</x:f>
        <x:v>C — Strong</x:v>
      </x:c>
      <x:c r="D103" s="14" t="str">
        <x:v>Evolving Scientific Collaboration Among EU Member States, Candidate Countries and Global Partners: 2000–2024</x:v>
      </x:c>
      <x:c r="E103" s="20" t="n">
        <x:v>46147</x:v>
      </x:c>
      <x:c r="F103" s="17" t="str">
        <x:v>A</x:v>
      </x:c>
      <x:c r="G103" s="14" t="str">
        <x:v>Journal of Data and Information Science</x:v>
      </x:c>
      <x:c r="H103" s="14" t="str"/>
      <x:c r="I103" s="14" t="str">
        <x:v>Myroslava Hladchenko</x:v>
      </x:c>
      <x:c r="J103" s="14" t="str">
        <x:v>Established peer-reviewed journal. Good academic standing: established peer-reviewed specialist journal.</x:v>
      </x:c>
      <x:c r="K103" s="14" t="str">
        <x:v>Directly concerns Europe/EU and research, technology, innovation, funding or science policy.</x:v>
      </x:c>
      <x:c r="L103" s="14" t="str">
        <x:v>Direct EU relevance</x:v>
      </x:c>
      <x:c r="M103" s="14" t="str">
        <x:v>Peer-reviewed article</x:v>
      </x:c>
      <x:c r="N103" s="14" t="str">
        <x:v>Tier 2 broad journal</x:v>
      </x:c>
      <x:c r="O103" s="14" t="str">
        <x:v>https://doi.org/10.1515/jdis-2025-0374</x:v>
      </x:c>
      <x:c r="P103" s="14" t="str"/>
      <x:c r="Q103" s="16" t="n">
        <x:v>38</x:v>
      </x:c>
      <x:c r="R103" s="16" t="n">
        <x:v>25</x:v>
      </x:c>
      <x:c r="S103" s="16" t="n">
        <x:v>15</x:v>
      </x:c>
      <x:c r="T103" s="16" t="n">
        <x:v>5</x:v>
      </x:c>
    </x:row>
    <x:row r="104" ht="48" customHeight="1">
      <x:c r="A104" s="16" t="n">
        <x:f>ROW()-1</x:f>
        <x:v>103</x:v>
      </x:c>
      <x:c r="B104" s="16" t="n">
        <x:f>SUM(Q104:T104)</x:f>
        <x:v>83</x:v>
      </x:c>
      <x:c r="C104" s="17" t="str">
        <x:f>IF(B104&gt;=93,"A — Highest authority",IF(B104&gt;=85,"B — Very strong",IF(B104&gt;=75,"C — Strong",IF(B104&gt;=65,"D — Useful with context","E — Supporting / lower weight"))))</x:f>
        <x:v>C — Strong</x:v>
      </x:c>
      <x:c r="D104" s="14" t="str">
        <x:v>When barriers enable: reconsidering the role of innovation constraints in Central and Eastern European economies</x:v>
      </x:c>
      <x:c r="E104" s="20" t="n">
        <x:v>46146</x:v>
      </x:c>
      <x:c r="F104" s="17" t="str">
        <x:v>A</x:v>
      </x:c>
      <x:c r="G104" s="14" t="str">
        <x:v>European Journal of Innovation Management</x:v>
      </x:c>
      <x:c r="H104" s="14" t="str"/>
      <x:c r="I104" s="14" t="str">
        <x:v>Dominika Brozkova, Tarlan Ahmadov, Marek Brokes, Cali Nuur, Viktor Prokop</x:v>
      </x:c>
      <x:c r="J104" s="14" t="str">
        <x:v>Established peer-reviewed journal. Good academic standing: established peer-reviewed specialist journal.</x:v>
      </x:c>
      <x:c r="K104" s="14" t="str">
        <x:v>Directly concerns Europe/EU and research, technology, innovation, funding or science policy.</x:v>
      </x:c>
      <x:c r="L104" s="14" t="str">
        <x:v>Direct EU relevance</x:v>
      </x:c>
      <x:c r="M104" s="14" t="str">
        <x:v>Peer-reviewed article</x:v>
      </x:c>
      <x:c r="N104" s="14" t="str">
        <x:v>Tier 2 broad journal</x:v>
      </x:c>
      <x:c r="O104" s="14" t="str">
        <x:v>https://doi.org/10.1108/ejim-12-2025-1649</x:v>
      </x:c>
      <x:c r="P104" s="14" t="str"/>
      <x:c r="Q104" s="16" t="n">
        <x:v>38</x:v>
      </x:c>
      <x:c r="R104" s="16" t="n">
        <x:v>25</x:v>
      </x:c>
      <x:c r="S104" s="16" t="n">
        <x:v>15</x:v>
      </x:c>
      <x:c r="T104" s="16" t="n">
        <x:v>5</x:v>
      </x:c>
    </x:row>
    <x:row r="105" ht="48" customHeight="1">
      <x:c r="A105" s="16" t="n">
        <x:f>ROW()-1</x:f>
        <x:v>104</x:v>
      </x:c>
      <x:c r="B105" s="16" t="n">
        <x:f>SUM(Q105:T105)</x:f>
        <x:v>83</x:v>
      </x:c>
      <x:c r="C105" s="17" t="str">
        <x:f>IF(B105&gt;=93,"A — Highest authority",IF(B105&gt;=85,"B — Very strong",IF(B105&gt;=75,"C — Strong",IF(B105&gt;=65,"D — Useful with context","E — Supporting / lower weight"))))</x:f>
        <x:v>C — Strong</x:v>
      </x:c>
      <x:c r="D105" s="14" t="str">
        <x:v>Investment Screening and Technology Transfers in the Times of Geopolitical Upheaval</x:v>
      </x:c>
      <x:c r="E105" s="20" t="n">
        <x:v>46143</x:v>
      </x:c>
      <x:c r="F105" s="17" t="str">
        <x:v>A</x:v>
      </x:c>
      <x:c r="G105" s="14" t="str">
        <x:v>Legal Issues of Economic Integration</x:v>
      </x:c>
      <x:c r="H105" s="14" t="str"/>
      <x:c r="I105" s="14" t="str">
        <x:v>Szilárd Gáspár-Szilágyi</x:v>
      </x:c>
      <x:c r="J105" s="14" t="str">
        <x:v>Established peer-reviewed journal. Good academic standing: established peer-reviewed specialist journal.</x:v>
      </x:c>
      <x:c r="K105" s="14" t="str">
        <x:v>Directly concerns Europe/EU and research, technology, innovation, funding or science policy.</x:v>
      </x:c>
      <x:c r="L105" s="14" t="str">
        <x:v>Direct EU relevance</x:v>
      </x:c>
      <x:c r="M105" s="14" t="str">
        <x:v>Peer-reviewed article</x:v>
      </x:c>
      <x:c r="N105" s="14" t="str">
        <x:v>Tier 2 broad journal</x:v>
      </x:c>
      <x:c r="O105" s="14" t="str">
        <x:v>https://doi.org/10.54648/leie2026014</x:v>
      </x:c>
      <x:c r="P105" s="14" t="str"/>
      <x:c r="Q105" s="16" t="n">
        <x:v>38</x:v>
      </x:c>
      <x:c r="R105" s="16" t="n">
        <x:v>25</x:v>
      </x:c>
      <x:c r="S105" s="16" t="n">
        <x:v>15</x:v>
      </x:c>
      <x:c r="T105" s="16" t="n">
        <x:v>5</x:v>
      </x:c>
    </x:row>
    <x:row r="106" ht="48" customHeight="1">
      <x:c r="A106" s="16" t="n">
        <x:f>ROW()-1</x:f>
        <x:v>105</x:v>
      </x:c>
      <x:c r="B106" s="16" t="n">
        <x:f>SUM(Q106:T106)</x:f>
        <x:v>83</x:v>
      </x:c>
      <x:c r="C106" s="17" t="str">
        <x:f>IF(B106&gt;=93,"A — Highest authority",IF(B106&gt;=85,"B — Very strong",IF(B106&gt;=75,"C — Strong",IF(B106&gt;=65,"D — Useful with context","E — Supporting / lower weight"))))</x:f>
        <x:v>C — Strong</x:v>
      </x:c>
      <x:c r="D106" s="14" t="str">
        <x:v>Ownership changes in the pharmaceutical industry: understanding the 2023 pharma mergers and acquisitions landscape of Europe</x:v>
      </x:c>
      <x:c r="E106" s="20" t="n">
        <x:v>46140</x:v>
      </x:c>
      <x:c r="F106" s="17" t="str">
        <x:v>A</x:v>
      </x:c>
      <x:c r="G106" s="14" t="str">
        <x:v>Journal of Pharmaceutical Policy and Practice</x:v>
      </x:c>
      <x:c r="H106" s="14" t="str"/>
      <x:c r="I106" s="14" t="str">
        <x:v>Daniel Fabián, Claudia Wild</x:v>
      </x:c>
      <x:c r="J106" s="14" t="str">
        <x:v>Established peer-reviewed journal. Good academic standing: established peer-reviewed specialist journal.</x:v>
      </x:c>
      <x:c r="K106" s="14" t="str">
        <x:v>Directly concerns Europe/EU and research, technology, innovation, funding or science policy.</x:v>
      </x:c>
      <x:c r="L106" s="14" t="str">
        <x:v>Direct EU relevance</x:v>
      </x:c>
      <x:c r="M106" s="14" t="str">
        <x:v>Peer-reviewed article</x:v>
      </x:c>
      <x:c r="N106" s="14" t="str">
        <x:v>Tier 2 broad journal</x:v>
      </x:c>
      <x:c r="O106" s="14" t="str">
        <x:v>https://doi.org/10.1080/20523211.2026.2659063</x:v>
      </x:c>
      <x:c r="P106" s="14" t="str"/>
      <x:c r="Q106" s="16" t="n">
        <x:v>38</x:v>
      </x:c>
      <x:c r="R106" s="16" t="n">
        <x:v>25</x:v>
      </x:c>
      <x:c r="S106" s="16" t="n">
        <x:v>15</x:v>
      </x:c>
      <x:c r="T106" s="16" t="n">
        <x:v>5</x:v>
      </x:c>
    </x:row>
    <x:row r="107" ht="48" customHeight="1">
      <x:c r="A107" s="16" t="n">
        <x:f>ROW()-1</x:f>
        <x:v>106</x:v>
      </x:c>
      <x:c r="B107" s="16" t="n">
        <x:f>SUM(Q107:T107)</x:f>
        <x:v>82</x:v>
      </x:c>
      <x:c r="C107" s="17" t="str">
        <x:f>IF(B107&gt;=93,"A — Highest authority",IF(B107&gt;=85,"B — Very strong",IF(B107&gt;=75,"C — Strong",IF(B107&gt;=65,"D — Useful with context","E — Supporting / lower weight"))))</x:f>
        <x:v>C — Strong</x:v>
      </x:c>
      <x:c r="D107" s="14" t="str">
        <x:v>European industrial policy: promoting innovation ecosystems and safeguarding open strategic autonomy</x:v>
      </x:c>
      <x:c r="E107" s="20" t="n">
        <x:v>46217</x:v>
      </x:c>
      <x:c r="F107" s="17" t="str">
        <x:v>A</x:v>
      </x:c>
      <x:c r="G107" s="14" t="str">
        <x:v>Edward Elgar Publishing</x:v>
      </x:c>
      <x:c r="H107" s="14" t="str"/>
      <x:c r="I107" s="14" t="str">
        <x:v>Francesca Spigarelli; Lorenzo Compagnucci; Dominique Lepore</x:v>
      </x:c>
      <x:c r="J107" s="14" t="str">
        <x:v>Established academic publisher. Good academic standing: established scholarly publisher.</x:v>
      </x:c>
      <x:c r="K107" s="14" t="str">
        <x:v>Directly concerns Europe/EU and research, technology, innovation, funding or science policy.</x:v>
      </x:c>
      <x:c r="L107" s="14" t="str">
        <x:v>Direct EU relevance</x:v>
      </x:c>
      <x:c r="M107" s="14" t="str">
        <x:v>Manually verified scholarly/policy source</x:v>
      </x:c>
      <x:c r="N107" s="14" t="str">
        <x:v>Tier 2 broad journal</x:v>
      </x:c>
      <x:c r="O107" s="14" t="str">
        <x:v>https://www.elgaronline.com/doi/10.4337/9781035365616.00011</x:v>
      </x:c>
      <x:c r="P107" s="14" t="str"/>
      <x:c r="Q107" s="16" t="n">
        <x:v>38</x:v>
      </x:c>
      <x:c r="R107" s="16" t="n">
        <x:v>25</x:v>
      </x:c>
      <x:c r="S107" s="16" t="n">
        <x:v>14</x:v>
      </x:c>
      <x:c r="T107" s="16" t="n">
        <x:v>5</x:v>
      </x:c>
    </x:row>
    <x:row r="108" ht="48" customHeight="1">
      <x:c r="A108" s="16" t="n">
        <x:f>ROW()-1</x:f>
        <x:v>107</x:v>
      </x:c>
      <x:c r="B108" s="16" t="n">
        <x:f>SUM(Q108:T108)</x:f>
        <x:v>82</x:v>
      </x:c>
      <x:c r="C108" s="17" t="str">
        <x:f>IF(B108&gt;=93,"A — Highest authority",IF(B108&gt;=85,"B — Very strong",IF(B108&gt;=75,"C — Strong",IF(B108&gt;=65,"D — Useful with context","E — Supporting / lower weight"))))</x:f>
        <x:v>C — Strong</x:v>
      </x:c>
      <x:c r="D108" s="14" t="str">
        <x:v>Technological Dependencies of the European Union</x:v>
      </x:c>
      <x:c r="E108" s="20" t="n">
        <x:v>46150</x:v>
      </x:c>
      <x:c r="F108" s="17" t="str">
        <x:v>A</x:v>
      </x:c>
      <x:c r="G108" s="14" t="str">
        <x:v>Routledge</x:v>
      </x:c>
      <x:c r="H108" s="14" t="str"/>
      <x:c r="I108" s="14" t="str">
        <x:v>Christian Reiner; Roman Stöllinger</x:v>
      </x:c>
      <x:c r="J108" s="14" t="str">
        <x:v>Established academic publisher. Good academic standing: established scholarly publisher.</x:v>
      </x:c>
      <x:c r="K108" s="14" t="str">
        <x:v>Directly concerns Europe/EU and research, technology, innovation, funding or science policy.</x:v>
      </x:c>
      <x:c r="L108" s="14" t="str">
        <x:v>Direct EU relevance</x:v>
      </x:c>
      <x:c r="M108" s="14" t="str">
        <x:v>Manually verified scholarly/policy source</x:v>
      </x:c>
      <x:c r="N108" s="14" t="str">
        <x:v>Tier 2 broad journal</x:v>
      </x:c>
      <x:c r="O108" s="14" t="str">
        <x:v>https://doi.org/10.4324/9781003745563-5</x:v>
      </x:c>
      <x:c r="P108" s="14" t="str"/>
      <x:c r="Q108" s="16" t="n">
        <x:v>38</x:v>
      </x:c>
      <x:c r="R108" s="16" t="n">
        <x:v>25</x:v>
      </x:c>
      <x:c r="S108" s="16" t="n">
        <x:v>14</x:v>
      </x:c>
      <x:c r="T108" s="16" t="n">
        <x:v>5</x:v>
      </x:c>
    </x:row>
    <x:row r="109" ht="48" customHeight="1">
      <x:c r="A109" s="16" t="n">
        <x:f>ROW()-1</x:f>
        <x:v>108</x:v>
      </x:c>
      <x:c r="B109" s="16" t="n">
        <x:f>SUM(Q109:T109)</x:f>
        <x:v>82</x:v>
      </x:c>
      <x:c r="C109" s="17" t="str">
        <x:f>IF(B109&gt;=93,"A — Highest authority",IF(B109&gt;=85,"B — Very strong",IF(B109&gt;=75,"C — Strong",IF(B109&gt;=65,"D — Useful with context","E — Supporting / lower weight"))))</x:f>
        <x:v>C — Strong</x:v>
      </x:c>
      <x:c r="D109" s="14" t="str">
        <x:v>Das Auto and the Second China Shock: Industrial Policy and the Disruption of Technological Incumbency</x:v>
      </x:c>
      <x:c r="E109" s="20" t="n">
        <x:v>46142</x:v>
      </x:c>
      <x:c r="F109" s="17" t="str">
        <x:v>A</x:v>
      </x:c>
      <x:c r="G109" s="14" t="str">
        <x:v>Politics and Governance</x:v>
      </x:c>
      <x:c r="H109" s="14" t="str"/>
      <x:c r="I109" s="14" t="str">
        <x:v>Ban, C.; Scepanovic, V.</x:v>
      </x:c>
      <x:c r="J109" s="14" t="str">
        <x:v>Established peer-reviewed journal. Good academic standing: established peer-reviewed specialist journal.</x:v>
      </x:c>
      <x:c r="K109" s="14" t="str">
        <x:v>Directly concerns Europe/EU and research, technology, innovation, funding or science policy.</x:v>
      </x:c>
      <x:c r="L109" s="14" t="str">
        <x:v>Direct EU relevance</x:v>
      </x:c>
      <x:c r="M109" s="14" t="str">
        <x:v>Manually verified scholarly/policy source</x:v>
      </x:c>
      <x:c r="N109" s="14" t="str">
        <x:v>Tier 2 comparable</x:v>
      </x:c>
      <x:c r="O109" s="14" t="str">
        <x:v>https://doi.org/10.17645/pag.11456</x:v>
      </x:c>
      <x:c r="P109" s="14" t="str"/>
      <x:c r="Q109" s="16" t="n">
        <x:v>38</x:v>
      </x:c>
      <x:c r="R109" s="16" t="n">
        <x:v>25</x:v>
      </x:c>
      <x:c r="S109" s="16" t="n">
        <x:v>14</x:v>
      </x:c>
      <x:c r="T109" s="16" t="n">
        <x:v>5</x:v>
      </x:c>
    </x:row>
    <x:row r="110" ht="48" customHeight="1">
      <x:c r="A110" s="16" t="n">
        <x:f>ROW()-1</x:f>
        <x:v>109</x:v>
      </x:c>
      <x:c r="B110" s="16" t="n">
        <x:f>SUM(Q110:T110)</x:f>
        <x:v>81</x:v>
      </x:c>
      <x:c r="C110" s="17" t="str">
        <x:f>IF(B110&gt;=93,"A — Highest authority",IF(B110&gt;=85,"B — Very strong",IF(B110&gt;=75,"C — Strong",IF(B110&gt;=65,"D — Useful with context","E — Supporting / lower weight"))))</x:f>
        <x:v>C — Strong</x:v>
      </x:c>
      <x:c r="D110" s="14" t="str">
        <x:v>Detecting FIMI: A methodological framework for testing OSINT tools in TTPs detection</x:v>
      </x:c>
      <x:c r="E110" s="20" t="n">
        <x:v>46242</x:v>
      </x:c>
      <x:c r="F110" s="17" t="str">
        <x:v>A</x:v>
      </x:c>
      <x:c r="G110" s="14" t="str">
        <x:v>Open Research Europe</x:v>
      </x:c>
      <x:c r="H110" s="14" t="str"/>
      <x:c r="I110" s="14" t="str">
        <x:v>Konstantinos Margaros, Theodoros Paparrigopoulos, Georgios Giataganas, Orfeas Filippopoulos, Nikolaos Georgiou, Oleksandr Manzhai, Panagiota Benekou</x:v>
      </x:c>
      <x:c r="J110" s="14" t="str">
        <x:v>EU-supported peer-reviewed publishing platform. Good academic standing and strong EU relevance; a peer-reviewed publishing platform rather than an EU policy body.</x:v>
      </x:c>
      <x:c r="K110" s="14" t="str">
        <x:v>Directly concerns Europe/EU and research, technology, innovation, funding or science policy.</x:v>
      </x:c>
      <x:c r="L110" s="14" t="str">
        <x:v>Direct EU relevance</x:v>
      </x:c>
      <x:c r="M110" s="14" t="str">
        <x:v>Peer-reviewed article</x:v>
      </x:c>
      <x:c r="N110" s="14" t="str">
        <x:v>Tier 2 broad journal</x:v>
      </x:c>
      <x:c r="O110" s="14" t="str">
        <x:v>https://doi.org/10.12688/openreseurope.21702.2</x:v>
      </x:c>
      <x:c r="P110" s="14" t="str"/>
      <x:c r="Q110" s="16" t="n">
        <x:v>36</x:v>
      </x:c>
      <x:c r="R110" s="16" t="n">
        <x:v>25</x:v>
      </x:c>
      <x:c r="S110" s="16" t="n">
        <x:v>15</x:v>
      </x:c>
      <x:c r="T110" s="16" t="n">
        <x:v>5</x:v>
      </x:c>
    </x:row>
    <x:row r="111" ht="48" customHeight="1">
      <x:c r="A111" s="16" t="n">
        <x:f>ROW()-1</x:f>
        <x:v>110</x:v>
      </x:c>
      <x:c r="B111" s="16" t="n">
        <x:f>SUM(Q111:T111)</x:f>
        <x:v>81</x:v>
      </x:c>
      <x:c r="C111" s="17" t="str">
        <x:f>IF(B111&gt;=93,"A — Highest authority",IF(B111&gt;=85,"B — Very strong",IF(B111&gt;=75,"C — Strong",IF(B111&gt;=65,"D — Useful with context","E — Supporting / lower weight"))))</x:f>
        <x:v>C — Strong</x:v>
      </x:c>
      <x:c r="D111" s="14" t="str">
        <x:v>Achieving resilience through reconfigurability: The role of digitisation for improved strategy and decision-making for EU manufacturing industries</x:v>
      </x:c>
      <x:c r="E111" s="20" t="n">
        <x:v>46241</x:v>
      </x:c>
      <x:c r="F111" s="17" t="str">
        <x:v>A</x:v>
      </x:c>
      <x:c r="G111" s="14" t="str">
        <x:v>Open Research Europe</x:v>
      </x:c>
      <x:c r="H111" s="14" t="str"/>
      <x:c r="I111" s="14" t="str">
        <x:v>Emmanouil Bakopoulos, Tjerk Timan, Alexander Dementyev, Kosmas Alexopoulos, Adrian Jacob, Karol Kozak, Domenico Perfido</x:v>
      </x:c>
      <x:c r="J111" s="14" t="str">
        <x:v>EU-supported peer-reviewed publishing platform. Good academic standing and strong EU relevance; a peer-reviewed publishing platform rather than an EU policy body.</x:v>
      </x:c>
      <x:c r="K111" s="14" t="str">
        <x:v>Directly concerns Europe/EU and research, technology, innovation, funding or science policy.</x:v>
      </x:c>
      <x:c r="L111" s="14" t="str">
        <x:v>Direct EU relevance</x:v>
      </x:c>
      <x:c r="M111" s="14" t="str">
        <x:v>Peer-reviewed article</x:v>
      </x:c>
      <x:c r="N111" s="14" t="str">
        <x:v>Tier 2 broad journal</x:v>
      </x:c>
      <x:c r="O111" s="14" t="str">
        <x:v>https://doi.org/10.12688/openreseurope.23989.1</x:v>
      </x:c>
      <x:c r="P111" s="14" t="str"/>
      <x:c r="Q111" s="16" t="n">
        <x:v>36</x:v>
      </x:c>
      <x:c r="R111" s="16" t="n">
        <x:v>25</x:v>
      </x:c>
      <x:c r="S111" s="16" t="n">
        <x:v>15</x:v>
      </x:c>
      <x:c r="T111" s="16" t="n">
        <x:v>5</x:v>
      </x:c>
    </x:row>
    <x:row r="112" ht="48" customHeight="1">
      <x:c r="A112" s="16" t="n">
        <x:f>ROW()-1</x:f>
        <x:v>111</x:v>
      </x:c>
      <x:c r="B112" s="16" t="n">
        <x:f>SUM(Q112:T112)</x:f>
        <x:v>81</x:v>
      </x:c>
      <x:c r="C112" s="17" t="str">
        <x:f>IF(B112&gt;=93,"A — Highest authority",IF(B112&gt;=85,"B — Very strong",IF(B112&gt;=75,"C — Strong",IF(B112&gt;=65,"D — Useful with context","E — Supporting / lower weight"))))</x:f>
        <x:v>C — Strong</x:v>
      </x:c>
      <x:c r="D112" s="14" t="str">
        <x:v>Physical Activity and Healthy Ageing &amp; Longevity Data: Interoperability, Reuse, and Innovation in a Federated European Context</x:v>
      </x:c>
      <x:c r="E112" s="20" t="n">
        <x:v>46232</x:v>
      </x:c>
      <x:c r="F112" s="17" t="str">
        <x:v>A</x:v>
      </x:c>
      <x:c r="G112" s="14" t="str">
        <x:v>Open Research Europe</x:v>
      </x:c>
      <x:c r="H112" s="14" t="str"/>
      <x:c r="I112" s="14" t="str">
        <x:v>Theo Zacharis</x:v>
      </x:c>
      <x:c r="J112" s="14" t="str">
        <x:v>EU-supported peer-reviewed publishing platform. Good academic standing and strong EU relevance; a peer-reviewed publishing platform rather than an EU policy body.</x:v>
      </x:c>
      <x:c r="K112" s="14" t="str">
        <x:v>Directly concerns Europe/EU and research, technology, innovation, funding or science policy.</x:v>
      </x:c>
      <x:c r="L112" s="14" t="str">
        <x:v>Direct EU relevance</x:v>
      </x:c>
      <x:c r="M112" s="14" t="str">
        <x:v>Peer-reviewed article</x:v>
      </x:c>
      <x:c r="N112" s="14" t="str">
        <x:v>Tier 2 broad journal</x:v>
      </x:c>
      <x:c r="O112" s="14" t="str">
        <x:v>https://doi.org/10.12688/openreseurope.23637.1</x:v>
      </x:c>
      <x:c r="P112" s="14" t="str"/>
      <x:c r="Q112" s="16" t="n">
        <x:v>36</x:v>
      </x:c>
      <x:c r="R112" s="16" t="n">
        <x:v>25</x:v>
      </x:c>
      <x:c r="S112" s="16" t="n">
        <x:v>15</x:v>
      </x:c>
      <x:c r="T112" s="16" t="n">
        <x:v>5</x:v>
      </x:c>
    </x:row>
    <x:row r="113" ht="48" customHeight="1">
      <x:c r="A113" s="16" t="n">
        <x:f>ROW()-1</x:f>
        <x:v>112</x:v>
      </x:c>
      <x:c r="B113" s="16" t="n">
        <x:f>SUM(Q113:T113)</x:f>
        <x:v>81</x:v>
      </x:c>
      <x:c r="C113" s="17" t="str">
        <x:f>IF(B113&gt;=93,"A — Highest authority",IF(B113&gt;=85,"B — Very strong",IF(B113&gt;=75,"C — Strong",IF(B113&gt;=65,"D — Useful with context","E — Supporting / lower weight"))))</x:f>
        <x:v>C — Strong</x:v>
      </x:c>
      <x:c r="D113" s="14" t="str">
        <x:v>Developing Researchers’ Competencies through CARE–KNOW–DO and upSKILL.map, aligned with EU and UNESCO Priorities</x:v>
      </x:c>
      <x:c r="E113" s="20" t="n">
        <x:v>46219</x:v>
      </x:c>
      <x:c r="F113" s="17" t="str">
        <x:v>A</x:v>
      </x:c>
      <x:c r="G113" s="14" t="str">
        <x:v>Open Research Europe</x:v>
      </x:c>
      <x:c r="H113" s="14" t="str"/>
      <x:c r="I113" s="14" t="str">
        <x:v>Alexandra Okada, Kieron Sheehy, Klaus-Dieter Rossade, Arosha K. Bandara</x:v>
      </x:c>
      <x:c r="J113" s="14" t="str">
        <x:v>EU-supported peer-reviewed publishing platform. Good academic standing and strong EU relevance; a peer-reviewed publishing platform rather than an EU policy body.</x:v>
      </x:c>
      <x:c r="K113" s="14" t="str">
        <x:v>Directly concerns Europe/EU and research, technology, innovation, funding or science policy.</x:v>
      </x:c>
      <x:c r="L113" s="14" t="str">
        <x:v>Direct EU relevance</x:v>
      </x:c>
      <x:c r="M113" s="14" t="str">
        <x:v>Peer-reviewed article</x:v>
      </x:c>
      <x:c r="N113" s="14" t="str">
        <x:v>Tier 2 broad journal</x:v>
      </x:c>
      <x:c r="O113" s="14" t="str">
        <x:v>https://doi.org/10.12688/openreseurope.21408.4</x:v>
      </x:c>
      <x:c r="P113" s="14" t="str"/>
      <x:c r="Q113" s="16" t="n">
        <x:v>36</x:v>
      </x:c>
      <x:c r="R113" s="16" t="n">
        <x:v>25</x:v>
      </x:c>
      <x:c r="S113" s="16" t="n">
        <x:v>15</x:v>
      </x:c>
      <x:c r="T113" s="16" t="n">
        <x:v>5</x:v>
      </x:c>
    </x:row>
    <x:row r="114" ht="48" customHeight="1">
      <x:c r="A114" s="16" t="n">
        <x:f>ROW()-1</x:f>
        <x:v>113</x:v>
      </x:c>
      <x:c r="B114" s="16" t="n">
        <x:f>SUM(Q114:T114)</x:f>
        <x:v>81</x:v>
      </x:c>
      <x:c r="C114" s="17" t="str">
        <x:f>IF(B114&gt;=93,"A — Highest authority",IF(B114&gt;=85,"B — Very strong",IF(B114&gt;=75,"C — Strong",IF(B114&gt;=65,"D — Useful with context","E — Supporting / lower weight"))))</x:f>
        <x:v>C — Strong</x:v>
      </x:c>
      <x:c r="D114" s="14" t="str">
        <x:v>A sustainable platform for federated health data access, AI innovation, and regulatory acceptance in alignment with the European Health Data Space principles</x:v>
      </x:c>
      <x:c r="E114" s="20" t="n">
        <x:v>46170</x:v>
      </x:c>
      <x:c r="F114" s="17" t="str">
        <x:v>A</x:v>
      </x:c>
      <x:c r="G114" s="14" t="str">
        <x:v>Open Research Europe</x:v>
      </x:c>
      <x:c r="H114" s="14" t="str"/>
      <x:c r="I114" s="14" t="str">
        <x:v>Erwin Boutsma, Katja Herzog, Rebecca C. Rancourt, Torsten Gerriet Blum, Alberto Moreno, Francisco J. Núñez-Benjumea, Hanna Ćwiek-Kupczyńska, Rada Hussein, et al.</x:v>
      </x:c>
      <x:c r="J114" s="14" t="str">
        <x:v>EU-supported peer-reviewed publishing platform. Good academic standing and strong EU relevance; a peer-reviewed publishing platform rather than an EU policy body.</x:v>
      </x:c>
      <x:c r="K114" s="14" t="str">
        <x:v>Directly concerns Europe/EU and research, technology, innovation, funding or science policy.</x:v>
      </x:c>
      <x:c r="L114" s="14" t="str">
        <x:v>Direct EU relevance</x:v>
      </x:c>
      <x:c r="M114" s="14" t="str">
        <x:v>Peer-reviewed article</x:v>
      </x:c>
      <x:c r="N114" s="14" t="str">
        <x:v>Tier 2 broad journal</x:v>
      </x:c>
      <x:c r="O114" s="14" t="str">
        <x:v>https://doi.org/10.12688/openreseurope.23459.1</x:v>
      </x:c>
      <x:c r="P114" s="14" t="str"/>
      <x:c r="Q114" s="16" t="n">
        <x:v>36</x:v>
      </x:c>
      <x:c r="R114" s="16" t="n">
        <x:v>25</x:v>
      </x:c>
      <x:c r="S114" s="16" t="n">
        <x:v>15</x:v>
      </x:c>
      <x:c r="T114" s="16" t="n">
        <x:v>5</x:v>
      </x:c>
    </x:row>
    <x:row r="115" ht="48" customHeight="1">
      <x:c r="A115" s="16" t="n">
        <x:f>ROW()-1</x:f>
        <x:v>114</x:v>
      </x:c>
      <x:c r="B115" s="16" t="n">
        <x:f>SUM(Q115:T115)</x:f>
        <x:v>80</x:v>
      </x:c>
      <x:c r="C115" s="17" t="str">
        <x:f>IF(B115&gt;=93,"A — Highest authority",IF(B115&gt;=85,"B — Very strong",IF(B115&gt;=75,"C — Strong",IF(B115&gt;=65,"D — Useful with context","E — Supporting / lower weight"))))</x:f>
        <x:v>C — Strong</x:v>
      </x:c>
      <x:c r="D115" s="14" t="str">
        <x:v>The EU's Tech Sovereignty Package and the future of European digital power | Digital Watch Observatory</x:v>
      </x:c>
      <x:c r="E115" s="20" t="n">
        <x:v>46183</x:v>
      </x:c>
      <x:c r="F115" s="17" t="str">
        <x:v>A</x:v>
      </x:c>
      <x:c r="G115" s="14" t="str"/>
      <x:c r="H115" s="14" t="str">
        <x:v>Digital Watch Observatory.</x:v>
      </x:c>
      <x:c r="I115" s="14" t="str">
        <x:v>reyhand@diplomacy.edu</x:v>
      </x:c>
      <x:c r="J115" s="14" t="str">
        <x:v>Established policy / research source. Good policy standing: established research, policy or professional source.</x:v>
      </x:c>
      <x:c r="K115" s="14" t="str">
        <x:v>Directly concerns Europe/EU and research, technology, innovation, funding or science policy.</x:v>
      </x:c>
      <x:c r="L115" s="14" t="str">
        <x:v>Direct EU relevance</x:v>
      </x:c>
      <x:c r="M115" s="14" t="str">
        <x:v>Research/policy paper</x:v>
      </x:c>
      <x:c r="N115" s="14" t="str">
        <x:v>Tier 2</x:v>
      </x:c>
      <x:c r="O115" s="14" t="str">
        <x:v>https://dig.watch/updates/the-eus-tech-sovereignty-package-and-the-future-of-european-digital-power</x:v>
      </x:c>
      <x:c r="P115" s="14" t="str"/>
      <x:c r="Q115" s="16" t="n">
        <x:v>37</x:v>
      </x:c>
      <x:c r="R115" s="16" t="n">
        <x:v>25</x:v>
      </x:c>
      <x:c r="S115" s="16" t="n">
        <x:v>13</x:v>
      </x:c>
      <x:c r="T115" s="16" t="n">
        <x:v>5</x:v>
      </x:c>
    </x:row>
    <x:row r="116" ht="48" customHeight="1">
      <x:c r="A116" s="16" t="n">
        <x:f>ROW()-1</x:f>
        <x:v>115</x:v>
      </x:c>
      <x:c r="B116" s="16" t="n">
        <x:f>SUM(Q116:T116)</x:f>
        <x:v>78</x:v>
      </x:c>
      <x:c r="C116" s="17" t="str">
        <x:f>IF(B116&gt;=93,"A — Highest authority",IF(B116&gt;=85,"B — Very strong",IF(B116&gt;=75,"C — Strong",IF(B116&gt;=65,"D — Useful with context","E — Supporting / lower weight"))))</x:f>
        <x:v>C — Strong</x:v>
      </x:c>
      <x:c r="D116" s="14" t="str">
        <x:v>Alliance bundling, relative technological capability, and semiconductor governance modes: explaining U.S. technology governance toward Japan and China</x:v>
      </x:c>
      <x:c r="E116" s="20" t="n">
        <x:v>46224</x:v>
      </x:c>
      <x:c r="F116" s="17" t="str">
        <x:v>A</x:v>
      </x:c>
      <x:c r="G116" s="14" t="str">
        <x:v>Frontiers in Political Science</x:v>
      </x:c>
      <x:c r="H116" s="14" t="str"/>
      <x:c r="I116" s="14" t="str">
        <x:v>Xinping Huang</x:v>
      </x:c>
      <x:c r="J116" s="14" t="str">
        <x:v>Established peer-reviewed journal. Good academic standing: established peer-reviewed specialist journal.</x:v>
      </x:c>
      <x:c r="K116" s="14" t="str">
        <x:v>Important development outside Europe that may change Europe’s technology position, dependencies, competitiveness or security.</x:v>
      </x:c>
      <x:c r="L116" s="14" t="str">
        <x:v>External development with material EU implications</x:v>
      </x:c>
      <x:c r="M116" s="14" t="str">
        <x:v>Peer-reviewed article</x:v>
      </x:c>
      <x:c r="N116" s="14" t="str">
        <x:v>Tier 2 broad journal</x:v>
      </x:c>
      <x:c r="O116" s="14" t="str">
        <x:v>https://doi.org/10.3389/fpos.2026.1794223</x:v>
      </x:c>
      <x:c r="P116" s="14" t="str"/>
      <x:c r="Q116" s="16" t="n">
        <x:v>38</x:v>
      </x:c>
      <x:c r="R116" s="16" t="n">
        <x:v>20</x:v>
      </x:c>
      <x:c r="S116" s="16" t="n">
        <x:v>15</x:v>
      </x:c>
      <x:c r="T116" s="16" t="n">
        <x:v>5</x:v>
      </x:c>
    </x:row>
    <x:row r="117" ht="48" customHeight="1">
      <x:c r="A117" s="16" t="n">
        <x:f>ROW()-1</x:f>
        <x:v>116</x:v>
      </x:c>
      <x:c r="B117" s="16" t="n">
        <x:f>SUM(Q117:T117)</x:f>
        <x:v>77</x:v>
      </x:c>
      <x:c r="C117" s="17" t="str">
        <x:f>IF(B117&gt;=93,"A — Highest authority",IF(B117&gt;=85,"B — Very strong",IF(B117&gt;=75,"C — Strong",IF(B117&gt;=65,"D — Useful with context","E — Supporting / lower weight"))))</x:f>
        <x:v>C — Strong</x:v>
      </x:c>
      <x:c r="D117" s="14" t="str">
        <x:v>Evolving radio astronomy and its impact on Africa - ITU</x:v>
      </x:c>
      <x:c r="E117" s="20" t="n">
        <x:v>46261</x:v>
      </x:c>
      <x:c r="F117" s="17" t="str">
        <x:v>C</x:v>
      </x:c>
      <x:c r="G117" s="14" t="str"/>
      <x:c r="H117" s="14" t="str">
        <x:v>International Telecommunication Union</x:v>
      </x:c>
      <x:c r="I117" s="14" t="str">
        <x:v>Not stated in radar metadata</x:v>
      </x:c>
      <x:c r="J117" s="14" t="str">
        <x:v>Major public / multilateral body. Very high policy authority: major public or intergovernmental institution.</x:v>
      </x:c>
      <x:c r="K117" s="14" t="str">
        <x:v>Worth watching because it may change Europe’s capabilities, dependencies, investment environment or security.</x:v>
      </x:c>
      <x:c r="L117" s="14" t="str">
        <x:v>Fast-moving EU-relevant signal</x:v>
      </x:c>
      <x:c r="M117" s="14" t="str">
        <x:v>Current-event/signal evidence</x:v>
      </x:c>
      <x:c r="N117" s="14" t="str">
        <x:v>Not coded</x:v>
      </x:c>
      <x:c r="O117" s="14" t="str">
        <x:v>https://www.itu.int/hub/2026/08/evolving-radio-astronomy-and-its-impact-on-africa/</x:v>
      </x:c>
      <x:c r="P117" s="14" t="str">
        <x:v>https://www.itu.int/en/about/Pages/default.aspx</x:v>
      </x:c>
      <x:c r="Q117" s="16" t="n">
        <x:v>48</x:v>
      </x:c>
      <x:c r="R117" s="16" t="n">
        <x:v>18</x:v>
      </x:c>
      <x:c r="S117" s="16" t="n">
        <x:v>9</x:v>
      </x:c>
      <x:c r="T117" s="16" t="n">
        <x:v>2</x:v>
      </x:c>
    </x:row>
    <x:row r="118" ht="48" customHeight="1">
      <x:c r="A118" s="16" t="n">
        <x:f>ROW()-1</x:f>
        <x:v>117</x:v>
      </x:c>
      <x:c r="B118" s="16" t="n">
        <x:f>SUM(Q118:T118)</x:f>
        <x:v>77</x:v>
      </x:c>
      <x:c r="C118" s="17" t="str">
        <x:f>IF(B118&gt;=93,"A — Highest authority",IF(B118&gt;=85,"B — Very strong",IF(B118&gt;=75,"C — Strong",IF(B118&gt;=65,"D — Useful with context","E — Supporting / lower weight"))))</x:f>
        <x:v>C — Strong</x:v>
      </x:c>
      <x:c r="D118" s="14" t="str">
        <x:v>ITU AI/ML Challenge launch: Application inference from packet flows</x:v>
      </x:c>
      <x:c r="E118" s="20" t="n">
        <x:v>46232</x:v>
      </x:c>
      <x:c r="F118" s="17" t="str">
        <x:v>C</x:v>
      </x:c>
      <x:c r="G118" s="14" t="str"/>
      <x:c r="H118" s="14" t="str">
        <x:v>International Telecommunication Union</x:v>
      </x:c>
      <x:c r="I118" s="14" t="str">
        <x:v>Not stated in radar metadata</x:v>
      </x:c>
      <x:c r="J118" s="14" t="str">
        <x:v>Major public / multilateral body. Very high policy authority: major public or intergovernmental institution.</x:v>
      </x:c>
      <x:c r="K118" s="14" t="str">
        <x:v>Worth watching because it may change Europe’s capabilities, dependencies, investment environment or security.</x:v>
      </x:c>
      <x:c r="L118" s="14" t="str">
        <x:v>Fast-moving EU-relevant signal</x:v>
      </x:c>
      <x:c r="M118" s="14" t="str">
        <x:v>Current-event/signal evidence</x:v>
      </x:c>
      <x:c r="N118" s="14" t="str">
        <x:v>Not coded</x:v>
      </x:c>
      <x:c r="O118" s="14" t="str">
        <x:v>https://aiforgood.itu.int/event/itu-ai-ml-challenge-launch-application-inference-from-packet-flows/</x:v>
      </x:c>
      <x:c r="P118" s="14" t="str">
        <x:v>https://www.itu.int/en/about/Pages/default.aspx</x:v>
      </x:c>
      <x:c r="Q118" s="16" t="n">
        <x:v>48</x:v>
      </x:c>
      <x:c r="R118" s="16" t="n">
        <x:v>18</x:v>
      </x:c>
      <x:c r="S118" s="16" t="n">
        <x:v>9</x:v>
      </x:c>
      <x:c r="T118" s="16" t="n">
        <x:v>2</x:v>
      </x:c>
    </x:row>
    <x:row r="119" ht="48" customHeight="1">
      <x:c r="A119" s="16" t="n">
        <x:f>ROW()-1</x:f>
        <x:v>118</x:v>
      </x:c>
      <x:c r="B119" s="16" t="n">
        <x:f>SUM(Q119:T119)</x:f>
        <x:v>77</x:v>
      </x:c>
      <x:c r="C119" s="17" t="str">
        <x:f>IF(B119&gt;=93,"A — Highest authority",IF(B119&gt;=85,"B — Very strong",IF(B119&gt;=75,"C — Strong",IF(B119&gt;=65,"D — Useful with context","E — Supporting / lower weight"))))</x:f>
        <x:v>C — Strong</x:v>
      </x:c>
      <x:c r="D119" s="14" t="str">
        <x:v>Machine Learning for ICT infrastructure detection</x:v>
      </x:c>
      <x:c r="E119" s="20" t="n">
        <x:v>46219</x:v>
      </x:c>
      <x:c r="F119" s="17" t="str">
        <x:v>C</x:v>
      </x:c>
      <x:c r="G119" s="14" t="str"/>
      <x:c r="H119" s="14" t="str">
        <x:v>International Telecommunication Union</x:v>
      </x:c>
      <x:c r="I119" s="14" t="str">
        <x:v>Not stated in radar metadata</x:v>
      </x:c>
      <x:c r="J119" s="14" t="str">
        <x:v>Major public / multilateral body. Very high policy authority: major public or intergovernmental institution.</x:v>
      </x:c>
      <x:c r="K119" s="14" t="str">
        <x:v>Worth watching because it may change Europe’s capabilities, dependencies, investment environment or security.</x:v>
      </x:c>
      <x:c r="L119" s="14" t="str">
        <x:v>Fast-moving EU-relevant signal</x:v>
      </x:c>
      <x:c r="M119" s="14" t="str">
        <x:v>Current-event/signal evidence</x:v>
      </x:c>
      <x:c r="N119" s="14" t="str">
        <x:v>Not coded</x:v>
      </x:c>
      <x:c r="O119" s="14" t="str">
        <x:v>https://aiforgood.itu.int/event/machine-learning-for-ict-infrastructure-detection/</x:v>
      </x:c>
      <x:c r="P119" s="14" t="str">
        <x:v>https://www.itu.int/en/about/Pages/default.aspx</x:v>
      </x:c>
      <x:c r="Q119" s="16" t="n">
        <x:v>48</x:v>
      </x:c>
      <x:c r="R119" s="16" t="n">
        <x:v>18</x:v>
      </x:c>
      <x:c r="S119" s="16" t="n">
        <x:v>9</x:v>
      </x:c>
      <x:c r="T119" s="16" t="n">
        <x:v>2</x:v>
      </x:c>
    </x:row>
    <x:row r="120" ht="48" customHeight="1">
      <x:c r="A120" s="16" t="n">
        <x:f>ROW()-1</x:f>
        <x:v>119</x:v>
      </x:c>
      <x:c r="B120" s="16" t="n">
        <x:f>SUM(Q120:T120)</x:f>
        <x:v>77</x:v>
      </x:c>
      <x:c r="C120" s="17" t="str">
        <x:f>IF(B120&gt;=93,"A — Highest authority",IF(B120&gt;=85,"B — Very strong",IF(B120&gt;=75,"C — Strong",IF(B120&gt;=65,"D — Useful with context","E — Supporting / lower weight"))))</x:f>
        <x:v>C — Strong</x:v>
      </x:c>
      <x:c r="D120" s="14" t="str">
        <x:v>AI and democracy: Threats, safeguards, and the path forward</x:v>
      </x:c>
      <x:c r="E120" s="20" t="n">
        <x:v>46209</x:v>
      </x:c>
      <x:c r="F120" s="17" t="str">
        <x:v>C</x:v>
      </x:c>
      <x:c r="G120" s="14" t="str"/>
      <x:c r="H120" s="14" t="str">
        <x:v>International Telecommunication Union</x:v>
      </x:c>
      <x:c r="I120" s="14" t="str">
        <x:v>Not stated in radar metadata</x:v>
      </x:c>
      <x:c r="J120" s="14" t="str">
        <x:v>Major public / multilateral body. Very high policy authority: major public or intergovernmental institution.</x:v>
      </x:c>
      <x:c r="K120" s="14" t="str">
        <x:v>Worth watching because it may change Europe’s capabilities, dependencies, investment environment or security.</x:v>
      </x:c>
      <x:c r="L120" s="14" t="str">
        <x:v>Fast-moving EU-relevant signal</x:v>
      </x:c>
      <x:c r="M120" s="14" t="str">
        <x:v>Current-event/signal evidence</x:v>
      </x:c>
      <x:c r="N120" s="14" t="str">
        <x:v>Not coded</x:v>
      </x:c>
      <x:c r="O120" s="14" t="str">
        <x:v>https://aiforgood.itu.int/event/ai-and-democracy-threats-safeguards-and-the-path-forward/</x:v>
      </x:c>
      <x:c r="P120" s="14" t="str">
        <x:v>https://www.itu.int/en/about/Pages/default.aspx</x:v>
      </x:c>
      <x:c r="Q120" s="16" t="n">
        <x:v>48</x:v>
      </x:c>
      <x:c r="R120" s="16" t="n">
        <x:v>18</x:v>
      </x:c>
      <x:c r="S120" s="16" t="n">
        <x:v>9</x:v>
      </x:c>
      <x:c r="T120" s="16" t="n">
        <x:v>2</x:v>
      </x:c>
    </x:row>
    <x:row r="121" ht="48" customHeight="1">
      <x:c r="A121" s="16" t="n">
        <x:f>ROW()-1</x:f>
        <x:v>120</x:v>
      </x:c>
      <x:c r="B121" s="16" t="n">
        <x:f>SUM(Q121:T121)</x:f>
        <x:v>77</x:v>
      </x:c>
      <x:c r="C121" s="17" t="str">
        <x:f>IF(B121&gt;=93,"A — Highest authority",IF(B121&gt;=85,"B — Very strong",IF(B121&gt;=75,"C — Strong",IF(B121&gt;=65,"D — Useful with context","E — Supporting / lower weight"))))</x:f>
        <x:v>C — Strong</x:v>
      </x:c>
      <x:c r="D121" s="14" t="str">
        <x:v>Strategic competitiveness between the EU and the United States in artificial intelligence development – human capital, legal frameworks and data</x:v>
      </x:c>
      <x:c r="E121" s="20" t="n">
        <x:v>46261</x:v>
      </x:c>
      <x:c r="F121" s="17" t="str">
        <x:v>A</x:v>
      </x:c>
      <x:c r="G121" s="14" t="str">
        <x:v>Kortowski Przegląd Prawniczy</x:v>
      </x:c>
      <x:c r="H121" s="14" t="str"/>
      <x:c r="I121" s="14" t="str">
        <x:v>Robert Lizak</x:v>
      </x:c>
      <x:c r="J121" s="14" t="str">
        <x:v>Peer-reviewed journal. Useful peer-reviewed evidence; journal standing varies and is not treated as top-tier by default.</x:v>
      </x:c>
      <x:c r="K121" s="14" t="str">
        <x:v>Directly concerns Europe/EU and research, technology, innovation, funding or science policy.</x:v>
      </x:c>
      <x:c r="L121" s="14" t="str">
        <x:v>Direct EU relevance</x:v>
      </x:c>
      <x:c r="M121" s="14" t="str">
        <x:v>Peer-reviewed article</x:v>
      </x:c>
      <x:c r="N121" s="14" t="str">
        <x:v>Tier 2 broad journal</x:v>
      </x:c>
      <x:c r="O121" s="14" t="str">
        <x:v>https://doi.org/10.31648/kpp.12912</x:v>
      </x:c>
      <x:c r="P121" s="14" t="str"/>
      <x:c r="Q121" s="16" t="n">
        <x:v>32</x:v>
      </x:c>
      <x:c r="R121" s="16" t="n">
        <x:v>25</x:v>
      </x:c>
      <x:c r="S121" s="16" t="n">
        <x:v>15</x:v>
      </x:c>
      <x:c r="T121" s="16" t="n">
        <x:v>5</x:v>
      </x:c>
    </x:row>
    <x:row r="122" ht="48" customHeight="1">
      <x:c r="A122" s="16" t="n">
        <x:f>ROW()-1</x:f>
        <x:v>121</x:v>
      </x:c>
      <x:c r="B122" s="16" t="n">
        <x:f>SUM(Q122:T122)</x:f>
        <x:v>77</x:v>
      </x:c>
      <x:c r="C122" s="17" t="str">
        <x:f>IF(B122&gt;=93,"A — Highest authority",IF(B122&gt;=85,"B — Very strong",IF(B122&gt;=75,"C — Strong",IF(B122&gt;=65,"D — Useful with context","E — Supporting / lower weight"))))</x:f>
        <x:v>C — Strong</x:v>
      </x:c>
      <x:c r="D122" s="14" t="str">
        <x:v>Internationalization of higher education in Ukraine: strategic priorities for integration into the European higher education area</x:v>
      </x:c>
      <x:c r="E122" s="20" t="n">
        <x:v>46259</x:v>
      </x:c>
      <x:c r="F122" s="17" t="str">
        <x:v>A</x:v>
      </x:c>
      <x:c r="G122" s="14" t="str">
        <x:v>Academic Visions</x:v>
      </x:c>
      <x:c r="H122" s="14" t="str"/>
      <x:c r="I122" s="14" t="str">
        <x:v>Nataliia Lazurina, Yuliia Haidenko, Iryna Nosach</x:v>
      </x:c>
      <x:c r="J122" s="14" t="str">
        <x:v>Peer-reviewed journal. Useful peer-reviewed evidence; journal standing varies and is not treated as top-tier by default.</x:v>
      </x:c>
      <x:c r="K122" s="14" t="str">
        <x:v>Directly concerns Europe/EU and research, technology, innovation, funding or science policy.</x:v>
      </x:c>
      <x:c r="L122" s="14" t="str">
        <x:v>Direct EU relevance</x:v>
      </x:c>
      <x:c r="M122" s="14" t="str">
        <x:v>Peer-reviewed article</x:v>
      </x:c>
      <x:c r="N122" s="14" t="str">
        <x:v>Tier 2 broad journal</x:v>
      </x:c>
      <x:c r="O122" s="14" t="str">
        <x:v>https://doi.org/10.66556/2786-586x.58.lazurina-n</x:v>
      </x:c>
      <x:c r="P122" s="14" t="str"/>
      <x:c r="Q122" s="16" t="n">
        <x:v>32</x:v>
      </x:c>
      <x:c r="R122" s="16" t="n">
        <x:v>25</x:v>
      </x:c>
      <x:c r="S122" s="16" t="n">
        <x:v>15</x:v>
      </x:c>
      <x:c r="T122" s="16" t="n">
        <x:v>5</x:v>
      </x:c>
    </x:row>
    <x:row r="123" ht="48" customHeight="1">
      <x:c r="A123" s="16" t="n">
        <x:f>ROW()-1</x:f>
        <x:v>122</x:v>
      </x:c>
      <x:c r="B123" s="16" t="n">
        <x:f>SUM(Q123:T123)</x:f>
        <x:v>77</x:v>
      </x:c>
      <x:c r="C123" s="17" t="str">
        <x:f>IF(B123&gt;=93,"A — Highest authority",IF(B123&gt;=85,"B — Very strong",IF(B123&gt;=75,"C — Strong",IF(B123&gt;=65,"D — Useful with context","E — Supporting / lower weight"))))</x:f>
        <x:v>C — Strong</x:v>
      </x:c>
      <x:c r="D123" s="14" t="str">
        <x:v>Project-Mediated Europeanisation in Poland–Ukraine University Cooperation: A Document-Based Case Study</x:v>
      </x:c>
      <x:c r="E123" s="20" t="n">
        <x:v>46255</x:v>
      </x:c>
      <x:c r="F123" s="17" t="str">
        <x:v>A</x:v>
      </x:c>
      <x:c r="G123" s="14" t="str">
        <x:v>AI, Law, Politics</x:v>
      </x:c>
      <x:c r="H123" s="14" t="str"/>
      <x:c r="I123" s="14" t="str">
        <x:v>Olena Semenog</x:v>
      </x:c>
      <x:c r="J123" s="14" t="str">
        <x:v>Peer-reviewed journal. Useful peer-reviewed evidence; journal standing varies and is not treated as top-tier by default.</x:v>
      </x:c>
      <x:c r="K123" s="14" t="str">
        <x:v>Directly concerns Europe/EU and research, technology, innovation, funding or science policy.</x:v>
      </x:c>
      <x:c r="L123" s="14" t="str">
        <x:v>Direct EU relevance</x:v>
      </x:c>
      <x:c r="M123" s="14" t="str">
        <x:v>Peer-reviewed article</x:v>
      </x:c>
      <x:c r="N123" s="14" t="str">
        <x:v>Tier 2 broad journal</x:v>
      </x:c>
      <x:c r="O123" s="14" t="str">
        <x:v>https://doi.org/10.5709/alp-02.s1.2026-03</x:v>
      </x:c>
      <x:c r="P123" s="14" t="str"/>
      <x:c r="Q123" s="16" t="n">
        <x:v>32</x:v>
      </x:c>
      <x:c r="R123" s="16" t="n">
        <x:v>25</x:v>
      </x:c>
      <x:c r="S123" s="16" t="n">
        <x:v>15</x:v>
      </x:c>
      <x:c r="T123" s="16" t="n">
        <x:v>5</x:v>
      </x:c>
    </x:row>
    <x:row r="124" ht="48" customHeight="1">
      <x:c r="A124" s="16" t="n">
        <x:f>ROW()-1</x:f>
        <x:v>123</x:v>
      </x:c>
      <x:c r="B124" s="16" t="n">
        <x:f>SUM(Q124:T124)</x:f>
        <x:v>77</x:v>
      </x:c>
      <x:c r="C124" s="17" t="str">
        <x:f>IF(B124&gt;=93,"A — Highest authority",IF(B124&gt;=85,"B — Very strong",IF(B124&gt;=75,"C — Strong",IF(B124&gt;=65,"D — Useful with context","E — Supporting / lower weight"))))</x:f>
        <x:v>C — Strong</x:v>
      </x:c>
      <x:c r="D124" s="14" t="str">
        <x:v>Business enterprise expenditure on research and development in the European Union in an international context</x:v>
      </x:c>
      <x:c r="E124" s="20" t="n">
        <x:v>46254</x:v>
      </x:c>
      <x:c r="F124" s="17" t="str">
        <x:v>A</x:v>
      </x:c>
      <x:c r="G124" s="14" t="str">
        <x:v>Journal of Entrepreneurship and Sustainability Issues</x:v>
      </x:c>
      <x:c r="H124" s="14" t="str"/>
      <x:c r="I124" s="14" t="str">
        <x:v>Tomáš Cejpek, Michal Ruschak, Petra Mrázová</x:v>
      </x:c>
      <x:c r="J124" s="14" t="str">
        <x:v>Peer-reviewed journal. Useful peer-reviewed evidence; journal standing varies and is not treated as top-tier by default.</x:v>
      </x:c>
      <x:c r="K124" s="14" t="str">
        <x:v>Directly concerns Europe/EU and research, technology, innovation, funding or science policy.</x:v>
      </x:c>
      <x:c r="L124" s="14" t="str">
        <x:v>Direct EU relevance</x:v>
      </x:c>
      <x:c r="M124" s="14" t="str">
        <x:v>Peer-reviewed article</x:v>
      </x:c>
      <x:c r="N124" s="14" t="str">
        <x:v>Tier 2 broad journal</x:v>
      </x:c>
      <x:c r="O124" s="14" t="str">
        <x:v>https://doi.org/10.9770/x5483448482</x:v>
      </x:c>
      <x:c r="P124" s="14" t="str"/>
      <x:c r="Q124" s="16" t="n">
        <x:v>32</x:v>
      </x:c>
      <x:c r="R124" s="16" t="n">
        <x:v>25</x:v>
      </x:c>
      <x:c r="S124" s="16" t="n">
        <x:v>15</x:v>
      </x:c>
      <x:c r="T124" s="16" t="n">
        <x:v>5</x:v>
      </x:c>
    </x:row>
    <x:row r="125" ht="48" customHeight="1">
      <x:c r="A125" s="16" t="n">
        <x:f>ROW()-1</x:f>
        <x:v>124</x:v>
      </x:c>
      <x:c r="B125" s="16" t="n">
        <x:f>SUM(Q125:T125)</x:f>
        <x:v>77</x:v>
      </x:c>
      <x:c r="C125" s="17" t="str">
        <x:f>IF(B125&gt;=93,"A — Highest authority",IF(B125&gt;=85,"B — Very strong",IF(B125&gt;=75,"C — Strong",IF(B125&gt;=65,"D — Useful with context","E — Supporting / lower weight"))))</x:f>
        <x:v>C — Strong</x:v>
      </x:c>
      <x:c r="D125" s="14" t="str">
        <x:v>A Systems-Informed Assessment of Türkiye’s Digital, Human-Capability, and Innovation Enablers for Industry 5.0 Relative to the EU-27: An Integrated CRITIC–MARCOS and Entropy–TOPSIS Approach</x:v>
      </x:c>
      <x:c r="E125" s="20" t="n">
        <x:v>46252</x:v>
      </x:c>
      <x:c r="F125" s="17" t="str">
        <x:v>A</x:v>
      </x:c>
      <x:c r="G125" s="14" t="str">
        <x:v>Systems</x:v>
      </x:c>
      <x:c r="H125" s="14" t="str"/>
      <x:c r="I125" s="14" t="str">
        <x:v>Alaeddin Koska</x:v>
      </x:c>
      <x:c r="J125" s="14" t="str">
        <x:v>Peer-reviewed journal. Useful peer-reviewed evidence; journal standing varies and is not treated as top-tier by default.</x:v>
      </x:c>
      <x:c r="K125" s="14" t="str">
        <x:v>Directly concerns Europe/EU and research, technology, innovation, funding or science policy.</x:v>
      </x:c>
      <x:c r="L125" s="14" t="str">
        <x:v>Direct EU relevance</x:v>
      </x:c>
      <x:c r="M125" s="14" t="str">
        <x:v>Peer-reviewed article</x:v>
      </x:c>
      <x:c r="N125" s="14" t="str">
        <x:v>Tier 2 broad journal</x:v>
      </x:c>
      <x:c r="O125" s="14" t="str">
        <x:v>https://doi.org/10.3390/systems14081017</x:v>
      </x:c>
      <x:c r="P125" s="14" t="str"/>
      <x:c r="Q125" s="16" t="n">
        <x:v>32</x:v>
      </x:c>
      <x:c r="R125" s="16" t="n">
        <x:v>25</x:v>
      </x:c>
      <x:c r="S125" s="16" t="n">
        <x:v>15</x:v>
      </x:c>
      <x:c r="T125" s="16" t="n">
        <x:v>5</x:v>
      </x:c>
    </x:row>
    <x:row r="126" ht="48" customHeight="1">
      <x:c r="A126" s="16" t="n">
        <x:f>ROW()-1</x:f>
        <x:v>125</x:v>
      </x:c>
      <x:c r="B126" s="16" t="n">
        <x:f>SUM(Q126:T126)</x:f>
        <x:v>77</x:v>
      </x:c>
      <x:c r="C126" s="17" t="str">
        <x:f>IF(B126&gt;=93,"A — Highest authority",IF(B126&gt;=85,"B — Very strong",IF(B126&gt;=75,"C — Strong",IF(B126&gt;=65,"D — Useful with context","E — Supporting / lower weight"))))</x:f>
        <x:v>C — Strong</x:v>
      </x:c>
      <x:c r="D126" s="14" t="str">
        <x:v>From prototype to infrastructure: building a cross-realm European alert system for invasive alien species</x:v>
      </x:c>
      <x:c r="E126" s="20" t="n">
        <x:v>46251</x:v>
      </x:c>
      <x:c r="F126" s="17" t="str">
        <x:v>A</x:v>
      </x:c>
      <x:c r="G126" s="14" t="str">
        <x:v>ARPHA Conference Abstracts</x:v>
      </x:c>
      <x:c r="H126" s="14" t="str"/>
      <x:c r="I126" s="14" t="str">
        <x:v>Quentin Groom, Tim Adriaens, Lissa Breugelmans, Nicolas Noé, Damiano Oldoni</x:v>
      </x:c>
      <x:c r="J126" s="14" t="str">
        <x:v>Peer-reviewed journal. Useful peer-reviewed evidence; journal standing varies and is not treated as top-tier by default.</x:v>
      </x:c>
      <x:c r="K126" s="14" t="str">
        <x:v>Directly concerns Europe/EU and research, technology, innovation, funding or science policy.</x:v>
      </x:c>
      <x:c r="L126" s="14" t="str">
        <x:v>Direct EU relevance</x:v>
      </x:c>
      <x:c r="M126" s="14" t="str">
        <x:v>Peer-reviewed article</x:v>
      </x:c>
      <x:c r="N126" s="14" t="str">
        <x:v>Tier 2 broad journal</x:v>
      </x:c>
      <x:c r="O126" s="14" t="str">
        <x:v>https://doi.org/10.3897/aca.9.e202294</x:v>
      </x:c>
      <x:c r="P126" s="14" t="str"/>
      <x:c r="Q126" s="16" t="n">
        <x:v>32</x:v>
      </x:c>
      <x:c r="R126" s="16" t="n">
        <x:v>25</x:v>
      </x:c>
      <x:c r="S126" s="16" t="n">
        <x:v>15</x:v>
      </x:c>
      <x:c r="T126" s="16" t="n">
        <x:v>5</x:v>
      </x:c>
    </x:row>
    <x:row r="127" ht="48" customHeight="1">
      <x:c r="A127" s="16" t="n">
        <x:f>ROW()-1</x:f>
        <x:v>126</x:v>
      </x:c>
      <x:c r="B127" s="16" t="n">
        <x:f>SUM(Q127:T127)</x:f>
        <x:v>77</x:v>
      </x:c>
      <x:c r="C127" s="17" t="str">
        <x:f>IF(B127&gt;=93,"A — Highest authority",IF(B127&gt;=85,"B — Very strong",IF(B127&gt;=75,"C — Strong",IF(B127&gt;=65,"D — Useful with context","E — Supporting / lower weight"))))</x:f>
        <x:v>C — Strong</x:v>
      </x:c>
      <x:c r="D127" s="14" t="str">
        <x:v>Small “Arctic Superpowers”: Technological Capabilities in the A rctic as Symbolic Capital in the Strategic Cultures of Norway and Finland</x:v>
      </x:c>
      <x:c r="E127" s="20" t="n">
        <x:v>46251</x:v>
      </x:c>
      <x:c r="F127" s="17" t="str">
        <x:v>A</x:v>
      </x:c>
      <x:c r="G127" s="14" t="str">
        <x:v>Journal of International Analytics</x:v>
      </x:c>
      <x:c r="H127" s="14" t="str"/>
      <x:c r="I127" s="14" t="str">
        <x:v>Липунов Н. С.</x:v>
      </x:c>
      <x:c r="J127" s="14" t="str">
        <x:v>Peer-reviewed journal. Useful peer-reviewed evidence; journal standing varies and is not treated as top-tier by default.</x:v>
      </x:c>
      <x:c r="K127" s="14" t="str">
        <x:v>Directly concerns Europe/EU and research, technology, innovation, funding or science policy.</x:v>
      </x:c>
      <x:c r="L127" s="14" t="str">
        <x:v>Direct EU relevance</x:v>
      </x:c>
      <x:c r="M127" s="14" t="str">
        <x:v>Peer-reviewed article</x:v>
      </x:c>
      <x:c r="N127" s="14" t="str">
        <x:v>Tier 2 broad journal</x:v>
      </x:c>
      <x:c r="O127" s="14" t="str">
        <x:v>https://doi.org/10.46272/2587-8476-2026-17-2-139-155</x:v>
      </x:c>
      <x:c r="P127" s="14" t="str"/>
      <x:c r="Q127" s="16" t="n">
        <x:v>32</x:v>
      </x:c>
      <x:c r="R127" s="16" t="n">
        <x:v>25</x:v>
      </x:c>
      <x:c r="S127" s="16" t="n">
        <x:v>15</x:v>
      </x:c>
      <x:c r="T127" s="16" t="n">
        <x:v>5</x:v>
      </x:c>
    </x:row>
    <x:row r="128" ht="48" customHeight="1">
      <x:c r="A128" s="16" t="n">
        <x:f>ROW()-1</x:f>
        <x:v>127</x:v>
      </x:c>
      <x:c r="B128" s="16" t="n">
        <x:f>SUM(Q128:T128)</x:f>
        <x:v>77</x:v>
      </x:c>
      <x:c r="C128" s="17" t="str">
        <x:f>IF(B128&gt;=93,"A — Highest authority",IF(B128&gt;=85,"B — Very strong",IF(B128&gt;=75,"C — Strong",IF(B128&gt;=65,"D — Useful with context","E — Supporting / lower weight"))))</x:f>
        <x:v>C — Strong</x:v>
      </x:c>
      <x:c r="D128" s="14" t="str">
        <x:v>Digital Transformation of Portugal’s Marine Industry: Practical Logic, Strategic Framework, Challenges, and Implications</x:v>
      </x:c>
      <x:c r="E128" s="20" t="n">
        <x:v>46248</x:v>
      </x:c>
      <x:c r="F128" s="17" t="str">
        <x:v>A</x:v>
      </x:c>
      <x:c r="G128" s="14" t="str">
        <x:v>Critical humanistic social theory.</x:v>
      </x:c>
      <x:c r="H128" s="14" t="str"/>
      <x:c r="I128" s="14" t="str">
        <x:v>Xiaonan Li, Yixin Hao, Zhixing Yin</x:v>
      </x:c>
      <x:c r="J128" s="14" t="str">
        <x:v>Peer-reviewed journal. Useful peer-reviewed evidence; journal standing varies and is not treated as top-tier by default.</x:v>
      </x:c>
      <x:c r="K128" s="14" t="str">
        <x:v>Directly concerns Europe/EU and research, technology, innovation, funding or science policy.</x:v>
      </x:c>
      <x:c r="L128" s="14" t="str">
        <x:v>Direct EU relevance</x:v>
      </x:c>
      <x:c r="M128" s="14" t="str">
        <x:v>Peer-reviewed article</x:v>
      </x:c>
      <x:c r="N128" s="14" t="str">
        <x:v>Tier 2 broad journal</x:v>
      </x:c>
      <x:c r="O128" s="14" t="str">
        <x:v>https://doi.org/10.62177/chst.v3i3.1610</x:v>
      </x:c>
      <x:c r="P128" s="14" t="str"/>
      <x:c r="Q128" s="16" t="n">
        <x:v>32</x:v>
      </x:c>
      <x:c r="R128" s="16" t="n">
        <x:v>25</x:v>
      </x:c>
      <x:c r="S128" s="16" t="n">
        <x:v>15</x:v>
      </x:c>
      <x:c r="T128" s="16" t="n">
        <x:v>5</x:v>
      </x:c>
    </x:row>
    <x:row r="129" ht="48" customHeight="1">
      <x:c r="A129" s="16" t="n">
        <x:f>ROW()-1</x:f>
        <x:v>128</x:v>
      </x:c>
      <x:c r="B129" s="16" t="n">
        <x:f>SUM(Q129:T129)</x:f>
        <x:v>77</x:v>
      </x:c>
      <x:c r="C129" s="17" t="str">
        <x:f>IF(B129&gt;=93,"A — Highest authority",IF(B129&gt;=85,"B — Very strong",IF(B129&gt;=75,"C — Strong",IF(B129&gt;=65,"D — Useful with context","E — Supporting / lower weight"))))</x:f>
        <x:v>C — Strong</x:v>
      </x:c>
      <x:c r="D129" s="14" t="str">
        <x:v>EUMETSAT turns 40: International cooperation as a driver of global leadership in Earth observation</x:v>
      </x:c>
      <x:c r="E129" s="20" t="n">
        <x:v>46246</x:v>
      </x:c>
      <x:c r="F129" s="17" t="str">
        <x:v>A</x:v>
      </x:c>
      <x:c r="G129" s="14" t="str">
        <x:v>Journal of the European Meteorological Society.</x:v>
      </x:c>
      <x:c r="H129" s="14" t="str"/>
      <x:c r="I129" s="14" t="str">
        <x:v>Paul Counet, Antoine Berment</x:v>
      </x:c>
      <x:c r="J129" s="14" t="str">
        <x:v>Peer-reviewed journal. Useful peer-reviewed evidence; journal standing varies and is not treated as top-tier by default.</x:v>
      </x:c>
      <x:c r="K129" s="14" t="str">
        <x:v>Directly concerns Europe/EU and research, technology, innovation, funding or science policy.</x:v>
      </x:c>
      <x:c r="L129" s="14" t="str">
        <x:v>Direct EU relevance</x:v>
      </x:c>
      <x:c r="M129" s="14" t="str">
        <x:v>Peer-reviewed article</x:v>
      </x:c>
      <x:c r="N129" s="14" t="str">
        <x:v>Tier 2 broad journal</x:v>
      </x:c>
      <x:c r="O129" s="14" t="str">
        <x:v>https://doi.org/10.1016/j.jemets.2026.100047</x:v>
      </x:c>
      <x:c r="P129" s="14" t="str"/>
      <x:c r="Q129" s="16" t="n">
        <x:v>32</x:v>
      </x:c>
      <x:c r="R129" s="16" t="n">
        <x:v>25</x:v>
      </x:c>
      <x:c r="S129" s="16" t="n">
        <x:v>15</x:v>
      </x:c>
      <x:c r="T129" s="16" t="n">
        <x:v>5</x:v>
      </x:c>
    </x:row>
    <x:row r="130" ht="48" customHeight="1">
      <x:c r="A130" s="16" t="n">
        <x:f>ROW()-1</x:f>
        <x:v>129</x:v>
      </x:c>
      <x:c r="B130" s="16" t="n">
        <x:f>SUM(Q130:T130)</x:f>
        <x:v>77</x:v>
      </x:c>
      <x:c r="C130" s="17" t="str">
        <x:f>IF(B130&gt;=93,"A — Highest authority",IF(B130&gt;=85,"B — Very strong",IF(B130&gt;=75,"C — Strong",IF(B130&gt;=65,"D — Useful with context","E — Supporting / lower weight"))))</x:f>
        <x:v>C — Strong</x:v>
      </x:c>
      <x:c r="D130" s="14" t="str">
        <x:v>System Leadership for SDG-Aligned Research Security in Ireland</x:v>
      </x:c>
      <x:c r="E130" s="20" t="n">
        <x:v>46246</x:v>
      </x:c>
      <x:c r="F130" s="17" t="str">
        <x:v>A</x:v>
      </x:c>
      <x:c r="G130" s="14" t="str">
        <x:v>Journal of Research Management and Administration</x:v>
      </x:c>
      <x:c r="H130" s="14" t="str"/>
      <x:c r="I130" s="14" t="str">
        <x:v>Seán Lacey</x:v>
      </x:c>
      <x:c r="J130" s="14" t="str">
        <x:v>Peer-reviewed journal. Useful peer-reviewed evidence; journal standing varies and is not treated as top-tier by default.</x:v>
      </x:c>
      <x:c r="K130" s="14" t="str">
        <x:v>Directly concerns Europe/EU and research, technology, innovation, funding or science policy.</x:v>
      </x:c>
      <x:c r="L130" s="14" t="str">
        <x:v>Direct EU relevance</x:v>
      </x:c>
      <x:c r="M130" s="14" t="str">
        <x:v>Peer-reviewed article</x:v>
      </x:c>
      <x:c r="N130" s="14" t="str">
        <x:v>Tier 2 broad journal</x:v>
      </x:c>
      <x:c r="O130" s="14" t="str">
        <x:v>https://doi.org/10.18552/jorma.v5i1.1450</x:v>
      </x:c>
      <x:c r="P130" s="14" t="str"/>
      <x:c r="Q130" s="16" t="n">
        <x:v>32</x:v>
      </x:c>
      <x:c r="R130" s="16" t="n">
        <x:v>25</x:v>
      </x:c>
      <x:c r="S130" s="16" t="n">
        <x:v>15</x:v>
      </x:c>
      <x:c r="T130" s="16" t="n">
        <x:v>5</x:v>
      </x:c>
    </x:row>
    <x:row r="131" ht="48" customHeight="1">
      <x:c r="A131" s="16" t="n">
        <x:f>ROW()-1</x:f>
        <x:v>130</x:v>
      </x:c>
      <x:c r="B131" s="16" t="n">
        <x:f>SUM(Q131:T131)</x:f>
        <x:v>77</x:v>
      </x:c>
      <x:c r="C131" s="17" t="str">
        <x:f>IF(B131&gt;=93,"A — Highest authority",IF(B131&gt;=85,"B — Very strong",IF(B131&gt;=75,"C — Strong",IF(B131&gt;=65,"D — Useful with context","E — Supporting / lower weight"))))</x:f>
        <x:v>C — Strong</x:v>
      </x:c>
      <x:c r="D131" s="14" t="str">
        <x:v>Sustaining the Future City Hub: Startup Ecosystem Governance in Jakarta–Berlin Sister City Paradiplomacy</x:v>
      </x:c>
      <x:c r="E131" s="20" t="n">
        <x:v>46243</x:v>
      </x:c>
      <x:c r="F131" s="17" t="str">
        <x:v>A</x:v>
      </x:c>
      <x:c r="G131" s="14" t="str">
        <x:v>Jurnal Bina Praja</x:v>
      </x:c>
      <x:c r="H131" s="14" t="str"/>
      <x:c r="I131" s="14" t="str">
        <x:v>Oktaviani Rosmala, Sulis Ariska Novrianti, Muhammad Naufal Helga Fikri, Herie Saksono</x:v>
      </x:c>
      <x:c r="J131" s="14" t="str">
        <x:v>Peer-reviewed journal. Useful peer-reviewed evidence; journal standing varies and is not treated as top-tier by default.</x:v>
      </x:c>
      <x:c r="K131" s="14" t="str">
        <x:v>Directly concerns Europe/EU and research, technology, innovation, funding or science policy.</x:v>
      </x:c>
      <x:c r="L131" s="14" t="str">
        <x:v>Direct EU relevance</x:v>
      </x:c>
      <x:c r="M131" s="14" t="str">
        <x:v>Peer-reviewed article</x:v>
      </x:c>
      <x:c r="N131" s="14" t="str">
        <x:v>Tier 2 broad journal</x:v>
      </x:c>
      <x:c r="O131" s="14" t="str">
        <x:v>https://doi.org/10.21787/jbp.18.2026.3303</x:v>
      </x:c>
      <x:c r="P131" s="14" t="str"/>
      <x:c r="Q131" s="16" t="n">
        <x:v>32</x:v>
      </x:c>
      <x:c r="R131" s="16" t="n">
        <x:v>25</x:v>
      </x:c>
      <x:c r="S131" s="16" t="n">
        <x:v>15</x:v>
      </x:c>
      <x:c r="T131" s="16" t="n">
        <x:v>5</x:v>
      </x:c>
    </x:row>
    <x:row r="132" ht="48" customHeight="1">
      <x:c r="A132" s="16" t="n">
        <x:f>ROW()-1</x:f>
        <x:v>131</x:v>
      </x:c>
      <x:c r="B132" s="16" t="n">
        <x:f>SUM(Q132:T132)</x:f>
        <x:v>77</x:v>
      </x:c>
      <x:c r="C132" s="17" t="str">
        <x:f>IF(B132&gt;=93,"A — Highest authority",IF(B132&gt;=85,"B — Very strong",IF(B132&gt;=75,"C — Strong",IF(B132&gt;=65,"D — Useful with context","E — Supporting / lower weight"))))</x:f>
        <x:v>C — Strong</x:v>
      </x:c>
      <x:c r="D132" s="14" t="str">
        <x:v>Quantum Technologies as a Driver of Future Industrial Policy</x:v>
      </x:c>
      <x:c r="E132" s="20" t="n">
        <x:v>46242</x:v>
      </x:c>
      <x:c r="F132" s="17" t="str">
        <x:v>A</x:v>
      </x:c>
      <x:c r="G132" s="14" t="str">
        <x:v>Industrial Policy</x:v>
      </x:c>
      <x:c r="H132" s="14" t="str"/>
      <x:c r="I132" s="14" t="str">
        <x:v>Kerim Tolgahan Narin, Sabri Öz</x:v>
      </x:c>
      <x:c r="J132" s="14" t="str">
        <x:v>Peer-reviewed journal. Useful peer-reviewed evidence; journal standing varies and is not treated as top-tier by default.</x:v>
      </x:c>
      <x:c r="K132" s="14" t="str">
        <x:v>Directly concerns Europe/EU and research, technology, innovation, funding or science policy.</x:v>
      </x:c>
      <x:c r="L132" s="14" t="str">
        <x:v>Direct EU relevance</x:v>
      </x:c>
      <x:c r="M132" s="14" t="str">
        <x:v>Peer-reviewed article</x:v>
      </x:c>
      <x:c r="N132" s="14" t="str">
        <x:v>Tier 2 broad journal</x:v>
      </x:c>
      <x:c r="O132" s="14" t="str">
        <x:v>https://doi.org/10.61192/indpol.1829442</x:v>
      </x:c>
      <x:c r="P132" s="14" t="str"/>
      <x:c r="Q132" s="16" t="n">
        <x:v>32</x:v>
      </x:c>
      <x:c r="R132" s="16" t="n">
        <x:v>25</x:v>
      </x:c>
      <x:c r="S132" s="16" t="n">
        <x:v>15</x:v>
      </x:c>
      <x:c r="T132" s="16" t="n">
        <x:v>5</x:v>
      </x:c>
    </x:row>
    <x:row r="133" ht="48" customHeight="1">
      <x:c r="A133" s="16" t="n">
        <x:f>ROW()-1</x:f>
        <x:v>132</x:v>
      </x:c>
      <x:c r="B133" s="16" t="n">
        <x:f>SUM(Q133:T133)</x:f>
        <x:v>77</x:v>
      </x:c>
      <x:c r="C133" s="17" t="str">
        <x:f>IF(B133&gt;=93,"A — Highest authority",IF(B133&gt;=85,"B — Very strong",IF(B133&gt;=75,"C — Strong",IF(B133&gt;=65,"D — Useful with context","E — Supporting / lower weight"))))</x:f>
        <x:v>C — Strong</x:v>
      </x:c>
      <x:c r="D133" s="14" t="str">
        <x:v>Epistemic Authority, Centres, and Peripheries: Geopolitical Inequalities in Processes of Science-Making in Sub-Saharan African–West European Research Collaborations</x:v>
      </x:c>
      <x:c r="E133" s="20" t="n">
        <x:v>46239</x:v>
      </x:c>
      <x:c r="F133" s="17" t="str">
        <x:v>A</x:v>
      </x:c>
      <x:c r="G133" s="14" t="str">
        <x:v>Engaging Science Technology and Society</x:v>
      </x:c>
      <x:c r="H133" s="14" t="str"/>
      <x:c r="I133" s="14" t="str">
        <x:v>Camilla Tetley</x:v>
      </x:c>
      <x:c r="J133" s="14" t="str">
        <x:v>Peer-reviewed journal. Useful peer-reviewed evidence; journal standing varies and is not treated as top-tier by default.</x:v>
      </x:c>
      <x:c r="K133" s="14" t="str">
        <x:v>Directly concerns Europe/EU and research, technology, innovation, funding or science policy.</x:v>
      </x:c>
      <x:c r="L133" s="14" t="str">
        <x:v>Direct EU relevance</x:v>
      </x:c>
      <x:c r="M133" s="14" t="str">
        <x:v>Peer-reviewed article</x:v>
      </x:c>
      <x:c r="N133" s="14" t="str">
        <x:v>Tier 2 broad journal</x:v>
      </x:c>
      <x:c r="O133" s="14" t="str">
        <x:v>https://doi.org/10.17351/ests2023.3113</x:v>
      </x:c>
      <x:c r="P133" s="14" t="str"/>
      <x:c r="Q133" s="16" t="n">
        <x:v>32</x:v>
      </x:c>
      <x:c r="R133" s="16" t="n">
        <x:v>25</x:v>
      </x:c>
      <x:c r="S133" s="16" t="n">
        <x:v>15</x:v>
      </x:c>
      <x:c r="T133" s="16" t="n">
        <x:v>5</x:v>
      </x:c>
    </x:row>
    <x:row r="134" ht="48" customHeight="1">
      <x:c r="A134" s="16" t="n">
        <x:f>ROW()-1</x:f>
        <x:v>133</x:v>
      </x:c>
      <x:c r="B134" s="16" t="n">
        <x:f>SUM(Q134:T134)</x:f>
        <x:v>77</x:v>
      </x:c>
      <x:c r="C134" s="17" t="str">
        <x:f>IF(B134&gt;=93,"A — Highest authority",IF(B134&gt;=85,"B — Very strong",IF(B134&gt;=75,"C — Strong",IF(B134&gt;=65,"D — Useful with context","E — Supporting / lower weight"))))</x:f>
        <x:v>C — Strong</x:v>
      </x:c>
      <x:c r="D134" s="14" t="str">
        <x:v>AI Adoption and National Economic Competitiveness: A Comparative Study of Industrial and Economic Leadership in Pakistan and the UK</x:v>
      </x:c>
      <x:c r="E134" s="20" t="n">
        <x:v>46235</x:v>
      </x:c>
      <x:c r="F134" s="17" t="str">
        <x:v>A</x:v>
      </x:c>
      <x:c r="G134" s="14" t="str">
        <x:v>Journal of Business Insight and Innovation</x:v>
      </x:c>
      <x:c r="H134" s="14" t="str"/>
      <x:c r="I134" s="14" t="str">
        <x:v>Gilal Ashfaque Ali, Muhammad Irfan Syed, Saima Saqib, Syed Adil Abbas Rizvi, Saba Naz</x:v>
      </x:c>
      <x:c r="J134" s="14" t="str">
        <x:v>Peer-reviewed journal. Useful peer-reviewed evidence; journal standing varies and is not treated as top-tier by default.</x:v>
      </x:c>
      <x:c r="K134" s="14" t="str">
        <x:v>Directly concerns Europe/EU and research, technology, innovation, funding or science policy.</x:v>
      </x:c>
      <x:c r="L134" s="14" t="str">
        <x:v>Direct EU relevance</x:v>
      </x:c>
      <x:c r="M134" s="14" t="str">
        <x:v>Peer-reviewed article</x:v>
      </x:c>
      <x:c r="N134" s="14" t="str">
        <x:v>Tier 2 broad journal</x:v>
      </x:c>
      <x:c r="O134" s="14" t="str">
        <x:v>https://doi.org/10.63544/jbii.v5i8.129</x:v>
      </x:c>
      <x:c r="P134" s="14" t="str"/>
      <x:c r="Q134" s="16" t="n">
        <x:v>32</x:v>
      </x:c>
      <x:c r="R134" s="16" t="n">
        <x:v>25</x:v>
      </x:c>
      <x:c r="S134" s="16" t="n">
        <x:v>15</x:v>
      </x:c>
      <x:c r="T134" s="16" t="n">
        <x:v>5</x:v>
      </x:c>
    </x:row>
    <x:row r="135" ht="48" customHeight="1">
      <x:c r="A135" s="16" t="n">
        <x:f>ROW()-1</x:f>
        <x:v>134</x:v>
      </x:c>
      <x:c r="B135" s="16" t="n">
        <x:f>SUM(Q135:T135)</x:f>
        <x:v>77</x:v>
      </x:c>
      <x:c r="C135" s="17" t="str">
        <x:f>IF(B135&gt;=93,"A — Highest authority",IF(B135&gt;=85,"B — Very strong",IF(B135&gt;=75,"C — Strong",IF(B135&gt;=65,"D — Useful with context","E — Supporting / lower weight"))))</x:f>
        <x:v>C — Strong</x:v>
      </x:c>
      <x:c r="D135" s="14" t="str">
        <x:v>The Economic and Technological Resilience in the European Union: Geopolitical Fragmentation, Economic Security and the Future of Competitiveness</x:v>
      </x:c>
      <x:c r="E135" s="20" t="n">
        <x:v>46235</x:v>
      </x:c>
      <x:c r="F135" s="17" t="str">
        <x:v>A</x:v>
      </x:c>
      <x:c r="G135" s="14" t="str">
        <x:v>World</x:v>
      </x:c>
      <x:c r="H135" s="14" t="str"/>
      <x:c r="I135" s="14" t="str">
        <x:v>Kristína Králiková, Agneša Víghová</x:v>
      </x:c>
      <x:c r="J135" s="14" t="str">
        <x:v>Peer-reviewed journal. Useful peer-reviewed evidence; journal standing varies and is not treated as top-tier by default.</x:v>
      </x:c>
      <x:c r="K135" s="14" t="str">
        <x:v>Directly concerns Europe/EU and research, technology, innovation, funding or science policy.</x:v>
      </x:c>
      <x:c r="L135" s="14" t="str">
        <x:v>Direct EU relevance</x:v>
      </x:c>
      <x:c r="M135" s="14" t="str">
        <x:v>Peer-reviewed article</x:v>
      </x:c>
      <x:c r="N135" s="14" t="str">
        <x:v>Tier 2 broad journal</x:v>
      </x:c>
      <x:c r="O135" s="14" t="str">
        <x:v>https://doi.org/10.3390/world7080135</x:v>
      </x:c>
      <x:c r="P135" s="14" t="str"/>
      <x:c r="Q135" s="16" t="n">
        <x:v>32</x:v>
      </x:c>
      <x:c r="R135" s="16" t="n">
        <x:v>25</x:v>
      </x:c>
      <x:c r="S135" s="16" t="n">
        <x:v>15</x:v>
      </x:c>
      <x:c r="T135" s="16" t="n">
        <x:v>5</x:v>
      </x:c>
    </x:row>
    <x:row r="136" ht="48" customHeight="1">
      <x:c r="A136" s="16" t="n">
        <x:f>ROW()-1</x:f>
        <x:v>135</x:v>
      </x:c>
      <x:c r="B136" s="16" t="n">
        <x:f>SUM(Q136:T136)</x:f>
        <x:v>77</x:v>
      </x:c>
      <x:c r="C136" s="17" t="str">
        <x:f>IF(B136&gt;=93,"A — Highest authority",IF(B136&gt;=85,"B — Very strong",IF(B136&gt;=75,"C — Strong",IF(B136&gt;=65,"D — Useful with context","E — Supporting / lower weight"))))</x:f>
        <x:v>C — Strong</x:v>
      </x:c>
      <x:c r="D136" s="14" t="str">
        <x:v>Pockets of Excellence in Romanian Municipalities Between the New European Bauhaus and the AI Act</x:v>
      </x:c>
      <x:c r="E136" s="20" t="n">
        <x:v>46234</x:v>
      </x:c>
      <x:c r="F136" s="17" t="str">
        <x:v>A</x:v>
      </x:c>
      <x:c r="G136" s="14" t="str">
        <x:v>Applied Research in Administrative Sciences</x:v>
      </x:c>
      <x:c r="H136" s="14" t="str"/>
      <x:c r="I136" s="14" t="str">
        <x:v>Akhilesh KUMAR SRIVASTAVA, Raluca Antonie, Alex BUTEAN, Jared HANSEN</x:v>
      </x:c>
      <x:c r="J136" s="14" t="str">
        <x:v>Peer-reviewed journal. Useful peer-reviewed evidence; journal standing varies and is not treated as top-tier by default.</x:v>
      </x:c>
      <x:c r="K136" s="14" t="str">
        <x:v>Directly concerns Europe/EU and research, technology, innovation, funding or science policy.</x:v>
      </x:c>
      <x:c r="L136" s="14" t="str">
        <x:v>Direct EU relevance</x:v>
      </x:c>
      <x:c r="M136" s="14" t="str">
        <x:v>Peer-reviewed article</x:v>
      </x:c>
      <x:c r="N136" s="14" t="str">
        <x:v>Tier 2 broad journal</x:v>
      </x:c>
      <x:c r="O136" s="14" t="str">
        <x:v>https://doi.org/10.24818/aras/2026/7/2.03</x:v>
      </x:c>
      <x:c r="P136" s="14" t="str"/>
      <x:c r="Q136" s="16" t="n">
        <x:v>32</x:v>
      </x:c>
      <x:c r="R136" s="16" t="n">
        <x:v>25</x:v>
      </x:c>
      <x:c r="S136" s="16" t="n">
        <x:v>15</x:v>
      </x:c>
      <x:c r="T136" s="16" t="n">
        <x:v>5</x:v>
      </x:c>
    </x:row>
    <x:row r="137" ht="48" customHeight="1">
      <x:c r="A137" s="16" t="n">
        <x:f>ROW()-1</x:f>
        <x:v>136</x:v>
      </x:c>
      <x:c r="B137" s="16" t="n">
        <x:f>SUM(Q137:T137)</x:f>
        <x:v>77</x:v>
      </x:c>
      <x:c r="C137" s="17" t="str">
        <x:f>IF(B137&gt;=93,"A — Highest authority",IF(B137&gt;=85,"B — Very strong",IF(B137&gt;=75,"C — Strong",IF(B137&gt;=65,"D — Useful with context","E — Supporting / lower weight"))))</x:f>
        <x:v>C — Strong</x:v>
      </x:c>
      <x:c r="D137" s="14" t="str">
        <x:v>SUSTAINABLE AI INTEGRATION IN LOCAL GOVERNANCE: HUMAN RIGHTS, ECONOMIC SUSTAINABILITY AND OVERCOMING DONOR DEPENDENCY</x:v>
      </x:c>
      <x:c r="E137" s="20" t="n">
        <x:v>46234</x:v>
      </x:c>
      <x:c r="F137" s="17" t="str">
        <x:v>A</x:v>
      </x:c>
      <x:c r="G137" s="14" t="str">
        <x:v>Baltic Journal of Economic Studies</x:v>
      </x:c>
      <x:c r="H137" s="14" t="str"/>
      <x:c r="I137" s="14" t="str">
        <x:v>Zoia Ivantsova, Vitalii Barvinenko, Natalia Mishyna</x:v>
      </x:c>
      <x:c r="J137" s="14" t="str">
        <x:v>Peer-reviewed journal. Useful peer-reviewed evidence; journal standing varies and is not treated as top-tier by default.</x:v>
      </x:c>
      <x:c r="K137" s="14" t="str">
        <x:v>Directly concerns Europe/EU and research, technology, innovation, funding or science policy.</x:v>
      </x:c>
      <x:c r="L137" s="14" t="str">
        <x:v>Direct EU relevance</x:v>
      </x:c>
      <x:c r="M137" s="14" t="str">
        <x:v>Peer-reviewed article</x:v>
      </x:c>
      <x:c r="N137" s="14" t="str">
        <x:v>Tier 2 broad journal</x:v>
      </x:c>
      <x:c r="O137" s="14" t="str">
        <x:v>https://doi.org/10.30525/2256-0742/2026-12-3-363-368</x:v>
      </x:c>
      <x:c r="P137" s="14" t="str"/>
      <x:c r="Q137" s="16" t="n">
        <x:v>32</x:v>
      </x:c>
      <x:c r="R137" s="16" t="n">
        <x:v>25</x:v>
      </x:c>
      <x:c r="S137" s="16" t="n">
        <x:v>15</x:v>
      </x:c>
      <x:c r="T137" s="16" t="n">
        <x:v>5</x:v>
      </x:c>
    </x:row>
    <x:row r="138" ht="48" customHeight="1">
      <x:c r="A138" s="16" t="n">
        <x:f>ROW()-1</x:f>
        <x:v>137</x:v>
      </x:c>
      <x:c r="B138" s="16" t="n">
        <x:f>SUM(Q138:T138)</x:f>
        <x:v>77</x:v>
      </x:c>
      <x:c r="C138" s="17" t="str">
        <x:f>IF(B138&gt;=93,"A — Highest authority",IF(B138&gt;=85,"B — Very strong",IF(B138&gt;=75,"C — Strong",IF(B138&gt;=65,"D — Useful with context","E — Supporting / lower weight"))))</x:f>
        <x:v>C — Strong</x:v>
      </x:c>
      <x:c r="D138" s="14" t="str">
        <x:v>THE IMPACT OF THE DIGITAL ECONOMY ON DEVELOPMENT THE ASIA-PACIFIC REGION: MEASUREMENT ON GLOBAL VALUE CHAIN</x:v>
      </x:c>
      <x:c r="E138" s="20" t="n">
        <x:v>46234</x:v>
      </x:c>
      <x:c r="F138" s="17" t="str">
        <x:v>A</x:v>
      </x:c>
      <x:c r="G138" s="14" t="str">
        <x:v>Baltic Journal of Economic Studies</x:v>
      </x:c>
      <x:c r="H138" s="14" t="str"/>
      <x:c r="I138" s="14" t="str">
        <x:v>Тетяна Харченко, Zhao Min</x:v>
      </x:c>
      <x:c r="J138" s="14" t="str">
        <x:v>Peer-reviewed journal. Useful peer-reviewed evidence; journal standing varies and is not treated as top-tier by default.</x:v>
      </x:c>
      <x:c r="K138" s="14" t="str">
        <x:v>Directly concerns Europe/EU and research, technology, innovation, funding or science policy.</x:v>
      </x:c>
      <x:c r="L138" s="14" t="str">
        <x:v>Direct EU relevance</x:v>
      </x:c>
      <x:c r="M138" s="14" t="str">
        <x:v>Peer-reviewed article</x:v>
      </x:c>
      <x:c r="N138" s="14" t="str">
        <x:v>Tier 2 broad journal</x:v>
      </x:c>
      <x:c r="O138" s="14" t="str">
        <x:v>https://doi.org/10.30525/2256-0742/2026-12-3-399-409</x:v>
      </x:c>
      <x:c r="P138" s="14" t="str"/>
      <x:c r="Q138" s="16" t="n">
        <x:v>32</x:v>
      </x:c>
      <x:c r="R138" s="16" t="n">
        <x:v>25</x:v>
      </x:c>
      <x:c r="S138" s="16" t="n">
        <x:v>15</x:v>
      </x:c>
      <x:c r="T138" s="16" t="n">
        <x:v>5</x:v>
      </x:c>
    </x:row>
    <x:row r="139" ht="48" customHeight="1">
      <x:c r="A139" s="16" t="n">
        <x:f>ROW()-1</x:f>
        <x:v>138</x:v>
      </x:c>
      <x:c r="B139" s="16" t="n">
        <x:f>SUM(Q139:T139)</x:f>
        <x:v>77</x:v>
      </x:c>
      <x:c r="C139" s="17" t="str">
        <x:f>IF(B139&gt;=93,"A — Highest authority",IF(B139&gt;=85,"B — Very strong",IF(B139&gt;=75,"C — Strong",IF(B139&gt;=65,"D — Useful with context","E — Supporting / lower weight"))))</x:f>
        <x:v>C — Strong</x:v>
      </x:c>
      <x:c r="D139" s="14" t="str">
        <x:v>INTELLECTUAL PROPERTY GOVERNANCE IN THE AGE OF ARTIFICIAL INTELLIGENCE: REGULATORY FRAGMENTATION AND THE TRANSFORMATION OF DIGITAL AUTHORI</x:v>
      </x:c>
      <x:c r="E139" s="20" t="n">
        <x:v>46233</x:v>
      </x:c>
      <x:c r="F139" s="17" t="str">
        <x:v>A</x:v>
      </x:c>
      <x:c r="G139" s="14" t="str">
        <x:v>International Journal of Law in Changing World</x:v>
      </x:c>
      <x:c r="H139" s="14" t="str"/>
      <x:c r="I139" s="14" t="str">
        <x:v>Ujang Badru Jaman, Armansyah Armansyah, Thomas Sheku Marah</x:v>
      </x:c>
      <x:c r="J139" s="14" t="str">
        <x:v>Peer-reviewed journal. Useful peer-reviewed evidence; journal standing varies and is not treated as top-tier by default.</x:v>
      </x:c>
      <x:c r="K139" s="14" t="str">
        <x:v>Directly concerns Europe/EU and research, technology, innovation, funding or science policy.</x:v>
      </x:c>
      <x:c r="L139" s="14" t="str">
        <x:v>Direct EU relevance</x:v>
      </x:c>
      <x:c r="M139" s="14" t="str">
        <x:v>Peer-reviewed article</x:v>
      </x:c>
      <x:c r="N139" s="14" t="str">
        <x:v>Tier 2 broad journal</x:v>
      </x:c>
      <x:c r="O139" s="14" t="str">
        <x:v>https://doi.org/10.54934/ijlcw.v5i1.186</x:v>
      </x:c>
      <x:c r="P139" s="14" t="str"/>
      <x:c r="Q139" s="16" t="n">
        <x:v>32</x:v>
      </x:c>
      <x:c r="R139" s="16" t="n">
        <x:v>25</x:v>
      </x:c>
      <x:c r="S139" s="16" t="n">
        <x:v>15</x:v>
      </x:c>
      <x:c r="T139" s="16" t="n">
        <x:v>5</x:v>
      </x:c>
    </x:row>
    <x:row r="140" ht="48" customHeight="1">
      <x:c r="A140" s="16" t="n">
        <x:f>ROW()-1</x:f>
        <x:v>139</x:v>
      </x:c>
      <x:c r="B140" s="16" t="n">
        <x:f>SUM(Q140:T140)</x:f>
        <x:v>77</x:v>
      </x:c>
      <x:c r="C140" s="17" t="str">
        <x:f>IF(B140&gt;=93,"A — Highest authority",IF(B140&gt;=85,"B — Very strong",IF(B140&gt;=75,"C — Strong",IF(B140&gt;=65,"D — Useful with context","E — Supporting / lower weight"))))</x:f>
        <x:v>C — Strong</x:v>
      </x:c>
      <x:c r="D140" s="14" t="str">
        <x:v>No one builds alone: The geopolitics of AI chips</x:v>
      </x:c>
      <x:c r="E140" s="20" t="n">
        <x:v>46233</x:v>
      </x:c>
      <x:c r="F140" s="17" t="str">
        <x:v>A</x:v>
      </x:c>
      <x:c r="G140" s="14" t="str">
        <x:v>MIT Science Policy Review</x:v>
      </x:c>
      <x:c r="H140" s="14" t="str"/>
      <x:c r="I140" s="14" t="str">
        <x:v>Zuzana Navratil</x:v>
      </x:c>
      <x:c r="J140" s="14" t="str">
        <x:v>Peer-reviewed journal. Useful peer-reviewed evidence; journal standing varies and is not treated as top-tier by default.</x:v>
      </x:c>
      <x:c r="K140" s="14" t="str">
        <x:v>Directly concerns Europe/EU and research, technology, innovation, funding or science policy.</x:v>
      </x:c>
      <x:c r="L140" s="14" t="str">
        <x:v>Direct EU relevance</x:v>
      </x:c>
      <x:c r="M140" s="14" t="str">
        <x:v>Peer-reviewed article</x:v>
      </x:c>
      <x:c r="N140" s="14" t="str">
        <x:v>Tier 2 broad journal</x:v>
      </x:c>
      <x:c r="O140" s="14" t="str">
        <x:v>https://doi.org/10.38105/spr.vf5ks0gobi</x:v>
      </x:c>
      <x:c r="P140" s="14" t="str"/>
      <x:c r="Q140" s="16" t="n">
        <x:v>32</x:v>
      </x:c>
      <x:c r="R140" s="16" t="n">
        <x:v>25</x:v>
      </x:c>
      <x:c r="S140" s="16" t="n">
        <x:v>15</x:v>
      </x:c>
      <x:c r="T140" s="16" t="n">
        <x:v>5</x:v>
      </x:c>
    </x:row>
    <x:row r="141" ht="48" customHeight="1">
      <x:c r="A141" s="16" t="n">
        <x:f>ROW()-1</x:f>
        <x:v>140</x:v>
      </x:c>
      <x:c r="B141" s="16" t="n">
        <x:f>SUM(Q141:T141)</x:f>
        <x:v>77</x:v>
      </x:c>
      <x:c r="C141" s="17" t="str">
        <x:f>IF(B141&gt;=93,"A — Highest authority",IF(B141&gt;=85,"B — Very strong",IF(B141&gt;=75,"C — Strong",IF(B141&gt;=65,"D — Useful with context","E — Supporting / lower weight"))))</x:f>
        <x:v>C — Strong</x:v>
      </x:c>
      <x:c r="D141" s="14" t="str">
        <x:v>Geopolitical Risk Mitigation in Information Governance:An Evaluation Framework for Algorithmic Bias and Data Security in AI-DrivenGlobal Supply Chains</x:v>
      </x:c>
      <x:c r="E141" s="20" t="n">
        <x:v>46232</x:v>
      </x:c>
      <x:c r="F141" s="17" t="str">
        <x:v>A</x:v>
      </x:c>
      <x:c r="G141" s="14" t="str">
        <x:v>International Journal of Computer Information Systems and Industrial Management Applications</x:v>
      </x:c>
      <x:c r="H141" s="14" t="str"/>
      <x:c r="I141" s="14" t="str">
        <x:v>Iqra Nissar, Shreesh Pathak, Yogesh Kumar Gupta</x:v>
      </x:c>
      <x:c r="J141" s="14" t="str">
        <x:v>Peer-reviewed journal. Useful peer-reviewed evidence; journal standing varies and is not treated as top-tier by default.</x:v>
      </x:c>
      <x:c r="K141" s="14" t="str">
        <x:v>Directly concerns Europe/EU and research, technology, innovation, funding or science policy.</x:v>
      </x:c>
      <x:c r="L141" s="14" t="str">
        <x:v>Direct EU relevance</x:v>
      </x:c>
      <x:c r="M141" s="14" t="str">
        <x:v>Peer-reviewed article</x:v>
      </x:c>
      <x:c r="N141" s="14" t="str">
        <x:v>Tier 2 broad journal</x:v>
      </x:c>
      <x:c r="O141" s="14" t="str">
        <x:v>https://doi.org/10.70917/ijcisim-2026-3885</x:v>
      </x:c>
      <x:c r="P141" s="14" t="str"/>
      <x:c r="Q141" s="16" t="n">
        <x:v>32</x:v>
      </x:c>
      <x:c r="R141" s="16" t="n">
        <x:v>25</x:v>
      </x:c>
      <x:c r="S141" s="16" t="n">
        <x:v>15</x:v>
      </x:c>
      <x:c r="T141" s="16" t="n">
        <x:v>5</x:v>
      </x:c>
    </x:row>
    <x:row r="142" ht="48" customHeight="1">
      <x:c r="A142" s="16" t="n">
        <x:f>ROW()-1</x:f>
        <x:v>141</x:v>
      </x:c>
      <x:c r="B142" s="16" t="n">
        <x:f>SUM(Q142:T142)</x:f>
        <x:v>77</x:v>
      </x:c>
      <x:c r="C142" s="17" t="str">
        <x:f>IF(B142&gt;=93,"A — Highest authority",IF(B142&gt;=85,"B — Very strong",IF(B142&gt;=75,"C — Strong",IF(B142&gt;=65,"D — Useful with context","E — Supporting / lower weight"))))</x:f>
        <x:v>C — Strong</x:v>
      </x:c>
      <x:c r="D142" s="14" t="str">
        <x:v>Structural limitations and competitiveness challenges of the European Union’s AI model</x:v>
      </x:c>
      <x:c r="E142" s="20" t="n">
        <x:v>46232</x:v>
      </x:c>
      <x:c r="F142" s="17" t="str">
        <x:v>A</x:v>
      </x:c>
      <x:c r="G142" s="14" t="str">
        <x:v>Journal of Modern Science</x:v>
      </x:c>
      <x:c r="H142" s="14" t="str"/>
      <x:c r="I142" s="14" t="str">
        <x:v>Justyna Bokajło</x:v>
      </x:c>
      <x:c r="J142" s="14" t="str">
        <x:v>Peer-reviewed journal. Useful peer-reviewed evidence; journal standing varies and is not treated as top-tier by default.</x:v>
      </x:c>
      <x:c r="K142" s="14" t="str">
        <x:v>Directly concerns Europe/EU and research, technology, innovation, funding or science policy.</x:v>
      </x:c>
      <x:c r="L142" s="14" t="str">
        <x:v>Direct EU relevance</x:v>
      </x:c>
      <x:c r="M142" s="14" t="str">
        <x:v>Peer-reviewed article</x:v>
      </x:c>
      <x:c r="N142" s="14" t="str">
        <x:v>Tier 2 broad journal</x:v>
      </x:c>
      <x:c r="O142" s="14" t="str">
        <x:v>https://doi.org/10.13166/jms/224780</x:v>
      </x:c>
      <x:c r="P142" s="14" t="str"/>
      <x:c r="Q142" s="16" t="n">
        <x:v>32</x:v>
      </x:c>
      <x:c r="R142" s="16" t="n">
        <x:v>25</x:v>
      </x:c>
      <x:c r="S142" s="16" t="n">
        <x:v>15</x:v>
      </x:c>
      <x:c r="T142" s="16" t="n">
        <x:v>5</x:v>
      </x:c>
    </x:row>
    <x:row r="143" ht="48" customHeight="1">
      <x:c r="A143" s="16" t="n">
        <x:f>ROW()-1</x:f>
        <x:v>142</x:v>
      </x:c>
      <x:c r="B143" s="16" t="n">
        <x:f>SUM(Q143:T143)</x:f>
        <x:v>77</x:v>
      </x:c>
      <x:c r="C143" s="17" t="str">
        <x:f>IF(B143&gt;=93,"A — Highest authority",IF(B143&gt;=85,"B — Very strong",IF(B143&gt;=75,"C — Strong",IF(B143&gt;=65,"D — Useful with context","E — Supporting / lower weight"))))</x:f>
        <x:v>C — Strong</x:v>
      </x:c>
      <x:c r="D143" s="14" t="str">
        <x:v>AUKUS and the Nuclear-Free Norm in Southeast Asia: A Constructivist Analysis of ASEAN Responses (2023-2025)</x:v>
      </x:c>
      <x:c r="E143" s="20" t="n">
        <x:v>46227</x:v>
      </x:c>
      <x:c r="F143" s="17" t="str">
        <x:v>A</x:v>
      </x:c>
      <x:c r="G143" s="14" t="str">
        <x:v>Politeia Journal of Public Administration and Political Science and International Relations</x:v>
      </x:c>
      <x:c r="H143" s="14" t="str"/>
      <x:c r="I143" s="14" t="str">
        <x:v>Dewi Puspa Maharani, Khoirunnisa Khoirunnisa</x:v>
      </x:c>
      <x:c r="J143" s="14" t="str">
        <x:v>Peer-reviewed journal. Useful peer-reviewed evidence; journal standing varies and is not treated as top-tier by default.</x:v>
      </x:c>
      <x:c r="K143" s="14" t="str">
        <x:v>Directly concerns Europe/EU and research, technology, innovation, funding or science policy.</x:v>
      </x:c>
      <x:c r="L143" s="14" t="str">
        <x:v>Direct EU relevance</x:v>
      </x:c>
      <x:c r="M143" s="14" t="str">
        <x:v>Peer-reviewed article</x:v>
      </x:c>
      <x:c r="N143" s="14" t="str">
        <x:v>Tier 2 broad journal</x:v>
      </x:c>
      <x:c r="O143" s="14" t="str">
        <x:v>https://doi.org/10.61978/politeia.v4i3.1588</x:v>
      </x:c>
      <x:c r="P143" s="14" t="str"/>
      <x:c r="Q143" s="16" t="n">
        <x:v>32</x:v>
      </x:c>
      <x:c r="R143" s="16" t="n">
        <x:v>25</x:v>
      </x:c>
      <x:c r="S143" s="16" t="n">
        <x:v>15</x:v>
      </x:c>
      <x:c r="T143" s="16" t="n">
        <x:v>5</x:v>
      </x:c>
    </x:row>
    <x:row r="144" ht="48" customHeight="1">
      <x:c r="A144" s="16" t="n">
        <x:f>ROW()-1</x:f>
        <x:v>143</x:v>
      </x:c>
      <x:c r="B144" s="16" t="n">
        <x:f>SUM(Q144:T144)</x:f>
        <x:v>77</x:v>
      </x:c>
      <x:c r="C144" s="17" t="str">
        <x:f>IF(B144&gt;=93,"A — Highest authority",IF(B144&gt;=85,"B — Very strong",IF(B144&gt;=75,"C — Strong",IF(B144&gt;=65,"D — Useful with context","E — Supporting / lower weight"))))</x:f>
        <x:v>C — Strong</x:v>
      </x:c>
      <x:c r="D144" s="14" t="str">
        <x:v>Europe and Asia at the End of the American Century: The Three Seas Initiative as a Eurasian Hinge</x:v>
      </x:c>
      <x:c r="E144" s="20" t="n">
        <x:v>46227</x:v>
      </x:c>
      <x:c r="F144" s="17" t="str">
        <x:v>A</x:v>
      </x:c>
      <x:c r="G144" s="14" t="str">
        <x:v>Proceedings of the International Conference on Business Excellence</x:v>
      </x:c>
      <x:c r="H144" s="14" t="str"/>
      <x:c r="I144" s="14" t="str">
        <x:v>Octavian-Dragomir JORA, Mihaela IACOB, Bogdan COZMA, Andreea-Raisa ȚĂRÎNĂ</x:v>
      </x:c>
      <x:c r="J144" s="14" t="str">
        <x:v>Peer-reviewed journal. Useful peer-reviewed evidence; journal standing varies and is not treated as top-tier by default.</x:v>
      </x:c>
      <x:c r="K144" s="14" t="str">
        <x:v>Directly concerns Europe/EU and research, technology, innovation, funding or science policy.</x:v>
      </x:c>
      <x:c r="L144" s="14" t="str">
        <x:v>Direct EU relevance</x:v>
      </x:c>
      <x:c r="M144" s="14" t="str">
        <x:v>Peer-reviewed article</x:v>
      </x:c>
      <x:c r="N144" s="14" t="str">
        <x:v>Tier 2 broad journal</x:v>
      </x:c>
      <x:c r="O144" s="14" t="str">
        <x:v>https://doi.org/10.2478/picbe-2026-0066</x:v>
      </x:c>
      <x:c r="P144" s="14" t="str"/>
      <x:c r="Q144" s="16" t="n">
        <x:v>32</x:v>
      </x:c>
      <x:c r="R144" s="16" t="n">
        <x:v>25</x:v>
      </x:c>
      <x:c r="S144" s="16" t="n">
        <x:v>15</x:v>
      </x:c>
      <x:c r="T144" s="16" t="n">
        <x:v>5</x:v>
      </x:c>
    </x:row>
    <x:row r="145" ht="48" customHeight="1">
      <x:c r="A145" s="16" t="n">
        <x:f>ROW()-1</x:f>
        <x:v>144</x:v>
      </x:c>
      <x:c r="B145" s="16" t="n">
        <x:f>SUM(Q145:T145)</x:f>
        <x:v>77</x:v>
      </x:c>
      <x:c r="C145" s="17" t="str">
        <x:f>IF(B145&gt;=93,"A — Highest authority",IF(B145&gt;=85,"B — Very strong",IF(B145&gt;=75,"C — Strong",IF(B145&gt;=65,"D — Useful with context","E — Supporting / lower weight"))))</x:f>
        <x:v>C — Strong</x:v>
      </x:c>
      <x:c r="D145" s="14" t="str">
        <x:v>Global Cybersecurity Governance: Challenges in Harmonizing International Cyber Laws</x:v>
      </x:c>
      <x:c r="E145" s="20" t="n">
        <x:v>46226</x:v>
      </x:c>
      <x:c r="F145" s="17" t="str">
        <x:v>A</x:v>
      </x:c>
      <x:c r="G145" s="14" t="str">
        <x:v>Journal of Intelligent Decision Making and Information Science</x:v>
      </x:c>
      <x:c r="H145" s="14" t="str"/>
      <x:c r="I145" s="14" t="str">
        <x:v>Claudio Payá Santos</x:v>
      </x:c>
      <x:c r="J145" s="14" t="str">
        <x:v>Peer-reviewed journal. Useful peer-reviewed evidence; journal standing varies and is not treated as top-tier by default.</x:v>
      </x:c>
      <x:c r="K145" s="14" t="str">
        <x:v>Directly concerns Europe/EU and research, technology, innovation, funding or science policy.</x:v>
      </x:c>
      <x:c r="L145" s="14" t="str">
        <x:v>Direct EU relevance</x:v>
      </x:c>
      <x:c r="M145" s="14" t="str">
        <x:v>Peer-reviewed article</x:v>
      </x:c>
      <x:c r="N145" s="14" t="str">
        <x:v>Tier 2 broad journal</x:v>
      </x:c>
      <x:c r="O145" s="14" t="str">
        <x:v>https://doi.org/10.59543/jidmis.v3.972</x:v>
      </x:c>
      <x:c r="P145" s="14" t="str"/>
      <x:c r="Q145" s="16" t="n">
        <x:v>32</x:v>
      </x:c>
      <x:c r="R145" s="16" t="n">
        <x:v>25</x:v>
      </x:c>
      <x:c r="S145" s="16" t="n">
        <x:v>15</x:v>
      </x:c>
      <x:c r="T145" s="16" t="n">
        <x:v>5</x:v>
      </x:c>
    </x:row>
    <x:row r="146" ht="48" customHeight="1">
      <x:c r="A146" s="16" t="n">
        <x:f>ROW()-1</x:f>
        <x:v>145</x:v>
      </x:c>
      <x:c r="B146" s="16" t="n">
        <x:f>SUM(Q146:T146)</x:f>
        <x:v>77</x:v>
      </x:c>
      <x:c r="C146" s="17" t="str">
        <x:f>IF(B146&gt;=93,"A — Highest authority",IF(B146&gt;=85,"B — Very strong",IF(B146&gt;=75,"C — Strong",IF(B146&gt;=65,"D — Useful with context","E — Supporting / lower weight"))))</x:f>
        <x:v>C — Strong</x:v>
      </x:c>
      <x:c r="D146" s="14" t="str">
        <x:v>Institutional Typologies in European Research Funding: A Cluster Analysis of Organized Participation Patterns</x:v>
      </x:c>
      <x:c r="E146" s="20" t="n">
        <x:v>46226</x:v>
      </x:c>
      <x:c r="F146" s="17" t="str">
        <x:v>A</x:v>
      </x:c>
      <x:c r="G146" s="14" t="str">
        <x:v>Proceedings of the International Conference on Business Excellence</x:v>
      </x:c>
      <x:c r="H146" s="14" t="str"/>
      <x:c r="I146" s="14" t="str">
        <x:v>Bogdan MIREA, Mădălina Zurini, Giani-Ionel GRĂDINARU</x:v>
      </x:c>
      <x:c r="J146" s="14" t="str">
        <x:v>Peer-reviewed journal. Useful peer-reviewed evidence; journal standing varies and is not treated as top-tier by default.</x:v>
      </x:c>
      <x:c r="K146" s="14" t="str">
        <x:v>Directly concerns Europe/EU and research, technology, innovation, funding or science policy.</x:v>
      </x:c>
      <x:c r="L146" s="14" t="str">
        <x:v>Direct EU relevance</x:v>
      </x:c>
      <x:c r="M146" s="14" t="str">
        <x:v>Peer-reviewed article</x:v>
      </x:c>
      <x:c r="N146" s="14" t="str">
        <x:v>Tier 2 broad journal</x:v>
      </x:c>
      <x:c r="O146" s="14" t="str">
        <x:v>https://doi.org/10.2478/picbe-2026-0173</x:v>
      </x:c>
      <x:c r="P146" s="14" t="str"/>
      <x:c r="Q146" s="16" t="n">
        <x:v>32</x:v>
      </x:c>
      <x:c r="R146" s="16" t="n">
        <x:v>25</x:v>
      </x:c>
      <x:c r="S146" s="16" t="n">
        <x:v>15</x:v>
      </x:c>
      <x:c r="T146" s="16" t="n">
        <x:v>5</x:v>
      </x:c>
    </x:row>
    <x:row r="147" ht="48" customHeight="1">
      <x:c r="A147" s="16" t="n">
        <x:f>ROW()-1</x:f>
        <x:v>146</x:v>
      </x:c>
      <x:c r="B147" s="16" t="n">
        <x:f>SUM(Q147:T147)</x:f>
        <x:v>77</x:v>
      </x:c>
      <x:c r="C147" s="17" t="str">
        <x:f>IF(B147&gt;=93,"A — Highest authority",IF(B147&gt;=85,"B — Very strong",IF(B147&gt;=75,"C — Strong",IF(B147&gt;=65,"D — Useful with context","E — Supporting / lower weight"))))</x:f>
        <x:v>C — Strong</x:v>
      </x:c>
      <x:c r="D147" s="14" t="str">
        <x:v>Integrating Innovation and Entrepreneurial Capacity through the MIT REAP Framework: Evidence from Bulgaria</x:v>
      </x:c>
      <x:c r="E147" s="20" t="n">
        <x:v>46226</x:v>
      </x:c>
      <x:c r="F147" s="17" t="str">
        <x:v>A</x:v>
      </x:c>
      <x:c r="G147" s="14" t="str">
        <x:v>Proceedings of the International Conference on Business Excellence</x:v>
      </x:c>
      <x:c r="H147" s="14" t="str"/>
      <x:c r="I147" s="14" t="str">
        <x:v>Ruslan STEFANOV, Svetoslava GEORGIEVA</x:v>
      </x:c>
      <x:c r="J147" s="14" t="str">
        <x:v>Peer-reviewed journal. Useful peer-reviewed evidence; journal standing varies and is not treated as top-tier by default.</x:v>
      </x:c>
      <x:c r="K147" s="14" t="str">
        <x:v>Directly concerns Europe/EU and research, technology, innovation, funding or science policy.</x:v>
      </x:c>
      <x:c r="L147" s="14" t="str">
        <x:v>Direct EU relevance</x:v>
      </x:c>
      <x:c r="M147" s="14" t="str">
        <x:v>Peer-reviewed article</x:v>
      </x:c>
      <x:c r="N147" s="14" t="str">
        <x:v>Tier 2 broad journal</x:v>
      </x:c>
      <x:c r="O147" s="14" t="str">
        <x:v>https://doi.org/10.2478/picbe-2026-0372</x:v>
      </x:c>
      <x:c r="P147" s="14" t="str"/>
      <x:c r="Q147" s="16" t="n">
        <x:v>32</x:v>
      </x:c>
      <x:c r="R147" s="16" t="n">
        <x:v>25</x:v>
      </x:c>
      <x:c r="S147" s="16" t="n">
        <x:v>15</x:v>
      </x:c>
      <x:c r="T147" s="16" t="n">
        <x:v>5</x:v>
      </x:c>
    </x:row>
    <x:row r="148" ht="48" customHeight="1">
      <x:c r="A148" s="16" t="n">
        <x:f>ROW()-1</x:f>
        <x:v>147</x:v>
      </x:c>
      <x:c r="B148" s="16" t="n">
        <x:f>SUM(Q148:T148)</x:f>
        <x:v>77</x:v>
      </x:c>
      <x:c r="C148" s="17" t="str">
        <x:f>IF(B148&gt;=93,"A — Highest authority",IF(B148&gt;=85,"B — Very strong",IF(B148&gt;=75,"C — Strong",IF(B148&gt;=65,"D — Useful with context","E — Supporting / lower weight"))))</x:f>
        <x:v>C — Strong</x:v>
      </x:c>
      <x:c r="D148" s="14" t="str">
        <x:v>&lt;b&gt;Strategic Analysis of the India-EU Free Trade Agreement (2026): Transforming the Medical Device Ecosystem-Economics, Regulation, and Market Dynamics&lt;/b&gt;</x:v>
      </x:c>
      <x:c r="E148" s="20" t="n">
        <x:v>46224</x:v>
      </x:c>
      <x:c r="F148" s="17" t="str">
        <x:v>A</x:v>
      </x:c>
      <x:c r="G148" s="14" t="str">
        <x:v>Journal of Global Economy</x:v>
      </x:c>
      <x:c r="H148" s="14" t="str"/>
      <x:c r="I148" s="14" t="str">
        <x:v>Garv Nijhara</x:v>
      </x:c>
      <x:c r="J148" s="14" t="str">
        <x:v>Peer-reviewed journal. Useful peer-reviewed evidence; journal standing varies and is not treated as top-tier by default.</x:v>
      </x:c>
      <x:c r="K148" s="14" t="str">
        <x:v>Directly concerns Europe/EU and research, technology, innovation, funding or science policy.</x:v>
      </x:c>
      <x:c r="L148" s="14" t="str">
        <x:v>Direct EU relevance</x:v>
      </x:c>
      <x:c r="M148" s="14" t="str">
        <x:v>Peer-reviewed article</x:v>
      </x:c>
      <x:c r="N148" s="14" t="str">
        <x:v>Tier 2 broad journal</x:v>
      </x:c>
      <x:c r="O148" s="14" t="str">
        <x:v>https://doi.org/10.1956/jge.v22i3.844</x:v>
      </x:c>
      <x:c r="P148" s="14" t="str"/>
      <x:c r="Q148" s="16" t="n">
        <x:v>32</x:v>
      </x:c>
      <x:c r="R148" s="16" t="n">
        <x:v>25</x:v>
      </x:c>
      <x:c r="S148" s="16" t="n">
        <x:v>15</x:v>
      </x:c>
      <x:c r="T148" s="16" t="n">
        <x:v>5</x:v>
      </x:c>
    </x:row>
    <x:row r="149" ht="48" customHeight="1">
      <x:c r="A149" s="16" t="n">
        <x:f>ROW()-1</x:f>
        <x:v>148</x:v>
      </x:c>
      <x:c r="B149" s="16" t="n">
        <x:f>SUM(Q149:T149)</x:f>
        <x:v>77</x:v>
      </x:c>
      <x:c r="C149" s="17" t="str">
        <x:f>IF(B149&gt;=93,"A — Highest authority",IF(B149&gt;=85,"B — Very strong",IF(B149&gt;=75,"C — Strong",IF(B149&gt;=65,"D — Useful with context","E — Supporting / lower weight"))))</x:f>
        <x:v>C — Strong</x:v>
      </x:c>
      <x:c r="D149" s="14" t="str">
        <x:v>Digitally mediated HRM knowledge transfer and capability development for financial performance results in Central European multinational companies</x:v>
      </x:c>
      <x:c r="E149" s="20" t="n">
        <x:v>46223</x:v>
      </x:c>
      <x:c r="F149" s="17" t="str">
        <x:v>A</x:v>
      </x:c>
      <x:c r="G149" s="14" t="str">
        <x:v>International Journal of Development Issues</x:v>
      </x:c>
      <x:c r="H149" s="14" t="str"/>
      <x:c r="I149" s="14" t="str">
        <x:v>Marzena Stor, Aurelia Domaradzka</x:v>
      </x:c>
      <x:c r="J149" s="14" t="str">
        <x:v>Peer-reviewed journal. Useful peer-reviewed evidence; journal standing varies and is not treated as top-tier by default.</x:v>
      </x:c>
      <x:c r="K149" s="14" t="str">
        <x:v>Directly concerns Europe/EU and research, technology, innovation, funding or science policy.</x:v>
      </x:c>
      <x:c r="L149" s="14" t="str">
        <x:v>Direct EU relevance</x:v>
      </x:c>
      <x:c r="M149" s="14" t="str">
        <x:v>Peer-reviewed article</x:v>
      </x:c>
      <x:c r="N149" s="14" t="str">
        <x:v>Tier 2 broad journal</x:v>
      </x:c>
      <x:c r="O149" s="14" t="str">
        <x:v>https://doi.org/10.1108/ijdi-03-2026-0098</x:v>
      </x:c>
      <x:c r="P149" s="14" t="str"/>
      <x:c r="Q149" s="16" t="n">
        <x:v>32</x:v>
      </x:c>
      <x:c r="R149" s="16" t="n">
        <x:v>25</x:v>
      </x:c>
      <x:c r="S149" s="16" t="n">
        <x:v>15</x:v>
      </x:c>
      <x:c r="T149" s="16" t="n">
        <x:v>5</x:v>
      </x:c>
    </x:row>
    <x:row r="150" ht="48" customHeight="1">
      <x:c r="A150" s="16" t="n">
        <x:f>ROW()-1</x:f>
        <x:v>149</x:v>
      </x:c>
      <x:c r="B150" s="16" t="n">
        <x:f>SUM(Q150:T150)</x:f>
        <x:v>77</x:v>
      </x:c>
      <x:c r="C150" s="17" t="str">
        <x:f>IF(B150&gt;=93,"A — Highest authority",IF(B150&gt;=85,"B — Very strong",IF(B150&gt;=75,"C — Strong",IF(B150&gt;=65,"D — Useful with context","E — Supporting / lower weight"))))</x:f>
        <x:v>C — Strong</x:v>
      </x:c>
      <x:c r="D150" s="14" t="str">
        <x:v>The AI Implementation Gap: Policy–Audit Misalignment in the UAE and Egypt</x:v>
      </x:c>
      <x:c r="E150" s="20" t="n">
        <x:v>46221</x:v>
      </x:c>
      <x:c r="F150" s="17" t="str">
        <x:v>A</x:v>
      </x:c>
      <x:c r="G150" s="14" t="str">
        <x:v>Journal of Business Insight and Innovation</x:v>
      </x:c>
      <x:c r="H150" s="14" t="str"/>
      <x:c r="I150" s="14" t="str">
        <x:v>John Joshua C. Rañeses, Ain Bemisal Alavi, Rafia, Arshiya Subhani</x:v>
      </x:c>
      <x:c r="J150" s="14" t="str">
        <x:v>Peer-reviewed journal. Useful peer-reviewed evidence; journal standing varies and is not treated as top-tier by default.</x:v>
      </x:c>
      <x:c r="K150" s="14" t="str">
        <x:v>Directly concerns Europe/EU and research, technology, innovation, funding or science policy.</x:v>
      </x:c>
      <x:c r="L150" s="14" t="str">
        <x:v>Direct EU relevance</x:v>
      </x:c>
      <x:c r="M150" s="14" t="str">
        <x:v>Peer-reviewed article</x:v>
      </x:c>
      <x:c r="N150" s="14" t="str">
        <x:v>Tier 2 broad journal</x:v>
      </x:c>
      <x:c r="O150" s="14" t="str">
        <x:v>https://doi.org/10.63544/jbii.v5i7.100</x:v>
      </x:c>
      <x:c r="P150" s="14" t="str"/>
      <x:c r="Q150" s="16" t="n">
        <x:v>32</x:v>
      </x:c>
      <x:c r="R150" s="16" t="n">
        <x:v>25</x:v>
      </x:c>
      <x:c r="S150" s="16" t="n">
        <x:v>15</x:v>
      </x:c>
      <x:c r="T150" s="16" t="n">
        <x:v>5</x:v>
      </x:c>
    </x:row>
    <x:row r="151" ht="48" customHeight="1">
      <x:c r="A151" s="16" t="n">
        <x:f>ROW()-1</x:f>
        <x:v>150</x:v>
      </x:c>
      <x:c r="B151" s="16" t="n">
        <x:f>SUM(Q151:T151)</x:f>
        <x:v>77</x:v>
      </x:c>
      <x:c r="C151" s="17" t="str">
        <x:f>IF(B151&gt;=93,"A — Highest authority",IF(B151&gt;=85,"B — Very strong",IF(B151&gt;=75,"C — Strong",IF(B151&gt;=65,"D — Useful with context","E — Supporting / lower weight"))))</x:f>
        <x:v>C — Strong</x:v>
      </x:c>
      <x:c r="D151" s="14" t="str">
        <x:v>Energy-transition pressure and the asymmetric convergence of enterprise IoT adoption across Europe</x:v>
      </x:c>
      <x:c r="E151" s="20" t="n">
        <x:v>46219</x:v>
      </x:c>
      <x:c r="F151" s="17" t="str">
        <x:v>A</x:v>
      </x:c>
      <x:c r="G151" s="14" t="str">
        <x:v>Energy Sources Part B Economics Planning and Policy</x:v>
      </x:c>
      <x:c r="H151" s="14" t="str"/>
      <x:c r="I151" s="14" t="str">
        <x:v>Liliana Guran, Ömer Akgüller, Mehmet Ali Balcı, Deniz Rümeysa Erdoğan</x:v>
      </x:c>
      <x:c r="J151" s="14" t="str">
        <x:v>Peer-reviewed journal. Useful peer-reviewed evidence; journal standing varies and is not treated as top-tier by default.</x:v>
      </x:c>
      <x:c r="K151" s="14" t="str">
        <x:v>Directly concerns Europe/EU and research, technology, innovation, funding or science policy.</x:v>
      </x:c>
      <x:c r="L151" s="14" t="str">
        <x:v>Direct EU relevance</x:v>
      </x:c>
      <x:c r="M151" s="14" t="str">
        <x:v>Peer-reviewed article</x:v>
      </x:c>
      <x:c r="N151" s="14" t="str">
        <x:v>Tier 2 broad journal</x:v>
      </x:c>
      <x:c r="O151" s="14" t="str">
        <x:v>https://doi.org/10.1080/15567249.2026.2701352</x:v>
      </x:c>
      <x:c r="P151" s="14" t="str"/>
      <x:c r="Q151" s="16" t="n">
        <x:v>32</x:v>
      </x:c>
      <x:c r="R151" s="16" t="n">
        <x:v>25</x:v>
      </x:c>
      <x:c r="S151" s="16" t="n">
        <x:v>15</x:v>
      </x:c>
      <x:c r="T151" s="16" t="n">
        <x:v>5</x:v>
      </x:c>
    </x:row>
    <x:row r="152" ht="48" customHeight="1">
      <x:c r="A152" s="16" t="n">
        <x:f>ROW()-1</x:f>
        <x:v>151</x:v>
      </x:c>
      <x:c r="B152" s="16" t="n">
        <x:f>SUM(Q152:T152)</x:f>
        <x:v>77</x:v>
      </x:c>
      <x:c r="C152" s="17" t="str">
        <x:f>IF(B152&gt;=93,"A — Highest authority",IF(B152&gt;=85,"B — Very strong",IF(B152&gt;=75,"C — Strong",IF(B152&gt;=65,"D — Useful with context","E — Supporting / lower weight"))))</x:f>
        <x:v>C — Strong</x:v>
      </x:c>
      <x:c r="D152" s="14" t="str">
        <x:v>Academic Cooperation from the Souths: Geopolitics of the Gaze, Cognitive and Epistemic Justices</x:v>
      </x:c>
      <x:c r="E152" s="20" t="n">
        <x:v>46217</x:v>
      </x:c>
      <x:c r="F152" s="17" t="str">
        <x:v>A</x:v>
      </x:c>
      <x:c r="G152" s="14" t="str">
        <x:v>Journal of Latin American Communication Research</x:v>
      </x:c>
      <x:c r="H152" s="14" t="str"/>
      <x:c r="I152" s="14" t="str">
        <x:v>Jair Vega</x:v>
      </x:c>
      <x:c r="J152" s="14" t="str">
        <x:v>Peer-reviewed journal. Useful peer-reviewed evidence; journal standing varies and is not treated as top-tier by default.</x:v>
      </x:c>
      <x:c r="K152" s="14" t="str">
        <x:v>Directly concerns Europe/EU and research, technology, innovation, funding or science policy.</x:v>
      </x:c>
      <x:c r="L152" s="14" t="str">
        <x:v>Direct EU relevance</x:v>
      </x:c>
      <x:c r="M152" s="14" t="str">
        <x:v>Peer-reviewed article</x:v>
      </x:c>
      <x:c r="N152" s="14" t="str">
        <x:v>Tier 2 broad journal</x:v>
      </x:c>
      <x:c r="O152" s="14" t="str">
        <x:v>https://doi.org/10.55738/journal.v14i1p.35-49</x:v>
      </x:c>
      <x:c r="P152" s="14" t="str"/>
      <x:c r="Q152" s="16" t="n">
        <x:v>32</x:v>
      </x:c>
      <x:c r="R152" s="16" t="n">
        <x:v>25</x:v>
      </x:c>
      <x:c r="S152" s="16" t="n">
        <x:v>15</x:v>
      </x:c>
      <x:c r="T152" s="16" t="n">
        <x:v>5</x:v>
      </x:c>
    </x:row>
    <x:row r="153" ht="48" customHeight="1">
      <x:c r="A153" s="16" t="n">
        <x:f>ROW()-1</x:f>
        <x:v>152</x:v>
      </x:c>
      <x:c r="B153" s="16" t="n">
        <x:f>SUM(Q153:T153)</x:f>
        <x:v>77</x:v>
      </x:c>
      <x:c r="C153" s="17" t="str">
        <x:f>IF(B153&gt;=93,"A — Highest authority",IF(B153&gt;=85,"B — Very strong",IF(B153&gt;=75,"C — Strong",IF(B153&gt;=65,"D — Useful with context","E — Supporting / lower weight"))))</x:f>
        <x:v>C — Strong</x:v>
      </x:c>
      <x:c r="D153" s="14" t="str">
        <x:v>DUAL-USE TECHNOLOGIES AND CYBERSECURITY CHALLENGES IN THE CURRENT MILITARY DEFENSE ENVIRONMENT</x:v>
      </x:c>
      <x:c r="E153" s="20" t="n">
        <x:v>46216</x:v>
      </x:c>
      <x:c r="F153" s="17" t="str">
        <x:v>A</x:v>
      </x:c>
      <x:c r="G153" s="14" t="str">
        <x:v>SCIENTIFIC RESEARCH AND EDUCATION IN THE AIR FORCE</x:v>
      </x:c>
      <x:c r="H153" s="14" t="str"/>
      <x:c r="I153" s="14" t="str">
        <x:v>Adriana Niţescu, Tiberiu Tănase</x:v>
      </x:c>
      <x:c r="J153" s="14" t="str">
        <x:v>Peer-reviewed journal. Useful peer-reviewed evidence; journal standing varies and is not treated as top-tier by default.</x:v>
      </x:c>
      <x:c r="K153" s="14" t="str">
        <x:v>Directly concerns Europe/EU and research, technology, innovation, funding or science policy.</x:v>
      </x:c>
      <x:c r="L153" s="14" t="str">
        <x:v>Direct EU relevance</x:v>
      </x:c>
      <x:c r="M153" s="14" t="str">
        <x:v>Peer-reviewed article</x:v>
      </x:c>
      <x:c r="N153" s="14" t="str">
        <x:v>Tier 2 broad journal</x:v>
      </x:c>
      <x:c r="O153" s="14" t="str">
        <x:v>https://doi.org/10.19062/2247-3173.2026.27.30</x:v>
      </x:c>
      <x:c r="P153" s="14" t="str"/>
      <x:c r="Q153" s="16" t="n">
        <x:v>32</x:v>
      </x:c>
      <x:c r="R153" s="16" t="n">
        <x:v>25</x:v>
      </x:c>
      <x:c r="S153" s="16" t="n">
        <x:v>15</x:v>
      </x:c>
      <x:c r="T153" s="16" t="n">
        <x:v>5</x:v>
      </x:c>
    </x:row>
    <x:row r="154" ht="48" customHeight="1">
      <x:c r="A154" s="16" t="n">
        <x:f>ROW()-1</x:f>
        <x:v>153</x:v>
      </x:c>
      <x:c r="B154" s="16" t="n">
        <x:f>SUM(Q154:T154)</x:f>
        <x:v>77</x:v>
      </x:c>
      <x:c r="C154" s="17" t="str">
        <x:f>IF(B154&gt;=93,"A — Highest authority",IF(B154&gt;=85,"B — Very strong",IF(B154&gt;=75,"C — Strong",IF(B154&gt;=65,"D — Useful with context","E — Supporting / lower weight"))))</x:f>
        <x:v>C — Strong</x:v>
      </x:c>
      <x:c r="D154" s="14" t="str">
        <x:v>INTELLECTUAL SERVICES IN UKRAINE’S EXPORT MODEL: DYNAMICS, STRUCTURAL SHIFTS, AND INTERNATIONAL POSITIONING</x:v>
      </x:c>
      <x:c r="E154" s="20" t="n">
        <x:v>46213</x:v>
      </x:c>
      <x:c r="F154" s="17" t="str">
        <x:v>A</x:v>
      </x:c>
      <x:c r="G154" s="14" t="str">
        <x:v>Collection of scientific research papers State University of Infrastructure and Technologies Section “Economics and Management”</x:v>
      </x:c>
      <x:c r="H154" s="14" t="str"/>
      <x:c r="I154" s="14" t="str">
        <x:v>Maryna Kovbatiuk, Mark Andrushchenko</x:v>
      </x:c>
      <x:c r="J154" s="14" t="str">
        <x:v>Peer-reviewed journal. Useful peer-reviewed evidence; journal standing varies and is not treated as top-tier by default.</x:v>
      </x:c>
      <x:c r="K154" s="14" t="str">
        <x:v>Directly concerns Europe/EU and research, technology, innovation, funding or science policy.</x:v>
      </x:c>
      <x:c r="L154" s="14" t="str">
        <x:v>Direct EU relevance</x:v>
      </x:c>
      <x:c r="M154" s="14" t="str">
        <x:v>Peer-reviewed article</x:v>
      </x:c>
      <x:c r="N154" s="14" t="str">
        <x:v>Tier 2 broad journal</x:v>
      </x:c>
      <x:c r="O154" s="14" t="str">
        <x:v>https://doi.org/10.32703/2664-2964-2026-60-32-41</x:v>
      </x:c>
      <x:c r="P154" s="14" t="str"/>
      <x:c r="Q154" s="16" t="n">
        <x:v>32</x:v>
      </x:c>
      <x:c r="R154" s="16" t="n">
        <x:v>25</x:v>
      </x:c>
      <x:c r="S154" s="16" t="n">
        <x:v>15</x:v>
      </x:c>
      <x:c r="T154" s="16" t="n">
        <x:v>5</x:v>
      </x:c>
    </x:row>
    <x:row r="155" ht="48" customHeight="1">
      <x:c r="A155" s="16" t="n">
        <x:f>ROW()-1</x:f>
        <x:v>154</x:v>
      </x:c>
      <x:c r="B155" s="16" t="n">
        <x:f>SUM(Q155:T155)</x:f>
        <x:v>77</x:v>
      </x:c>
      <x:c r="C155" s="17" t="str">
        <x:f>IF(B155&gt;=93,"A — Highest authority",IF(B155&gt;=85,"B — Very strong",IF(B155&gt;=75,"C — Strong",IF(B155&gt;=65,"D — Useful with context","E — Supporting / lower weight"))))</x:f>
        <x:v>C — Strong</x:v>
      </x:c>
      <x:c r="D155" s="14" t="str">
        <x:v>The Role of Artificial Intelligence in Constitutional Adjudication: Comparative Insights from General Judicial Practice</x:v>
      </x:c>
      <x:c r="E155" s="20" t="n">
        <x:v>46212</x:v>
      </x:c>
      <x:c r="F155" s="17" t="str">
        <x:v>A</x:v>
      </x:c>
      <x:c r="G155" s="14" t="str">
        <x:v>Access to Justice in Eastern Europe</x:v>
      </x:c>
      <x:c r="H155" s="14" t="str"/>
      <x:c r="I155" s="14" t="str">
        <x:v>Tareq Al-Billeh</x:v>
      </x:c>
      <x:c r="J155" s="14" t="str">
        <x:v>Peer-reviewed journal. Useful peer-reviewed evidence; journal standing varies and is not treated as top-tier by default.</x:v>
      </x:c>
      <x:c r="K155" s="14" t="str">
        <x:v>Directly concerns Europe/EU and research, technology, innovation, funding or science policy.</x:v>
      </x:c>
      <x:c r="L155" s="14" t="str">
        <x:v>Direct EU relevance</x:v>
      </x:c>
      <x:c r="M155" s="14" t="str">
        <x:v>Peer-reviewed article</x:v>
      </x:c>
      <x:c r="N155" s="14" t="str">
        <x:v>Tier 2 broad journal</x:v>
      </x:c>
      <x:c r="O155" s="14" t="str">
        <x:v>https://doi.org/10.33327/ajee-18-9.3-a0001988</x:v>
      </x:c>
      <x:c r="P155" s="14" t="str"/>
      <x:c r="Q155" s="16" t="n">
        <x:v>32</x:v>
      </x:c>
      <x:c r="R155" s="16" t="n">
        <x:v>25</x:v>
      </x:c>
      <x:c r="S155" s="16" t="n">
        <x:v>15</x:v>
      </x:c>
      <x:c r="T155" s="16" t="n">
        <x:v>5</x:v>
      </x:c>
    </x:row>
    <x:row r="156" ht="48" customHeight="1">
      <x:c r="A156" s="16" t="n">
        <x:f>ROW()-1</x:f>
        <x:v>155</x:v>
      </x:c>
      <x:c r="B156" s="16" t="n">
        <x:f>SUM(Q156:T156)</x:f>
        <x:v>77</x:v>
      </x:c>
      <x:c r="C156" s="17" t="str">
        <x:f>IF(B156&gt;=93,"A — Highest authority",IF(B156&gt;=85,"B — Very strong",IF(B156&gt;=75,"C — Strong",IF(B156&gt;=65,"D — Useful with context","E — Supporting / lower weight"))))</x:f>
        <x:v>C — Strong</x:v>
      </x:c>
      <x:c r="D156" s="14" t="str">
        <x:v>Closing the Competitiveness Gap through Advancing European Battery Cell Production Machinery</x:v>
      </x:c>
      <x:c r="E156" s="20" t="n">
        <x:v>46210</x:v>
      </x:c>
      <x:c r="F156" s="17" t="str">
        <x:v>A</x:v>
      </x:c>
      <x:c r="G156" s="14" t="str">
        <x:v>ECS Meeting Abstracts</x:v>
      </x:c>
      <x:c r="H156" s="14" t="str"/>
      <x:c r="I156" s="14" t="str">
        <x:v>Kamil Burak Dermenci, Kartal Arslan, Maitane Berecibar</x:v>
      </x:c>
      <x:c r="J156" s="14" t="str">
        <x:v>Peer-reviewed journal. Useful peer-reviewed evidence; journal standing varies and is not treated as top-tier by default.</x:v>
      </x:c>
      <x:c r="K156" s="14" t="str">
        <x:v>Directly concerns Europe/EU and research, technology, innovation, funding or science policy.</x:v>
      </x:c>
      <x:c r="L156" s="14" t="str">
        <x:v>Direct EU relevance</x:v>
      </x:c>
      <x:c r="M156" s="14" t="str">
        <x:v>Peer-reviewed article</x:v>
      </x:c>
      <x:c r="N156" s="14" t="str">
        <x:v>Tier 2 broad journal</x:v>
      </x:c>
      <x:c r="O156" s="14" t="str">
        <x:v>https://doi.org/10.1149/ma2026-01592869mtgabs</x:v>
      </x:c>
      <x:c r="P156" s="14" t="str"/>
      <x:c r="Q156" s="16" t="n">
        <x:v>32</x:v>
      </x:c>
      <x:c r="R156" s="16" t="n">
        <x:v>25</x:v>
      </x:c>
      <x:c r="S156" s="16" t="n">
        <x:v>15</x:v>
      </x:c>
      <x:c r="T156" s="16" t="n">
        <x:v>5</x:v>
      </x:c>
    </x:row>
    <x:row r="157" ht="48" customHeight="1">
      <x:c r="A157" s="16" t="n">
        <x:f>ROW()-1</x:f>
        <x:v>156</x:v>
      </x:c>
      <x:c r="B157" s="16" t="n">
        <x:f>SUM(Q157:T157)</x:f>
        <x:v>77</x:v>
      </x:c>
      <x:c r="C157" s="17" t="str">
        <x:f>IF(B157&gt;=93,"A — Highest authority",IF(B157&gt;=85,"B — Very strong",IF(B157&gt;=75,"C — Strong",IF(B157&gt;=65,"D — Useful with context","E — Supporting / lower weight"))))</x:f>
        <x:v>C — Strong</x:v>
      </x:c>
      <x:c r="D157" s="14" t="str">
        <x:v>From Compliance to Confidence: AI Diffusion, GDPR and Organisational Trust in Europe</x:v>
      </x:c>
      <x:c r="E157" s="20" t="n">
        <x:v>46210</x:v>
      </x:c>
      <x:c r="F157" s="17" t="str">
        <x:v>A</x:v>
      </x:c>
      <x:c r="G157" s="14" t="str">
        <x:v>AI, Law, Politics</x:v>
      </x:c>
      <x:c r="H157" s="14" t="str"/>
      <x:c r="I157" s="14" t="str">
        <x:v>Matea Novak, Mateja Kovačić, Mato Njavro</x:v>
      </x:c>
      <x:c r="J157" s="14" t="str">
        <x:v>Peer-reviewed journal. Useful peer-reviewed evidence; journal standing varies and is not treated as top-tier by default.</x:v>
      </x:c>
      <x:c r="K157" s="14" t="str">
        <x:v>Directly concerns Europe/EU and research, technology, innovation, funding or science policy.</x:v>
      </x:c>
      <x:c r="L157" s="14" t="str">
        <x:v>Direct EU relevance</x:v>
      </x:c>
      <x:c r="M157" s="14" t="str">
        <x:v>Peer-reviewed article</x:v>
      </x:c>
      <x:c r="N157" s="14" t="str">
        <x:v>Tier 2 broad journal</x:v>
      </x:c>
      <x:c r="O157" s="14" t="str">
        <x:v>https://doi.org/10.5709/alp-02.01.2026-02</x:v>
      </x:c>
      <x:c r="P157" s="14" t="str"/>
      <x:c r="Q157" s="16" t="n">
        <x:v>32</x:v>
      </x:c>
      <x:c r="R157" s="16" t="n">
        <x:v>25</x:v>
      </x:c>
      <x:c r="S157" s="16" t="n">
        <x:v>15</x:v>
      </x:c>
      <x:c r="T157" s="16" t="n">
        <x:v>5</x:v>
      </x:c>
    </x:row>
    <x:row r="158" ht="48" customHeight="1">
      <x:c r="A158" s="16" t="n">
        <x:f>ROW()-1</x:f>
        <x:v>157</x:v>
      </x:c>
      <x:c r="B158" s="16" t="n">
        <x:f>SUM(Q158:T158)</x:f>
        <x:v>77</x:v>
      </x:c>
      <x:c r="C158" s="17" t="str">
        <x:f>IF(B158&gt;=93,"A — Highest authority",IF(B158&gt;=85,"B — Very strong",IF(B158&gt;=75,"C — Strong",IF(B158&gt;=65,"D — Useful with context","E — Supporting / lower weight"))))</x:f>
        <x:v>C — Strong</x:v>
      </x:c>
      <x:c r="D158" s="14" t="str">
        <x:v>From Human Oversight to Cognitive Sovereignty: A Process-Based Governance Standard for AI-Assisted Legal Reasoning</x:v>
      </x:c>
      <x:c r="E158" s="20" t="n">
        <x:v>46210</x:v>
      </x:c>
      <x:c r="F158" s="17" t="str">
        <x:v>A</x:v>
      </x:c>
      <x:c r="G158" s="14" t="str">
        <x:v>AI, Law, Politics</x:v>
      </x:c>
      <x:c r="H158" s="14" t="str"/>
      <x:c r="I158" s="14" t="str">
        <x:v>Shivam Shukla</x:v>
      </x:c>
      <x:c r="J158" s="14" t="str">
        <x:v>Peer-reviewed journal. Useful peer-reviewed evidence; journal standing varies and is not treated as top-tier by default.</x:v>
      </x:c>
      <x:c r="K158" s="14" t="str">
        <x:v>Directly concerns Europe/EU and research, technology, innovation, funding or science policy.</x:v>
      </x:c>
      <x:c r="L158" s="14" t="str">
        <x:v>Direct EU relevance</x:v>
      </x:c>
      <x:c r="M158" s="14" t="str">
        <x:v>Peer-reviewed article</x:v>
      </x:c>
      <x:c r="N158" s="14" t="str">
        <x:v>Tier 2 broad journal</x:v>
      </x:c>
      <x:c r="O158" s="14" t="str">
        <x:v>https://doi.org/10.5709/alp-02.01.2026-04</x:v>
      </x:c>
      <x:c r="P158" s="14" t="str"/>
      <x:c r="Q158" s="16" t="n">
        <x:v>32</x:v>
      </x:c>
      <x:c r="R158" s="16" t="n">
        <x:v>25</x:v>
      </x:c>
      <x:c r="S158" s="16" t="n">
        <x:v>15</x:v>
      </x:c>
      <x:c r="T158" s="16" t="n">
        <x:v>5</x:v>
      </x:c>
    </x:row>
    <x:row r="159" ht="48" customHeight="1">
      <x:c r="A159" s="16" t="n">
        <x:f>ROW()-1</x:f>
        <x:v>158</x:v>
      </x:c>
      <x:c r="B159" s="16" t="n">
        <x:f>SUM(Q159:T159)</x:f>
        <x:v>77</x:v>
      </x:c>
      <x:c r="C159" s="17" t="str">
        <x:f>IF(B159&gt;=93,"A — Highest authority",IF(B159&gt;=85,"B — Very strong",IF(B159&gt;=75,"C — Strong",IF(B159&gt;=65,"D — Useful with context","E — Supporting / lower weight"))))</x:f>
        <x:v>C — Strong</x:v>
      </x:c>
      <x:c r="D159" s="14" t="str">
        <x:v>Recession and economic depression reflections in Ireland: Insights from working professionals, managers and entrepreneurs</x:v>
      </x:c>
      <x:c r="E159" s="20" t="n">
        <x:v>46209</x:v>
      </x:c>
      <x:c r="F159" s="17" t="str">
        <x:v>A</x:v>
      </x:c>
      <x:c r="G159" s="14" t="str">
        <x:v>Economy</x:v>
      </x:c>
      <x:c r="H159" s="14" t="str"/>
      <x:c r="I159" s="14" t="str">
        <x:v>Bahaudin G. Mujtaba</x:v>
      </x:c>
      <x:c r="J159" s="14" t="str">
        <x:v>Peer-reviewed journal. Useful peer-reviewed evidence; journal standing varies and is not treated as top-tier by default.</x:v>
      </x:c>
      <x:c r="K159" s="14" t="str">
        <x:v>Directly concerns Europe/EU and research, technology, innovation, funding or science policy.</x:v>
      </x:c>
      <x:c r="L159" s="14" t="str">
        <x:v>Direct EU relevance</x:v>
      </x:c>
      <x:c r="M159" s="14" t="str">
        <x:v>Peer-reviewed article</x:v>
      </x:c>
      <x:c r="N159" s="14" t="str">
        <x:v>Tier 2 broad journal</x:v>
      </x:c>
      <x:c r="O159" s="14" t="str">
        <x:v>https://doi.org/10.20448/economy.v13i2.8926</x:v>
      </x:c>
      <x:c r="P159" s="14" t="str"/>
      <x:c r="Q159" s="16" t="n">
        <x:v>32</x:v>
      </x:c>
      <x:c r="R159" s="16" t="n">
        <x:v>25</x:v>
      </x:c>
      <x:c r="S159" s="16" t="n">
        <x:v>15</x:v>
      </x:c>
      <x:c r="T159" s="16" t="n">
        <x:v>5</x:v>
      </x:c>
    </x:row>
    <x:row r="160" ht="48" customHeight="1">
      <x:c r="A160" s="16" t="n">
        <x:f>ROW()-1</x:f>
        <x:v>159</x:v>
      </x:c>
      <x:c r="B160" s="16" t="n">
        <x:f>SUM(Q160:T160)</x:f>
        <x:v>77</x:v>
      </x:c>
      <x:c r="C160" s="17" t="str">
        <x:f>IF(B160&gt;=93,"A — Highest authority",IF(B160&gt;=85,"B — Very strong",IF(B160&gt;=75,"C — Strong",IF(B160&gt;=65,"D — Useful with context","E — Supporting / lower weight"))))</x:f>
        <x:v>C — Strong</x:v>
      </x:c>
      <x:c r="D160" s="14" t="str">
        <x:v>Reshaping Europe's industrial future: the impact of the new political landscape on industrial policy and competitiveness in five CEE countries</x:v>
      </x:c>
      <x:c r="E160" s="20" t="n">
        <x:v>46206</x:v>
      </x:c>
      <x:c r="F160" s="17" t="str">
        <x:v>A</x:v>
      </x:c>
      <x:c r="G160" s="14" t="str">
        <x:v>Eastern Journal of European Studies</x:v>
      </x:c>
      <x:c r="H160" s="14" t="str"/>
      <x:c r="I160" s="14" t="str">
        <x:v>Melania‐Gabriela Ciot, Catalina Tudorie</x:v>
      </x:c>
      <x:c r="J160" s="14" t="str">
        <x:v>Peer-reviewed journal. Useful peer-reviewed evidence; journal standing varies and is not treated as top-tier by default.</x:v>
      </x:c>
      <x:c r="K160" s="14" t="str">
        <x:v>Directly concerns Europe/EU and research, technology, innovation, funding or science policy.</x:v>
      </x:c>
      <x:c r="L160" s="14" t="str">
        <x:v>Direct EU relevance</x:v>
      </x:c>
      <x:c r="M160" s="14" t="str">
        <x:v>Peer-reviewed article</x:v>
      </x:c>
      <x:c r="N160" s="14" t="str">
        <x:v>Tier 2 broad journal</x:v>
      </x:c>
      <x:c r="O160" s="14" t="str">
        <x:v>https://doi.org/10.47743/ejes-2026-0108</x:v>
      </x:c>
      <x:c r="P160" s="14" t="str"/>
      <x:c r="Q160" s="16" t="n">
        <x:v>32</x:v>
      </x:c>
      <x:c r="R160" s="16" t="n">
        <x:v>25</x:v>
      </x:c>
      <x:c r="S160" s="16" t="n">
        <x:v>15</x:v>
      </x:c>
      <x:c r="T160" s="16" t="n">
        <x:v>5</x:v>
      </x:c>
    </x:row>
    <x:row r="161" ht="48" customHeight="1">
      <x:c r="A161" s="16" t="n">
        <x:f>ROW()-1</x:f>
        <x:v>160</x:v>
      </x:c>
      <x:c r="B161" s="16" t="n">
        <x:f>SUM(Q161:T161)</x:f>
        <x:v>77</x:v>
      </x:c>
      <x:c r="C161" s="17" t="str">
        <x:f>IF(B161&gt;=93,"A — Highest authority",IF(B161&gt;=85,"B — Very strong",IF(B161&gt;=75,"C — Strong",IF(B161&gt;=65,"D — Useful with context","E — Supporting / lower weight"))))</x:f>
        <x:v>C — Strong</x:v>
      </x:c>
      <x:c r="D161" s="14" t="str">
        <x:v>From Smart Adoption to Export Competitiveness: Innovation Diffusion and Value-Chain Upgrading in Agrifood Markets in the UAE and Bulgaria</x:v>
      </x:c>
      <x:c r="E161" s="20" t="n">
        <x:v>46205</x:v>
      </x:c>
      <x:c r="F161" s="17" t="str">
        <x:v>A</x:v>
      </x:c>
      <x:c r="G161" s="14" t="str">
        <x:v>Research on World Agricultural Economy</x:v>
      </x:c>
      <x:c r="H161" s="14" t="str"/>
      <x:c r="I161" s="14" t="str">
        <x:v>Haitham M. Alzoubi, Yordanka S. Angelova, Mounir El Khatib, Cheng Ling Tan, Gouher Ahmed</x:v>
      </x:c>
      <x:c r="J161" s="14" t="str">
        <x:v>Peer-reviewed journal. Useful peer-reviewed evidence; journal standing varies and is not treated as top-tier by default.</x:v>
      </x:c>
      <x:c r="K161" s="14" t="str">
        <x:v>Directly concerns Europe/EU and research, technology, innovation, funding or science policy.</x:v>
      </x:c>
      <x:c r="L161" s="14" t="str">
        <x:v>Direct EU relevance</x:v>
      </x:c>
      <x:c r="M161" s="14" t="str">
        <x:v>Peer-reviewed article</x:v>
      </x:c>
      <x:c r="N161" s="14" t="str">
        <x:v>Tier 2 broad journal</x:v>
      </x:c>
      <x:c r="O161" s="14" t="str">
        <x:v>https://doi.org/10.36956/rwae.v7i3.2875</x:v>
      </x:c>
      <x:c r="P161" s="14" t="str"/>
      <x:c r="Q161" s="16" t="n">
        <x:v>32</x:v>
      </x:c>
      <x:c r="R161" s="16" t="n">
        <x:v>25</x:v>
      </x:c>
      <x:c r="S161" s="16" t="n">
        <x:v>15</x:v>
      </x:c>
      <x:c r="T161" s="16" t="n">
        <x:v>5</x:v>
      </x:c>
    </x:row>
    <x:row r="162" ht="48" customHeight="1">
      <x:c r="A162" s="16" t="n">
        <x:f>ROW()-1</x:f>
        <x:v>161</x:v>
      </x:c>
      <x:c r="B162" s="16" t="n">
        <x:f>SUM(Q162:T162)</x:f>
        <x:v>77</x:v>
      </x:c>
      <x:c r="C162" s="17" t="str">
        <x:f>IF(B162&gt;=93,"A — Highest authority",IF(B162&gt;=85,"B — Very strong",IF(B162&gt;=75,"C — Strong",IF(B162&gt;=65,"D — Useful with context","E — Supporting / lower weight"))))</x:f>
        <x:v>C — Strong</x:v>
      </x:c>
      <x:c r="D162" s="14" t="str">
        <x:v>Transforming European Competitiveness Under Conditions of Geoeconomic Fragmentation</x:v>
      </x:c>
      <x:c r="E162" s="20" t="n">
        <x:v>46205</x:v>
      </x:c>
      <x:c r="F162" s="17" t="str">
        <x:v>A</x:v>
      </x:c>
      <x:c r="G162" s="14" t="str">
        <x:v>Economies</x:v>
      </x:c>
      <x:c r="H162" s="14" t="str"/>
      <x:c r="I162" s="14" t="str">
        <x:v>Tomáš Peráček, Daniela Gregušová, Michal Kaššaj</x:v>
      </x:c>
      <x:c r="J162" s="14" t="str">
        <x:v>Peer-reviewed journal. Useful peer-reviewed evidence; journal standing varies and is not treated as top-tier by default.</x:v>
      </x:c>
      <x:c r="K162" s="14" t="str">
        <x:v>Directly concerns Europe/EU and research, technology, innovation, funding or science policy.</x:v>
      </x:c>
      <x:c r="L162" s="14" t="str">
        <x:v>Direct EU relevance</x:v>
      </x:c>
      <x:c r="M162" s="14" t="str">
        <x:v>Peer-reviewed article</x:v>
      </x:c>
      <x:c r="N162" s="14" t="str">
        <x:v>Tier 2 broad journal</x:v>
      </x:c>
      <x:c r="O162" s="14" t="str">
        <x:v>https://doi.org/10.3390/economies14070248</x:v>
      </x:c>
      <x:c r="P162" s="14" t="str"/>
      <x:c r="Q162" s="16" t="n">
        <x:v>32</x:v>
      </x:c>
      <x:c r="R162" s="16" t="n">
        <x:v>25</x:v>
      </x:c>
      <x:c r="S162" s="16" t="n">
        <x:v>15</x:v>
      </x:c>
      <x:c r="T162" s="16" t="n">
        <x:v>5</x:v>
      </x:c>
    </x:row>
    <x:row r="163" ht="48" customHeight="1">
      <x:c r="A163" s="16" t="n">
        <x:f>ROW()-1</x:f>
        <x:v>162</x:v>
      </x:c>
      <x:c r="B163" s="16" t="n">
        <x:f>SUM(Q163:T163)</x:f>
        <x:v>77</x:v>
      </x:c>
      <x:c r="C163" s="17" t="str">
        <x:f>IF(B163&gt;=93,"A — Highest authority",IF(B163&gt;=85,"B — Very strong",IF(B163&gt;=75,"C — Strong",IF(B163&gt;=65,"D — Useful with context","E — Supporting / lower weight"))))</x:f>
        <x:v>C — Strong</x:v>
      </x:c>
      <x:c r="D163" s="14" t="str">
        <x:v>Comparing the Foreign Policy Identities of the United States of America and the European Union in Climate Communications and National Narratives</x:v>
      </x:c>
      <x:c r="E163" s="20" t="n">
        <x:v>46204</x:v>
      </x:c>
      <x:c r="F163" s="17" t="str">
        <x:v>A</x:v>
      </x:c>
      <x:c r="G163" s="14" t="str">
        <x:v>Problemy Ekorozwoju</x:v>
      </x:c>
      <x:c r="H163" s="14" t="str"/>
      <x:c r="I163" s="14" t="str">
        <x:v>Olena Shevchenko, Iuliia Tsyrfa, Mykhailo Goncharenko, Svitlana Palii, Dmytro Podolchuk</x:v>
      </x:c>
      <x:c r="J163" s="14" t="str">
        <x:v>Peer-reviewed journal. Useful peer-reviewed evidence; journal standing varies and is not treated as top-tier by default.</x:v>
      </x:c>
      <x:c r="K163" s="14" t="str">
        <x:v>Directly concerns Europe/EU and research, technology, innovation, funding or science policy.</x:v>
      </x:c>
      <x:c r="L163" s="14" t="str">
        <x:v>Direct EU relevance</x:v>
      </x:c>
      <x:c r="M163" s="14" t="str">
        <x:v>Peer-reviewed article</x:v>
      </x:c>
      <x:c r="N163" s="14" t="str">
        <x:v>Tier 2 broad journal</x:v>
      </x:c>
      <x:c r="O163" s="14" t="str">
        <x:v>https://doi.org/10.35784/preko.8643</x:v>
      </x:c>
      <x:c r="P163" s="14" t="str"/>
      <x:c r="Q163" s="16" t="n">
        <x:v>32</x:v>
      </x:c>
      <x:c r="R163" s="16" t="n">
        <x:v>25</x:v>
      </x:c>
      <x:c r="S163" s="16" t="n">
        <x:v>15</x:v>
      </x:c>
      <x:c r="T163" s="16" t="n">
        <x:v>5</x:v>
      </x:c>
    </x:row>
    <x:row r="164" ht="48" customHeight="1">
      <x:c r="A164" s="16" t="n">
        <x:f>ROW()-1</x:f>
        <x:v>163</x:v>
      </x:c>
      <x:c r="B164" s="16" t="n">
        <x:f>SUM(Q164:T164)</x:f>
        <x:v>77</x:v>
      </x:c>
      <x:c r="C164" s="17" t="str">
        <x:f>IF(B164&gt;=93,"A — Highest authority",IF(B164&gt;=85,"B — Very strong",IF(B164&gt;=75,"C — Strong",IF(B164&gt;=65,"D — Useful with context","E — Supporting / lower weight"))))</x:f>
        <x:v>C — Strong</x:v>
      </x:c>
      <x:c r="D164" s="14" t="str">
        <x:v>EU–China research cooperation under a “de-risking” framework: the securitisation of knowledge in EU science policy (2021–2025)</x:v>
      </x:c>
      <x:c r="E164" s="20" t="n">
        <x:v>46204</x:v>
      </x:c>
      <x:c r="F164" s="17" t="str">
        <x:v>A</x:v>
      </x:c>
      <x:c r="G164" s="14" t="str">
        <x:v>Asian Review of Political Economy</x:v>
      </x:c>
      <x:c r="H164" s="14" t="str"/>
      <x:c r="I164" s="14" t="str">
        <x:v>Li Yang, Ting Long</x:v>
      </x:c>
      <x:c r="J164" s="14" t="str">
        <x:v>Peer-reviewed journal. Useful peer-reviewed evidence; journal standing varies and is not treated as top-tier by default.</x:v>
      </x:c>
      <x:c r="K164" s="14" t="str">
        <x:v>Directly concerns Europe/EU and research, technology, innovation, funding or science policy.</x:v>
      </x:c>
      <x:c r="L164" s="14" t="str">
        <x:v>Direct EU relevance</x:v>
      </x:c>
      <x:c r="M164" s="14" t="str">
        <x:v>Peer-reviewed article</x:v>
      </x:c>
      <x:c r="N164" s="14" t="str">
        <x:v>Tier 2 broad journal</x:v>
      </x:c>
      <x:c r="O164" s="14" t="str">
        <x:v>https://doi.org/10.1007/s44216-026-00080-0</x:v>
      </x:c>
      <x:c r="P164" s="14" t="str"/>
      <x:c r="Q164" s="16" t="n">
        <x:v>32</x:v>
      </x:c>
      <x:c r="R164" s="16" t="n">
        <x:v>25</x:v>
      </x:c>
      <x:c r="S164" s="16" t="n">
        <x:v>15</x:v>
      </x:c>
      <x:c r="T164" s="16" t="n">
        <x:v>5</x:v>
      </x:c>
    </x:row>
    <x:row r="165" ht="48" customHeight="1">
      <x:c r="A165" s="16" t="n">
        <x:f>ROW()-1</x:f>
        <x:v>164</x:v>
      </x:c>
      <x:c r="B165" s="16" t="n">
        <x:f>SUM(Q165:T165)</x:f>
        <x:v>77</x:v>
      </x:c>
      <x:c r="C165" s="17" t="str">
        <x:f>IF(B165&gt;=93,"A — Highest authority",IF(B165&gt;=85,"B — Very strong",IF(B165&gt;=75,"C — Strong",IF(B165&gt;=65,"D — Useful with context","E — Supporting / lower weight"))))</x:f>
        <x:v>C — Strong</x:v>
      </x:c>
      <x:c r="D165" s="14" t="str">
        <x:v>International models of SME sustainable development: a comparative analysis of the EU, the USA, Japan and Republic of Moldova</x:v>
      </x:c>
      <x:c r="E165" s="20" t="n">
        <x:v>46204</x:v>
      </x:c>
      <x:c r="F165" s="17" t="str">
        <x:v>A</x:v>
      </x:c>
      <x:c r="G165" s="14" t="str">
        <x:v>Eastern European Journal for Regional Studies</x:v>
      </x:c>
      <x:c r="H165" s="14" t="str"/>
      <x:c r="I165" s="14" t="str">
        <x:v>Anna Volosiuc</x:v>
      </x:c>
      <x:c r="J165" s="14" t="str">
        <x:v>Peer-reviewed journal. Useful peer-reviewed evidence; journal standing varies and is not treated as top-tier by default.</x:v>
      </x:c>
      <x:c r="K165" s="14" t="str">
        <x:v>Directly concerns Europe/EU and research, technology, innovation, funding or science policy.</x:v>
      </x:c>
      <x:c r="L165" s="14" t="str">
        <x:v>Direct EU relevance</x:v>
      </x:c>
      <x:c r="M165" s="14" t="str">
        <x:v>Peer-reviewed article</x:v>
      </x:c>
      <x:c r="N165" s="14" t="str">
        <x:v>Tier 2 broad journal</x:v>
      </x:c>
      <x:c r="O165" s="14" t="str">
        <x:v>https://doi.org/10.53486/2537-6179.12-1.01</x:v>
      </x:c>
      <x:c r="P165" s="14" t="str"/>
      <x:c r="Q165" s="16" t="n">
        <x:v>32</x:v>
      </x:c>
      <x:c r="R165" s="16" t="n">
        <x:v>25</x:v>
      </x:c>
      <x:c r="S165" s="16" t="n">
        <x:v>15</x:v>
      </x:c>
      <x:c r="T165" s="16" t="n">
        <x:v>5</x:v>
      </x:c>
    </x:row>
    <x:row r="166" ht="48" customHeight="1">
      <x:c r="A166" s="16" t="n">
        <x:f>ROW()-1</x:f>
        <x:v>165</x:v>
      </x:c>
      <x:c r="B166" s="16" t="n">
        <x:f>SUM(Q166:T166)</x:f>
        <x:v>77</x:v>
      </x:c>
      <x:c r="C166" s="17" t="str">
        <x:f>IF(B166&gt;=93,"A — Highest authority",IF(B166&gt;=85,"B — Very strong",IF(B166&gt;=75,"C — Strong",IF(B166&gt;=65,"D — Useful with context","E — Supporting / lower weight"))))</x:f>
        <x:v>C — Strong</x:v>
      </x:c>
      <x:c r="D166" s="14" t="str">
        <x:v>Portugal’s Productivity Gap vis-à-vis Europe and the United States</x:v>
      </x:c>
      <x:c r="E166" s="20" t="n">
        <x:v>46204</x:v>
      </x:c>
      <x:c r="F166" s="17" t="str">
        <x:v>A</x:v>
      </x:c>
      <x:c r="G166" s="14" t="str">
        <x:v>Selected Issues Papers</x:v>
      </x:c>
      <x:c r="H166" s="14" t="str"/>
      <x:c r="I166" s="14" t="str">
        <x:v>Ippei Shibata</x:v>
      </x:c>
      <x:c r="J166" s="14" t="str">
        <x:v>Peer-reviewed journal. Useful peer-reviewed evidence; journal standing varies and is not treated as top-tier by default.</x:v>
      </x:c>
      <x:c r="K166" s="14" t="str">
        <x:v>Directly concerns Europe/EU and research, technology, innovation, funding or science policy.</x:v>
      </x:c>
      <x:c r="L166" s="14" t="str">
        <x:v>Direct EU relevance</x:v>
      </x:c>
      <x:c r="M166" s="14" t="str">
        <x:v>Peer-reviewed article</x:v>
      </x:c>
      <x:c r="N166" s="14" t="str">
        <x:v>Tier 2 broad journal</x:v>
      </x:c>
      <x:c r="O166" s="14" t="str">
        <x:v>https://doi.org/10.5089/9798229054652.018</x:v>
      </x:c>
      <x:c r="P166" s="14" t="str"/>
      <x:c r="Q166" s="16" t="n">
        <x:v>32</x:v>
      </x:c>
      <x:c r="R166" s="16" t="n">
        <x:v>25</x:v>
      </x:c>
      <x:c r="S166" s="16" t="n">
        <x:v>15</x:v>
      </x:c>
      <x:c r="T166" s="16" t="n">
        <x:v>5</x:v>
      </x:c>
    </x:row>
    <x:row r="167" ht="48" customHeight="1">
      <x:c r="A167" s="16" t="n">
        <x:f>ROW()-1</x:f>
        <x:v>166</x:v>
      </x:c>
      <x:c r="B167" s="16" t="n">
        <x:f>SUM(Q167:T167)</x:f>
        <x:v>77</x:v>
      </x:c>
      <x:c r="C167" s="17" t="str">
        <x:f>IF(B167&gt;=93,"A — Highest authority",IF(B167&gt;=85,"B — Very strong",IF(B167&gt;=75,"C — Strong",IF(B167&gt;=65,"D — Useful with context","E — Supporting / lower weight"))))</x:f>
        <x:v>C — Strong</x:v>
      </x:c>
      <x:c r="D167" s="14" t="str">
        <x:v>The Strategic Role of Artificial Intelligence Technologies in Advancing the Digital Economy</x:v>
      </x:c>
      <x:c r="E167" s="20" t="n">
        <x:v>46204</x:v>
      </x:c>
      <x:c r="F167" s="17" t="str">
        <x:v>A</x:v>
      </x:c>
      <x:c r="G167" s="14" t="str">
        <x:v>International Journal Of Management And Economics Fundamental</x:v>
      </x:c>
      <x:c r="H167" s="14" t="str"/>
      <x:c r="I167" s="14" t="str">
        <x:v>Isaqov Oybek Jamoldinovich, Shermamatov Husanboy Doniyor o‘g‘li</x:v>
      </x:c>
      <x:c r="J167" s="14" t="str">
        <x:v>Peer-reviewed journal. Useful peer-reviewed evidence; journal standing varies and is not treated as top-tier by default.</x:v>
      </x:c>
      <x:c r="K167" s="14" t="str">
        <x:v>Directly concerns Europe/EU and research, technology, innovation, funding or science policy.</x:v>
      </x:c>
      <x:c r="L167" s="14" t="str">
        <x:v>Direct EU relevance</x:v>
      </x:c>
      <x:c r="M167" s="14" t="str">
        <x:v>Peer-reviewed article</x:v>
      </x:c>
      <x:c r="N167" s="14" t="str">
        <x:v>Tier 2 broad journal</x:v>
      </x:c>
      <x:c r="O167" s="14" t="str">
        <x:v>https://doi.org/10.37547/ijmef/volume06issue07-03</x:v>
      </x:c>
      <x:c r="P167" s="14" t="str"/>
      <x:c r="Q167" s="16" t="n">
        <x:v>32</x:v>
      </x:c>
      <x:c r="R167" s="16" t="n">
        <x:v>25</x:v>
      </x:c>
      <x:c r="S167" s="16" t="n">
        <x:v>15</x:v>
      </x:c>
      <x:c r="T167" s="16" t="n">
        <x:v>5</x:v>
      </x:c>
    </x:row>
    <x:row r="168" ht="48" customHeight="1">
      <x:c r="A168" s="16" t="n">
        <x:f>ROW()-1</x:f>
        <x:v>167</x:v>
      </x:c>
      <x:c r="B168" s="16" t="n">
        <x:f>SUM(Q168:T168)</x:f>
        <x:v>77</x:v>
      </x:c>
      <x:c r="C168" s="17" t="str">
        <x:f>IF(B168&gt;=93,"A — Highest authority",IF(B168&gt;=85,"B — Very strong",IF(B168&gt;=75,"C — Strong",IF(B168&gt;=65,"D — Useful with context","E — Supporting / lower weight"))))</x:f>
        <x:v>C — Strong</x:v>
      </x:c>
      <x:c r="D168" s="14" t="str">
        <x:v>AI-Enabled Drug Discovery Platforms: Navigating the Confluence of Software, Medical Device, and Pharmaceutical Regulation in Sino-African Trade Relations</x:v>
      </x:c>
      <x:c r="E168" s="20" t="n">
        <x:v>46203</x:v>
      </x:c>
      <x:c r="F168" s="17" t="str">
        <x:v>A</x:v>
      </x:c>
      <x:c r="G168" s="14" t="str">
        <x:v>Yildiz Social Science Review</x:v>
      </x:c>
      <x:c r="H168" s="14" t="str"/>
      <x:c r="I168" s="14" t="str">
        <x:v>Klemens Katterbauer, Sema Yılmaz Genç, Rahmi Deniz Özbay</x:v>
      </x:c>
      <x:c r="J168" s="14" t="str">
        <x:v>Peer-reviewed journal. Useful peer-reviewed evidence; journal standing varies and is not treated as top-tier by default.</x:v>
      </x:c>
      <x:c r="K168" s="14" t="str">
        <x:v>Directly concerns Europe/EU and research, technology, innovation, funding or science policy.</x:v>
      </x:c>
      <x:c r="L168" s="14" t="str">
        <x:v>Direct EU relevance</x:v>
      </x:c>
      <x:c r="M168" s="14" t="str">
        <x:v>Peer-reviewed article</x:v>
      </x:c>
      <x:c r="N168" s="14" t="str">
        <x:v>Tier 2 broad journal</x:v>
      </x:c>
      <x:c r="O168" s="14" t="str">
        <x:v>https://doi.org/10.51803/yssr.1937910</x:v>
      </x:c>
      <x:c r="P168" s="14" t="str"/>
      <x:c r="Q168" s="16" t="n">
        <x:v>32</x:v>
      </x:c>
      <x:c r="R168" s="16" t="n">
        <x:v>25</x:v>
      </x:c>
      <x:c r="S168" s="16" t="n">
        <x:v>15</x:v>
      </x:c>
      <x:c r="T168" s="16" t="n">
        <x:v>5</x:v>
      </x:c>
    </x:row>
    <x:row r="169" ht="48" customHeight="1">
      <x:c r="A169" s="16" t="n">
        <x:f>ROW()-1</x:f>
        <x:v>168</x:v>
      </x:c>
      <x:c r="B169" s="16" t="n">
        <x:f>SUM(Q169:T169)</x:f>
        <x:v>77</x:v>
      </x:c>
      <x:c r="C169" s="17" t="str">
        <x:f>IF(B169&gt;=93,"A — Highest authority",IF(B169&gt;=85,"B — Very strong",IF(B169&gt;=75,"C — Strong",IF(B169&gt;=65,"D — Useful with context","E — Supporting / lower weight"))))</x:f>
        <x:v>C — Strong</x:v>
      </x:c>
      <x:c r="D169" s="14" t="str">
        <x:v>ARTIFICIAL INTELLIGENCE IN FINANCIAL DECISION-MAKING AND COMPETITIVE ADVANTAGE: EVIDENCE FROM SELECTED EUROPEAN INDUSTRIAL FIRMS</x:v>
      </x:c>
      <x:c r="E169" s="20" t="n">
        <x:v>46203</x:v>
      </x:c>
      <x:c r="F169" s="17" t="str">
        <x:v>A</x:v>
      </x:c>
      <x:c r="G169" s="14" t="str">
        <x:v>AGORA INTERNATIONAL JOURNAL OF ECONOMICAL SCIENCES</x:v>
      </x:c>
      <x:c r="H169" s="14" t="str"/>
      <x:c r="I169" s="14" t="str">
        <x:v>Fisnik Morina, Durim Selmonaj</x:v>
      </x:c>
      <x:c r="J169" s="14" t="str">
        <x:v>Peer-reviewed journal. Useful peer-reviewed evidence; journal standing varies and is not treated as top-tier by default.</x:v>
      </x:c>
      <x:c r="K169" s="14" t="str">
        <x:v>Directly concerns Europe/EU and research, technology, innovation, funding or science policy.</x:v>
      </x:c>
      <x:c r="L169" s="14" t="str">
        <x:v>Direct EU relevance</x:v>
      </x:c>
      <x:c r="M169" s="14" t="str">
        <x:v>Peer-reviewed article</x:v>
      </x:c>
      <x:c r="N169" s="14" t="str">
        <x:v>Tier 2 broad journal</x:v>
      </x:c>
      <x:c r="O169" s="14" t="str">
        <x:v>https://doi.org/10.15837/aijes.v20i1.7635</x:v>
      </x:c>
      <x:c r="P169" s="14" t="str"/>
      <x:c r="Q169" s="16" t="n">
        <x:v>32</x:v>
      </x:c>
      <x:c r="R169" s="16" t="n">
        <x:v>25</x:v>
      </x:c>
      <x:c r="S169" s="16" t="n">
        <x:v>15</x:v>
      </x:c>
      <x:c r="T169" s="16" t="n">
        <x:v>5</x:v>
      </x:c>
    </x:row>
    <x:row r="170" ht="48" customHeight="1">
      <x:c r="A170" s="16" t="n">
        <x:f>ROW()-1</x:f>
        <x:v>169</x:v>
      </x:c>
      <x:c r="B170" s="16" t="n">
        <x:f>SUM(Q170:T170)</x:f>
        <x:v>77</x:v>
      </x:c>
      <x:c r="C170" s="17" t="str">
        <x:f>IF(B170&gt;=93,"A — Highest authority",IF(B170&gt;=85,"B — Very strong",IF(B170&gt;=75,"C — Strong",IF(B170&gt;=65,"D — Useful with context","E — Supporting / lower weight"))))</x:f>
        <x:v>C — Strong</x:v>
      </x:c>
      <x:c r="D170" s="14" t="str">
        <x:v>Digital instruments of monetary and prudential policy in ensuring the cybersecurity of the financial space</x:v>
      </x:c>
      <x:c r="E170" s="20" t="n">
        <x:v>46203</x:v>
      </x:c>
      <x:c r="F170" s="17" t="str">
        <x:v>A</x:v>
      </x:c>
      <x:c r="G170" s="14" t="str">
        <x:v>Financial and credit systems prospects for development</x:v>
      </x:c>
      <x:c r="H170" s="14" t="str"/>
      <x:c r="I170" s="14" t="str">
        <x:v>Victoria Kovalenko, Sergii Sheludko, Elena Sergeeva</x:v>
      </x:c>
      <x:c r="J170" s="14" t="str">
        <x:v>Peer-reviewed journal. Useful peer-reviewed evidence; journal standing varies and is not treated as top-tier by default.</x:v>
      </x:c>
      <x:c r="K170" s="14" t="str">
        <x:v>Directly concerns Europe/EU and research, technology, innovation, funding or science policy.</x:v>
      </x:c>
      <x:c r="L170" s="14" t="str">
        <x:v>Direct EU relevance</x:v>
      </x:c>
      <x:c r="M170" s="14" t="str">
        <x:v>Peer-reviewed article</x:v>
      </x:c>
      <x:c r="N170" s="14" t="str">
        <x:v>Tier 2 broad journal</x:v>
      </x:c>
      <x:c r="O170" s="14" t="str">
        <x:v>https://doi.org/10.26565/2786-4995-2026-2-12</x:v>
      </x:c>
      <x:c r="P170" s="14" t="str"/>
      <x:c r="Q170" s="16" t="n">
        <x:v>32</x:v>
      </x:c>
      <x:c r="R170" s="16" t="n">
        <x:v>25</x:v>
      </x:c>
      <x:c r="S170" s="16" t="n">
        <x:v>15</x:v>
      </x:c>
      <x:c r="T170" s="16" t="n">
        <x:v>5</x:v>
      </x:c>
    </x:row>
    <x:row r="171" ht="48" customHeight="1">
      <x:c r="A171" s="16" t="n">
        <x:f>ROW()-1</x:f>
        <x:v>170</x:v>
      </x:c>
      <x:c r="B171" s="16" t="n">
        <x:f>SUM(Q171:T171)</x:f>
        <x:v>77</x:v>
      </x:c>
      <x:c r="C171" s="17" t="str">
        <x:f>IF(B171&gt;=93,"A — Highest authority",IF(B171&gt;=85,"B — Very strong",IF(B171&gt;=75,"C — Strong",IF(B171&gt;=65,"D — Useful with context","E — Supporting / lower weight"))))</x:f>
        <x:v>C — Strong</x:v>
      </x:c>
      <x:c r="D171" s="14" t="str">
        <x:v>General-Purpose AI under the EU AI Act: A Conceptual Allocation of Duties across the Value Chain</x:v>
      </x:c>
      <x:c r="E171" s="20" t="n">
        <x:v>46203</x:v>
      </x:c>
      <x:c r="F171" s="17" t="str">
        <x:v>A</x:v>
      </x:c>
      <x:c r="G171" s="14" t="str">
        <x:v>SCRIPTed: A Journal of Law, Technology &amp; Society</x:v>
      </x:c>
      <x:c r="H171" s="14" t="str"/>
      <x:c r="I171" s="14" t="str">
        <x:v>Fabian Teichmann</x:v>
      </x:c>
      <x:c r="J171" s="14" t="str">
        <x:v>Peer-reviewed journal. Useful peer-reviewed evidence; journal standing varies and is not treated as top-tier by default.</x:v>
      </x:c>
      <x:c r="K171" s="14" t="str">
        <x:v>Directly concerns Europe/EU and research, technology, innovation, funding or science policy.</x:v>
      </x:c>
      <x:c r="L171" s="14" t="str">
        <x:v>Direct EU relevance</x:v>
      </x:c>
      <x:c r="M171" s="14" t="str">
        <x:v>Peer-reviewed article</x:v>
      </x:c>
      <x:c r="N171" s="14" t="str">
        <x:v>Tier 2 broad journal</x:v>
      </x:c>
      <x:c r="O171" s="14" t="str">
        <x:v>https://doi.org/10.2218/scrip.12300</x:v>
      </x:c>
      <x:c r="P171" s="14" t="str"/>
      <x:c r="Q171" s="16" t="n">
        <x:v>32</x:v>
      </x:c>
      <x:c r="R171" s="16" t="n">
        <x:v>25</x:v>
      </x:c>
      <x:c r="S171" s="16" t="n">
        <x:v>15</x:v>
      </x:c>
      <x:c r="T171" s="16" t="n">
        <x:v>5</x:v>
      </x:c>
    </x:row>
    <x:row r="172" ht="48" customHeight="1">
      <x:c r="A172" s="16" t="n">
        <x:f>ROW()-1</x:f>
        <x:v>171</x:v>
      </x:c>
      <x:c r="B172" s="16" t="n">
        <x:f>SUM(Q172:T172)</x:f>
        <x:v>77</x:v>
      </x:c>
      <x:c r="C172" s="17" t="str">
        <x:f>IF(B172&gt;=93,"A — Highest authority",IF(B172&gt;=85,"B — Very strong",IF(B172&gt;=75,"C — Strong",IF(B172&gt;=65,"D — Useful with context","E — Supporting / lower weight"))))</x:f>
        <x:v>C — Strong</x:v>
      </x:c>
      <x:c r="D172" s="14" t="str">
        <x:v>Governing Trust in Times of Disruption: Institutional Governance for Civic Resilience</x:v>
      </x:c>
      <x:c r="E172" s="20" t="n">
        <x:v>46203</x:v>
      </x:c>
      <x:c r="F172" s="17" t="str">
        <x:v>A</x:v>
      </x:c>
      <x:c r="G172" s="14" t="str">
        <x:v>PUBLIC ADMINISTRATION AND LAW REVIEW</x:v>
      </x:c>
      <x:c r="H172" s="14" t="str"/>
      <x:c r="I172" s="14" t="str">
        <x:v>T. Gorski</x:v>
      </x:c>
      <x:c r="J172" s="14" t="str">
        <x:v>Peer-reviewed journal. Useful peer-reviewed evidence; journal standing varies and is not treated as top-tier by default.</x:v>
      </x:c>
      <x:c r="K172" s="14" t="str">
        <x:v>Directly concerns Europe/EU and research, technology, innovation, funding or science policy.</x:v>
      </x:c>
      <x:c r="L172" s="14" t="str">
        <x:v>Direct EU relevance</x:v>
      </x:c>
      <x:c r="M172" s="14" t="str">
        <x:v>Peer-reviewed article</x:v>
      </x:c>
      <x:c r="N172" s="14" t="str">
        <x:v>Tier 2 broad journal</x:v>
      </x:c>
      <x:c r="O172" s="14" t="str">
        <x:v>https://doi.org/10.36690/2674-5216-2026-2-4-14</x:v>
      </x:c>
      <x:c r="P172" s="14" t="str"/>
      <x:c r="Q172" s="16" t="n">
        <x:v>32</x:v>
      </x:c>
      <x:c r="R172" s="16" t="n">
        <x:v>25</x:v>
      </x:c>
      <x:c r="S172" s="16" t="n">
        <x:v>15</x:v>
      </x:c>
      <x:c r="T172" s="16" t="n">
        <x:v>5</x:v>
      </x:c>
    </x:row>
    <x:row r="173" ht="48" customHeight="1">
      <x:c r="A173" s="16" t="n">
        <x:f>ROW()-1</x:f>
        <x:v>172</x:v>
      </x:c>
      <x:c r="B173" s="16" t="n">
        <x:f>SUM(Q173:T173)</x:f>
        <x:v>77</x:v>
      </x:c>
      <x:c r="C173" s="17" t="str">
        <x:f>IF(B173&gt;=93,"A — Highest authority",IF(B173&gt;=85,"B — Very strong",IF(B173&gt;=75,"C — Strong",IF(B173&gt;=65,"D — Useful with context","E — Supporting / lower weight"))))</x:f>
        <x:v>C — Strong</x:v>
      </x:c>
      <x:c r="D173" s="14" t="str">
        <x:v>Greening the Gates or Guarding the Market? Green Protectionism and the Evolution of EU Trade Defence Instruments</x:v>
      </x:c>
      <x:c r="E173" s="20" t="n">
        <x:v>46203</x:v>
      </x:c>
      <x:c r="F173" s="17" t="str">
        <x:v>A</x:v>
      </x:c>
      <x:c r="G173" s="14" t="str">
        <x:v>Journal of Law &amp; Social Studies</x:v>
      </x:c>
      <x:c r="H173" s="14" t="str"/>
      <x:c r="I173" s="14" t="str">
        <x:v>Dr. Muhammad Bilal</x:v>
      </x:c>
      <x:c r="J173" s="14" t="str">
        <x:v>Peer-reviewed journal. Useful peer-reviewed evidence; journal standing varies and is not treated as top-tier by default.</x:v>
      </x:c>
      <x:c r="K173" s="14" t="str">
        <x:v>Directly concerns Europe/EU and research, technology, innovation, funding or science policy.</x:v>
      </x:c>
      <x:c r="L173" s="14" t="str">
        <x:v>Direct EU relevance</x:v>
      </x:c>
      <x:c r="M173" s="14" t="str">
        <x:v>Peer-reviewed article</x:v>
      </x:c>
      <x:c r="N173" s="14" t="str">
        <x:v>Tier 2 broad journal</x:v>
      </x:c>
      <x:c r="O173" s="14" t="str">
        <x:v>https://doi.org/10.52279/jlss.08.02.208220</x:v>
      </x:c>
      <x:c r="P173" s="14" t="str"/>
      <x:c r="Q173" s="16" t="n">
        <x:v>32</x:v>
      </x:c>
      <x:c r="R173" s="16" t="n">
        <x:v>25</x:v>
      </x:c>
      <x:c r="S173" s="16" t="n">
        <x:v>15</x:v>
      </x:c>
      <x:c r="T173" s="16" t="n">
        <x:v>5</x:v>
      </x:c>
    </x:row>
    <x:row r="174" ht="48" customHeight="1">
      <x:c r="A174" s="16" t="n">
        <x:f>ROW()-1</x:f>
        <x:v>173</x:v>
      </x:c>
      <x:c r="B174" s="16" t="n">
        <x:f>SUM(Q174:T174)</x:f>
        <x:v>77</x:v>
      </x:c>
      <x:c r="C174" s="17" t="str">
        <x:f>IF(B174&gt;=93,"A — Highest authority",IF(B174&gt;=85,"B — Very strong",IF(B174&gt;=75,"C — Strong",IF(B174&gt;=65,"D — Useful with context","E — Supporting / lower weight"))))</x:f>
        <x:v>C — Strong</x:v>
      </x:c>
      <x:c r="D174" s="14" t="str">
        <x:v>INNOVATIONS, FINANCIAL MARKETS DEVELOPMENT, CAPITAL INFLOWS, AND ECONOMIC GROWTH DYNAMICS IN EUROPEAN COUNTRIES</x:v>
      </x:c>
      <x:c r="E174" s="20" t="n">
        <x:v>46203</x:v>
      </x:c>
      <x:c r="F174" s="17" t="str">
        <x:v>A</x:v>
      </x:c>
      <x:c r="G174" s="14" t="str">
        <x:v>Financial and credit activity problems of theory and practice</x:v>
      </x:c>
      <x:c r="H174" s="14" t="str"/>
      <x:c r="I174" s="14" t="str">
        <x:v>Olha Shkrumiak, Yuriy Bilenko</x:v>
      </x:c>
      <x:c r="J174" s="14" t="str">
        <x:v>Peer-reviewed journal. Useful peer-reviewed evidence; journal standing varies and is not treated as top-tier by default.</x:v>
      </x:c>
      <x:c r="K174" s="14" t="str">
        <x:v>Directly concerns Europe/EU and research, technology, innovation, funding or science policy.</x:v>
      </x:c>
      <x:c r="L174" s="14" t="str">
        <x:v>Direct EU relevance</x:v>
      </x:c>
      <x:c r="M174" s="14" t="str">
        <x:v>Peer-reviewed article</x:v>
      </x:c>
      <x:c r="N174" s="14" t="str">
        <x:v>Tier 2 broad journal</x:v>
      </x:c>
      <x:c r="O174" s="14" t="str">
        <x:v>https://doi.org/10.55643/fcaptp.3.68.2026.5140</x:v>
      </x:c>
      <x:c r="P174" s="14" t="str"/>
      <x:c r="Q174" s="16" t="n">
        <x:v>32</x:v>
      </x:c>
      <x:c r="R174" s="16" t="n">
        <x:v>25</x:v>
      </x:c>
      <x:c r="S174" s="16" t="n">
        <x:v>15</x:v>
      </x:c>
      <x:c r="T174" s="16" t="n">
        <x:v>5</x:v>
      </x:c>
    </x:row>
    <x:row r="175" ht="48" customHeight="1">
      <x:c r="A175" s="16" t="n">
        <x:f>ROW()-1</x:f>
        <x:v>174</x:v>
      </x:c>
      <x:c r="B175" s="16" t="n">
        <x:f>SUM(Q175:T175)</x:f>
        <x:v>77</x:v>
      </x:c>
      <x:c r="C175" s="17" t="str">
        <x:f>IF(B175&gt;=93,"A — Highest authority",IF(B175&gt;=85,"B — Very strong",IF(B175&gt;=75,"C — Strong",IF(B175&gt;=65,"D — Useful with context","E — Supporting / lower weight"))))</x:f>
        <x:v>C — Strong</x:v>
      </x:c>
      <x:c r="D175" s="14" t="str">
        <x:v>Integrating CBDCs into the Global Financial Architecture: Strategic Perspectives, Systemic Risks and Regulatory Constraints</x:v>
      </x:c>
      <x:c r="E175" s="20" t="n">
        <x:v>46203</x:v>
      </x:c>
      <x:c r="F175" s="17" t="str">
        <x:v>A</x:v>
      </x:c>
      <x:c r="G175" s="14" t="str">
        <x:v>African Journal Of Applied Research</x:v>
      </x:c>
      <x:c r="H175" s="14" t="str"/>
      <x:c r="I175" s="14" t="str">
        <x:v>V. Parshakov, K. Lysak, I. Sydorchuk, K. Larionova, O. Fradynskyi</x:v>
      </x:c>
      <x:c r="J175" s="14" t="str">
        <x:v>Peer-reviewed journal. Useful peer-reviewed evidence; journal standing varies and is not treated as top-tier by default.</x:v>
      </x:c>
      <x:c r="K175" s="14" t="str">
        <x:v>Directly concerns Europe/EU and research, technology, innovation, funding or science policy.</x:v>
      </x:c>
      <x:c r="L175" s="14" t="str">
        <x:v>Direct EU relevance</x:v>
      </x:c>
      <x:c r="M175" s="14" t="str">
        <x:v>Peer-reviewed article</x:v>
      </x:c>
      <x:c r="N175" s="14" t="str">
        <x:v>Tier 2 broad journal</x:v>
      </x:c>
      <x:c r="O175" s="14" t="str">
        <x:v>https://doi.org/10.26437/1xcwjf32</x:v>
      </x:c>
      <x:c r="P175" s="14" t="str"/>
      <x:c r="Q175" s="16" t="n">
        <x:v>32</x:v>
      </x:c>
      <x:c r="R175" s="16" t="n">
        <x:v>25</x:v>
      </x:c>
      <x:c r="S175" s="16" t="n">
        <x:v>15</x:v>
      </x:c>
      <x:c r="T175" s="16" t="n">
        <x:v>5</x:v>
      </x:c>
    </x:row>
    <x:row r="176" ht="48" customHeight="1">
      <x:c r="A176" s="16" t="n">
        <x:f>ROW()-1</x:f>
        <x:v>175</x:v>
      </x:c>
      <x:c r="B176" s="16" t="n">
        <x:f>SUM(Q176:T176)</x:f>
        <x:v>77</x:v>
      </x:c>
      <x:c r="C176" s="17" t="str">
        <x:f>IF(B176&gt;=93,"A — Highest authority",IF(B176&gt;=85,"B — Very strong",IF(B176&gt;=75,"C — Strong",IF(B176&gt;=65,"D — Useful with context","E — Supporting / lower weight"))))</x:f>
        <x:v>C — Strong</x:v>
      </x:c>
      <x:c r="D176" s="14" t="str">
        <x:v>International investment in artificial intelligence: investment asymmetry and risks of technological dependence in EU countries</x:v>
      </x:c>
      <x:c r="E176" s="20" t="n">
        <x:v>46203</x:v>
      </x:c>
      <x:c r="F176" s="17" t="str">
        <x:v>A</x:v>
      </x:c>
      <x:c r="G176" s="14" t="str">
        <x:v>FINANCIAL AND CREDIT SYSTEMS: PROSPECTS FOR DEVELOPMENT</x:v>
      </x:c>
      <x:c r="H176" s="14" t="str"/>
      <x:c r="I176" s="14" t="str">
        <x:v>Iryna Shkodina</x:v>
      </x:c>
      <x:c r="J176" s="14" t="str">
        <x:v>Peer-reviewed journal. Useful peer-reviewed evidence; journal standing varies and is not treated as top-tier by default.</x:v>
      </x:c>
      <x:c r="K176" s="14" t="str">
        <x:v>Directly concerns Europe/EU and research, technology, innovation, funding or science policy.</x:v>
      </x:c>
      <x:c r="L176" s="14" t="str">
        <x:v>Direct EU relevance</x:v>
      </x:c>
      <x:c r="M176" s="14" t="str">
        <x:v>Peer-reviewed article</x:v>
      </x:c>
      <x:c r="N176" s="14" t="str">
        <x:v>Tier 2 broad journal</x:v>
      </x:c>
      <x:c r="O176" s="14" t="str">
        <x:v>https://doi.org/10.26565/2786-4995-2026-2-14</x:v>
      </x:c>
      <x:c r="P176" s="14" t="str"/>
      <x:c r="Q176" s="16" t="n">
        <x:v>32</x:v>
      </x:c>
      <x:c r="R176" s="16" t="n">
        <x:v>25</x:v>
      </x:c>
      <x:c r="S176" s="16" t="n">
        <x:v>15</x:v>
      </x:c>
      <x:c r="T176" s="16" t="n">
        <x:v>5</x:v>
      </x:c>
    </x:row>
    <x:row r="177" ht="48" customHeight="1">
      <x:c r="A177" s="16" t="n">
        <x:f>ROW()-1</x:f>
        <x:v>176</x:v>
      </x:c>
      <x:c r="B177" s="16" t="n">
        <x:f>SUM(Q177:T177)</x:f>
        <x:v>77</x:v>
      </x:c>
      <x:c r="C177" s="17" t="str">
        <x:f>IF(B177&gt;=93,"A — Highest authority",IF(B177&gt;=85,"B — Very strong",IF(B177&gt;=75,"C — Strong",IF(B177&gt;=65,"D — Useful with context","E — Supporting / lower weight"))))</x:f>
        <x:v>C — Strong</x:v>
      </x:c>
      <x:c r="D177" s="14" t="str">
        <x:v>Regional development under digital transition: Fintech, geopolitical shocks and sustainability in Eastern Europe</x:v>
      </x:c>
      <x:c r="E177" s="20" t="n">
        <x:v>46203</x:v>
      </x:c>
      <x:c r="F177" s="17" t="str">
        <x:v>A</x:v>
      </x:c>
      <x:c r="G177" s="14" t="str">
        <x:v>Romanian Journal of Regional Science</x:v>
      </x:c>
      <x:c r="H177" s="14" t="str"/>
      <x:c r="I177" s="14" t="str">
        <x:v>Narcisa Roxana Moşteanu</x:v>
      </x:c>
      <x:c r="J177" s="14" t="str">
        <x:v>Peer-reviewed journal. Useful peer-reviewed evidence; journal standing varies and is not treated as top-tier by default.</x:v>
      </x:c>
      <x:c r="K177" s="14" t="str">
        <x:v>Directly concerns Europe/EU and research, technology, innovation, funding or science policy.</x:v>
      </x:c>
      <x:c r="L177" s="14" t="str">
        <x:v>Direct EU relevance</x:v>
      </x:c>
      <x:c r="M177" s="14" t="str">
        <x:v>Peer-reviewed article</x:v>
      </x:c>
      <x:c r="N177" s="14" t="str">
        <x:v>Tier 2 broad journal</x:v>
      </x:c>
      <x:c r="O177" s="14" t="str">
        <x:v>https://doi.org/10.61225/rjrs.2026.04</x:v>
      </x:c>
      <x:c r="P177" s="14" t="str"/>
      <x:c r="Q177" s="16" t="n">
        <x:v>32</x:v>
      </x:c>
      <x:c r="R177" s="16" t="n">
        <x:v>25</x:v>
      </x:c>
      <x:c r="S177" s="16" t="n">
        <x:v>15</x:v>
      </x:c>
      <x:c r="T177" s="16" t="n">
        <x:v>5</x:v>
      </x:c>
    </x:row>
    <x:row r="178" ht="48" customHeight="1">
      <x:c r="A178" s="16" t="n">
        <x:f>ROW()-1</x:f>
        <x:v>177</x:v>
      </x:c>
      <x:c r="B178" s="16" t="n">
        <x:f>SUM(Q178:T178)</x:f>
        <x:v>77</x:v>
      </x:c>
      <x:c r="C178" s="17" t="str">
        <x:f>IF(B178&gt;=93,"A — Highest authority",IF(B178&gt;=85,"B — Very strong",IF(B178&gt;=75,"C — Strong",IF(B178&gt;=65,"D — Useful with context","E — Supporting / lower weight"))))</x:f>
        <x:v>C — Strong</x:v>
      </x:c>
      <x:c r="D178" s="14" t="str">
        <x:v>Sustainable Development and Trade: Strengthening EU-Lao PDR Cooperation through the EU-ASEAN Partnership</x:v>
      </x:c>
      <x:c r="E178" s="20" t="n">
        <x:v>46203</x:v>
      </x:c>
      <x:c r="F178" s="17" t="str">
        <x:v>A</x:v>
      </x:c>
      <x:c r="G178" s="14" t="str">
        <x:v>Naše gospodarstvo/Our economy</x:v>
      </x:c>
      <x:c r="H178" s="14" t="str"/>
      <x:c r="I178" s="14" t="str">
        <x:v>Mittarvanh Phoomsavarth</x:v>
      </x:c>
      <x:c r="J178" s="14" t="str">
        <x:v>Peer-reviewed journal. Useful peer-reviewed evidence; journal standing varies and is not treated as top-tier by default.</x:v>
      </x:c>
      <x:c r="K178" s="14" t="str">
        <x:v>Directly concerns Europe/EU and research, technology, innovation, funding or science policy.</x:v>
      </x:c>
      <x:c r="L178" s="14" t="str">
        <x:v>Direct EU relevance</x:v>
      </x:c>
      <x:c r="M178" s="14" t="str">
        <x:v>Peer-reviewed article</x:v>
      </x:c>
      <x:c r="N178" s="14" t="str">
        <x:v>Tier 2 broad journal</x:v>
      </x:c>
      <x:c r="O178" s="14" t="str">
        <x:v>https://doi.org/10.2478/ngoe-2026-0012</x:v>
      </x:c>
      <x:c r="P178" s="14" t="str"/>
      <x:c r="Q178" s="16" t="n">
        <x:v>32</x:v>
      </x:c>
      <x:c r="R178" s="16" t="n">
        <x:v>25</x:v>
      </x:c>
      <x:c r="S178" s="16" t="n">
        <x:v>15</x:v>
      </x:c>
      <x:c r="T178" s="16" t="n">
        <x:v>5</x:v>
      </x:c>
    </x:row>
    <x:row r="179" ht="48" customHeight="1">
      <x:c r="A179" s="16" t="n">
        <x:f>ROW()-1</x:f>
        <x:v>178</x:v>
      </x:c>
      <x:c r="B179" s="16" t="n">
        <x:f>SUM(Q179:T179)</x:f>
        <x:v>77</x:v>
      </x:c>
      <x:c r="C179" s="17" t="str">
        <x:f>IF(B179&gt;=93,"A — Highest authority",IF(B179&gt;=85,"B — Very strong",IF(B179&gt;=75,"C — Strong",IF(B179&gt;=65,"D — Useful with context","E — Supporting / lower weight"))))</x:f>
        <x:v>C — Strong</x:v>
      </x:c>
      <x:c r="D179" s="14" t="str">
        <x:v>Cultural sustainability and civic society</x:v>
      </x:c>
      <x:c r="E179" s="20" t="n">
        <x:v>46202</x:v>
      </x:c>
      <x:c r="F179" s="17" t="str">
        <x:v>A</x:v>
      </x:c>
      <x:c r="G179" s="14" t="str">
        <x:v>Comparative Cultural Studies - European and Latin American Perspectives</x:v>
      </x:c>
      <x:c r="H179" s="14" t="str"/>
      <x:c r="I179" s="14" t="str">
        <x:v>Nataliia Filipova, Tetiana Klymenko</x:v>
      </x:c>
      <x:c r="J179" s="14" t="str">
        <x:v>Peer-reviewed journal. Useful peer-reviewed evidence; journal standing varies and is not treated as top-tier by default.</x:v>
      </x:c>
      <x:c r="K179" s="14" t="str">
        <x:v>Directly concerns Europe/EU and research, technology, innovation, funding or science policy.</x:v>
      </x:c>
      <x:c r="L179" s="14" t="str">
        <x:v>Direct EU relevance</x:v>
      </x:c>
      <x:c r="M179" s="14" t="str">
        <x:v>Peer-reviewed article</x:v>
      </x:c>
      <x:c r="N179" s="14" t="str">
        <x:v>Tier 2 broad journal</x:v>
      </x:c>
      <x:c r="O179" s="14" t="str">
        <x:v>https://doi.org/10.46661/ccselap-12813</x:v>
      </x:c>
      <x:c r="P179" s="14" t="str"/>
      <x:c r="Q179" s="16" t="n">
        <x:v>32</x:v>
      </x:c>
      <x:c r="R179" s="16" t="n">
        <x:v>25</x:v>
      </x:c>
      <x:c r="S179" s="16" t="n">
        <x:v>15</x:v>
      </x:c>
      <x:c r="T179" s="16" t="n">
        <x:v>5</x:v>
      </x:c>
    </x:row>
    <x:row r="180" ht="48" customHeight="1">
      <x:c r="A180" s="16" t="n">
        <x:f>ROW()-1</x:f>
        <x:v>179</x:v>
      </x:c>
      <x:c r="B180" s="16" t="n">
        <x:f>SUM(Q180:T180)</x:f>
        <x:v>77</x:v>
      </x:c>
      <x:c r="C180" s="17" t="str">
        <x:f>IF(B180&gt;=93,"A — Highest authority",IF(B180&gt;=85,"B — Very strong",IF(B180&gt;=75,"C — Strong",IF(B180&gt;=65,"D — Useful with context","E — Supporting / lower weight"))))</x:f>
        <x:v>C — Strong</x:v>
      </x:c>
      <x:c r="D180" s="14" t="str">
        <x:v>Impact of Digital Transformation on Organizational Performance in European SMEs</x:v>
      </x:c>
      <x:c r="E180" s="20" t="n">
        <x:v>46202</x:v>
      </x:c>
      <x:c r="F180" s="17" t="str">
        <x:v>A</x:v>
      </x:c>
      <x:c r="G180" s="14" t="str">
        <x:v>European Journal of Business and Strategic Management</x:v>
      </x:c>
      <x:c r="H180" s="14" t="str"/>
      <x:c r="I180" s="14" t="str">
        <x:v>Alejandro García</x:v>
      </x:c>
      <x:c r="J180" s="14" t="str">
        <x:v>Peer-reviewed journal. Useful peer-reviewed evidence; journal standing varies and is not treated as top-tier by default.</x:v>
      </x:c>
      <x:c r="K180" s="14" t="str">
        <x:v>Directly concerns Europe/EU and research, technology, innovation, funding or science policy.</x:v>
      </x:c>
      <x:c r="L180" s="14" t="str">
        <x:v>Direct EU relevance</x:v>
      </x:c>
      <x:c r="M180" s="14" t="str">
        <x:v>Peer-reviewed article</x:v>
      </x:c>
      <x:c r="N180" s="14" t="str">
        <x:v>Tier 2 broad journal</x:v>
      </x:c>
      <x:c r="O180" s="14" t="str">
        <x:v>https://doi.org/10.47604/ejbsm.3843</x:v>
      </x:c>
      <x:c r="P180" s="14" t="str"/>
      <x:c r="Q180" s="16" t="n">
        <x:v>32</x:v>
      </x:c>
      <x:c r="R180" s="16" t="n">
        <x:v>25</x:v>
      </x:c>
      <x:c r="S180" s="16" t="n">
        <x:v>15</x:v>
      </x:c>
      <x:c r="T180" s="16" t="n">
        <x:v>5</x:v>
      </x:c>
    </x:row>
    <x:row r="181" ht="48" customHeight="1">
      <x:c r="A181" s="16" t="n">
        <x:f>ROW()-1</x:f>
        <x:v>180</x:v>
      </x:c>
      <x:c r="B181" s="16" t="n">
        <x:f>SUM(Q181:T181)</x:f>
        <x:v>77</x:v>
      </x:c>
      <x:c r="C181" s="17" t="str">
        <x:f>IF(B181&gt;=93,"A — Highest authority",IF(B181&gt;=85,"B — Very strong",IF(B181&gt;=75,"C — Strong",IF(B181&gt;=65,"D — Useful with context","E — Supporting / lower weight"))))</x:f>
        <x:v>C — Strong</x:v>
      </x:c>
      <x:c r="D181" s="14" t="str">
        <x:v>Strategi Uni Eropa dalam Menghadapi Dampak Chip War Amerika Serikat-Tiongkok</x:v>
      </x:c>
      <x:c r="E181" s="20" t="n">
        <x:v>46202</x:v>
      </x:c>
      <x:c r="F181" s="17" t="str">
        <x:v>A</x:v>
      </x:c>
      <x:c r="G181" s="14" t="str">
        <x:v>e-Sospol</x:v>
      </x:c>
      <x:c r="H181" s="14" t="str"/>
      <x:c r="I181" s="14" t="str">
        <x:v>Nicholas Hadi Saputra, Suyani Indriastuti</x:v>
      </x:c>
      <x:c r="J181" s="14" t="str">
        <x:v>Peer-reviewed journal. Useful peer-reviewed evidence; journal standing varies and is not treated as top-tier by default.</x:v>
      </x:c>
      <x:c r="K181" s="14" t="str">
        <x:v>Directly concerns Europe/EU and research, technology, innovation, funding or science policy.</x:v>
      </x:c>
      <x:c r="L181" s="14" t="str">
        <x:v>Direct EU relevance</x:v>
      </x:c>
      <x:c r="M181" s="14" t="str">
        <x:v>Peer-reviewed article</x:v>
      </x:c>
      <x:c r="N181" s="14" t="str">
        <x:v>Tier 2 broad journal</x:v>
      </x:c>
      <x:c r="O181" s="14" t="str">
        <x:v>https://doi.org/10.19184/e-sospol.v13i2.60025</x:v>
      </x:c>
      <x:c r="P181" s="14" t="str"/>
      <x:c r="Q181" s="16" t="n">
        <x:v>32</x:v>
      </x:c>
      <x:c r="R181" s="16" t="n">
        <x:v>25</x:v>
      </x:c>
      <x:c r="S181" s="16" t="n">
        <x:v>15</x:v>
      </x:c>
      <x:c r="T181" s="16" t="n">
        <x:v>5</x:v>
      </x:c>
    </x:row>
    <x:row r="182" ht="48" customHeight="1">
      <x:c r="A182" s="16" t="n">
        <x:f>ROW()-1</x:f>
        <x:v>181</x:v>
      </x:c>
      <x:c r="B182" s="16" t="n">
        <x:f>SUM(Q182:T182)</x:f>
        <x:v>77</x:v>
      </x:c>
      <x:c r="C182" s="17" t="str">
        <x:f>IF(B182&gt;=93,"A — Highest authority",IF(B182&gt;=85,"B — Very strong",IF(B182&gt;=75,"C — Strong",IF(B182&gt;=65,"D — Useful with context","E — Supporting / lower weight"))))</x:f>
        <x:v>C — Strong</x:v>
      </x:c>
      <x:c r="D182" s="14" t="str">
        <x:v>Strengthening U.S. Global Leadership in Electric Vehicle Supply Chains Through AI-Driven Fintech Innovation: A Comprehensive Interdisciplinary Analysis</x:v>
      </x:c>
      <x:c r="E182" s="20" t="n">
        <x:v>46198</x:v>
      </x:c>
      <x:c r="F182" s="17" t="str">
        <x:v>A</x:v>
      </x:c>
      <x:c r="G182" s="14" t="str">
        <x:v>Journal of Economics Finance and Accounting Studies</x:v>
      </x:c>
      <x:c r="H182" s="14" t="str"/>
      <x:c r="I182" s="14" t="str">
        <x:v>Adil Shah, Sabbir Ahammed Khan, Md Nurul Huda Razib</x:v>
      </x:c>
      <x:c r="J182" s="14" t="str">
        <x:v>Peer-reviewed journal. Useful peer-reviewed evidence; journal standing varies and is not treated as top-tier by default.</x:v>
      </x:c>
      <x:c r="K182" s="14" t="str">
        <x:v>Directly concerns Europe/EU and research, technology, innovation, funding or science policy.</x:v>
      </x:c>
      <x:c r="L182" s="14" t="str">
        <x:v>Direct EU relevance</x:v>
      </x:c>
      <x:c r="M182" s="14" t="str">
        <x:v>Peer-reviewed article</x:v>
      </x:c>
      <x:c r="N182" s="14" t="str">
        <x:v>Tier 2 broad journal</x:v>
      </x:c>
      <x:c r="O182" s="14" t="str">
        <x:v>https://doi.org/10.32996/jefas.2026.8.7.6</x:v>
      </x:c>
      <x:c r="P182" s="14" t="str"/>
      <x:c r="Q182" s="16" t="n">
        <x:v>32</x:v>
      </x:c>
      <x:c r="R182" s="16" t="n">
        <x:v>25</x:v>
      </x:c>
      <x:c r="S182" s="16" t="n">
        <x:v>15</x:v>
      </x:c>
      <x:c r="T182" s="16" t="n">
        <x:v>5</x:v>
      </x:c>
    </x:row>
    <x:row r="183" ht="48" customHeight="1">
      <x:c r="A183" s="16" t="n">
        <x:f>ROW()-1</x:f>
        <x:v>182</x:v>
      </x:c>
      <x:c r="B183" s="16" t="n">
        <x:f>SUM(Q183:T183)</x:f>
        <x:v>77</x:v>
      </x:c>
      <x:c r="C183" s="17" t="str">
        <x:f>IF(B183&gt;=93,"A — Highest authority",IF(B183&gt;=85,"B — Very strong",IF(B183&gt;=75,"C — Strong",IF(B183&gt;=65,"D — Useful with context","E — Supporting / lower weight"))))</x:f>
        <x:v>C — Strong</x:v>
      </x:c>
      <x:c r="D183" s="14" t="str">
        <x:v>EU pharmaceutical reform: modulating incentives to improve innovation and access to medicines</x:v>
      </x:c>
      <x:c r="E183" s="20" t="n">
        <x:v>46197</x:v>
      </x:c>
      <x:c r="F183" s="17" t="str">
        <x:v>A</x:v>
      </x:c>
      <x:c r="G183" s="14" t="str">
        <x:v>EKONOMISTI</x:v>
      </x:c>
      <x:c r="H183" s="14" t="str"/>
      <x:c r="I183" s="14" t="str">
        <x:v>Ketevan Omanadze, Tengiz Verulava</x:v>
      </x:c>
      <x:c r="J183" s="14" t="str">
        <x:v>Peer-reviewed journal. Useful peer-reviewed evidence; journal standing varies and is not treated as top-tier by default.</x:v>
      </x:c>
      <x:c r="K183" s="14" t="str">
        <x:v>Directly concerns Europe/EU and research, technology, innovation, funding or science policy.</x:v>
      </x:c>
      <x:c r="L183" s="14" t="str">
        <x:v>Direct EU relevance</x:v>
      </x:c>
      <x:c r="M183" s="14" t="str">
        <x:v>Peer-reviewed article</x:v>
      </x:c>
      <x:c r="N183" s="14" t="str">
        <x:v>Tier 2 broad journal</x:v>
      </x:c>
      <x:c r="O183" s="14" t="str">
        <x:v>https://doi.org/10.52340/ekonomisti.2026.02.15</x:v>
      </x:c>
      <x:c r="P183" s="14" t="str"/>
      <x:c r="Q183" s="16" t="n">
        <x:v>32</x:v>
      </x:c>
      <x:c r="R183" s="16" t="n">
        <x:v>25</x:v>
      </x:c>
      <x:c r="S183" s="16" t="n">
        <x:v>15</x:v>
      </x:c>
      <x:c r="T183" s="16" t="n">
        <x:v>5</x:v>
      </x:c>
    </x:row>
    <x:row r="184" ht="48" customHeight="1">
      <x:c r="A184" s="16" t="n">
        <x:f>ROW()-1</x:f>
        <x:v>183</x:v>
      </x:c>
      <x:c r="B184" s="16" t="n">
        <x:f>SUM(Q184:T184)</x:f>
        <x:v>77</x:v>
      </x:c>
      <x:c r="C184" s="17" t="str">
        <x:f>IF(B184&gt;=93,"A — Highest authority",IF(B184&gt;=85,"B — Very strong",IF(B184&gt;=75,"C — Strong",IF(B184&gt;=65,"D — Useful with context","E — Supporting / lower weight"))))</x:f>
        <x:v>C — Strong</x:v>
      </x:c>
      <x:c r="D184" s="14" t="str">
        <x:v>Greening the energy mix: the role of environmental policies in reducing fossil fuel consumption in EU-23 countries</x:v>
      </x:c>
      <x:c r="E184" s="20" t="n">
        <x:v>46197</x:v>
      </x:c>
      <x:c r="F184" s="17" t="str">
        <x:v>A</x:v>
      </x:c>
      <x:c r="G184" s="14" t="str">
        <x:v>The Japanese Political Economy</x:v>
      </x:c>
      <x:c r="H184" s="14" t="str"/>
      <x:c r="I184" s="14" t="str">
        <x:v>Nuran Halise BELET, Shehzada Ghulam Abbas, Shehzada Ghulam Abbas, Shahzada Rahim Abbas, Shahzada Rahim Abbas</x:v>
      </x:c>
      <x:c r="J184" s="14" t="str">
        <x:v>Peer-reviewed journal. Useful peer-reviewed evidence; journal standing varies and is not treated as top-tier by default.</x:v>
      </x:c>
      <x:c r="K184" s="14" t="str">
        <x:v>Directly concerns Europe/EU and research, technology, innovation, funding or science policy.</x:v>
      </x:c>
      <x:c r="L184" s="14" t="str">
        <x:v>Direct EU relevance</x:v>
      </x:c>
      <x:c r="M184" s="14" t="str">
        <x:v>Peer-reviewed article</x:v>
      </x:c>
      <x:c r="N184" s="14" t="str">
        <x:v>Tier 2 broad journal</x:v>
      </x:c>
      <x:c r="O184" s="14" t="str">
        <x:v>https://doi.org/10.1080/2329194x.2026.2688199</x:v>
      </x:c>
      <x:c r="P184" s="14" t="str"/>
      <x:c r="Q184" s="16" t="n">
        <x:v>32</x:v>
      </x:c>
      <x:c r="R184" s="16" t="n">
        <x:v>25</x:v>
      </x:c>
      <x:c r="S184" s="16" t="n">
        <x:v>15</x:v>
      </x:c>
      <x:c r="T184" s="16" t="n">
        <x:v>5</x:v>
      </x:c>
    </x:row>
    <x:row r="185" ht="48" customHeight="1">
      <x:c r="A185" s="16" t="n">
        <x:f>ROW()-1</x:f>
        <x:v>184</x:v>
      </x:c>
      <x:c r="B185" s="16" t="n">
        <x:f>SUM(Q185:T185)</x:f>
        <x:v>77</x:v>
      </x:c>
      <x:c r="C185" s="17" t="str">
        <x:f>IF(B185&gt;=93,"A — Highest authority",IF(B185&gt;=85,"B — Very strong",IF(B185&gt;=75,"C — Strong",IF(B185&gt;=65,"D — Useful with context","E — Supporting / lower weight"))))</x:f>
        <x:v>C — Strong</x:v>
      </x:c>
      <x:c r="D185" s="14" t="str">
        <x:v>Military AI and Intellectual Property Rights: Global Norms, International Treaties, and Emerging Legal Challenges</x:v>
      </x:c>
      <x:c r="E185" s="20" t="n">
        <x:v>46197</x:v>
      </x:c>
      <x:c r="F185" s="17" t="str">
        <x:v>A</x:v>
      </x:c>
      <x:c r="G185" s="14" t="str">
        <x:v>International Journal for Research in Applied Science and Engineering Technology</x:v>
      </x:c>
      <x:c r="H185" s="14" t="str"/>
      <x:c r="I185" s="14" t="str">
        <x:v>Chandan G</x:v>
      </x:c>
      <x:c r="J185" s="14" t="str">
        <x:v>Peer-reviewed journal. Useful peer-reviewed evidence; journal standing varies and is not treated as top-tier by default.</x:v>
      </x:c>
      <x:c r="K185" s="14" t="str">
        <x:v>Directly concerns Europe/EU and research, technology, innovation, funding or science policy.</x:v>
      </x:c>
      <x:c r="L185" s="14" t="str">
        <x:v>Direct EU relevance</x:v>
      </x:c>
      <x:c r="M185" s="14" t="str">
        <x:v>Peer-reviewed article</x:v>
      </x:c>
      <x:c r="N185" s="14" t="str">
        <x:v>Tier 2 broad journal</x:v>
      </x:c>
      <x:c r="O185" s="14" t="str">
        <x:v>https://doi.org/10.22214/ijraset.2026.83855</x:v>
      </x:c>
      <x:c r="P185" s="14" t="str"/>
      <x:c r="Q185" s="16" t="n">
        <x:v>32</x:v>
      </x:c>
      <x:c r="R185" s="16" t="n">
        <x:v>25</x:v>
      </x:c>
      <x:c r="S185" s="16" t="n">
        <x:v>15</x:v>
      </x:c>
      <x:c r="T185" s="16" t="n">
        <x:v>5</x:v>
      </x:c>
    </x:row>
    <x:row r="186" ht="48" customHeight="1">
      <x:c r="A186" s="16" t="n">
        <x:f>ROW()-1</x:f>
        <x:v>185</x:v>
      </x:c>
      <x:c r="B186" s="16" t="n">
        <x:f>SUM(Q186:T186)</x:f>
        <x:v>77</x:v>
      </x:c>
      <x:c r="C186" s="17" t="str">
        <x:f>IF(B186&gt;=93,"A — Highest authority",IF(B186&gt;=85,"B — Very strong",IF(B186&gt;=75,"C — Strong",IF(B186&gt;=65,"D — Useful with context","E — Supporting / lower weight"))))</x:f>
        <x:v>C — Strong</x:v>
      </x:c>
      <x:c r="D186" s="14" t="str">
        <x:v>Importance of Taiwan for Western World: An Analysis</x:v>
      </x:c>
      <x:c r="E186" s="20" t="n">
        <x:v>46196</x:v>
      </x:c>
      <x:c r="F186" s="17" t="str">
        <x:v>A</x:v>
      </x:c>
      <x:c r="G186" s="14" t="str">
        <x:v>Global Foreign Policies Review</x:v>
      </x:c>
      <x:c r="H186" s="14" t="str"/>
      <x:c r="I186" s="14" t="str">
        <x:v>Umar Farooq, Urwa Nasir, Anwar Ali</x:v>
      </x:c>
      <x:c r="J186" s="14" t="str">
        <x:v>Peer-reviewed journal. Useful peer-reviewed evidence; journal standing varies and is not treated as top-tier by default.</x:v>
      </x:c>
      <x:c r="K186" s="14" t="str">
        <x:v>Directly concerns Europe/EU and research, technology, innovation, funding or science policy.</x:v>
      </x:c>
      <x:c r="L186" s="14" t="str">
        <x:v>Direct EU relevance</x:v>
      </x:c>
      <x:c r="M186" s="14" t="str">
        <x:v>Peer-reviewed article</x:v>
      </x:c>
      <x:c r="N186" s="14" t="str">
        <x:v>Tier 2 broad journal</x:v>
      </x:c>
      <x:c r="O186" s="14" t="str">
        <x:v>https://doi.org/10.31703/gfpr.2026(ix-ii).05</x:v>
      </x:c>
      <x:c r="P186" s="14" t="str"/>
      <x:c r="Q186" s="16" t="n">
        <x:v>32</x:v>
      </x:c>
      <x:c r="R186" s="16" t="n">
        <x:v>25</x:v>
      </x:c>
      <x:c r="S186" s="16" t="n">
        <x:v>15</x:v>
      </x:c>
      <x:c r="T186" s="16" t="n">
        <x:v>5</x:v>
      </x:c>
    </x:row>
    <x:row r="187" ht="48" customHeight="1">
      <x:c r="A187" s="16" t="n">
        <x:f>ROW()-1</x:f>
        <x:v>186</x:v>
      </x:c>
      <x:c r="B187" s="16" t="n">
        <x:f>SUM(Q187:T187)</x:f>
        <x:v>77</x:v>
      </x:c>
      <x:c r="C187" s="17" t="str">
        <x:f>IF(B187&gt;=93,"A — Highest authority",IF(B187&gt;=85,"B — Very strong",IF(B187&gt;=75,"C — Strong",IF(B187&gt;=65,"D — Useful with context","E — Supporting / lower weight"))))</x:f>
        <x:v>C — Strong</x:v>
      </x:c>
      <x:c r="D187" s="14" t="str">
        <x:v>Reviewing former critical analyses of subsidy policies in Europe</x:v>
      </x:c>
      <x:c r="E187" s="20" t="n">
        <x:v>46196</x:v>
      </x:c>
      <x:c r="F187" s="17" t="str">
        <x:v>A</x:v>
      </x:c>
      <x:c r="G187" s="14" t="str">
        <x:v>Köz-gazdaság</x:v>
      </x:c>
      <x:c r="H187" s="14" t="str"/>
      <x:c r="I187" s="14" t="str">
        <x:v>György Vas</x:v>
      </x:c>
      <x:c r="J187" s="14" t="str">
        <x:v>Peer-reviewed journal. Useful peer-reviewed evidence; journal standing varies and is not treated as top-tier by default.</x:v>
      </x:c>
      <x:c r="K187" s="14" t="str">
        <x:v>Directly concerns Europe/EU and research, technology, innovation, funding or science policy.</x:v>
      </x:c>
      <x:c r="L187" s="14" t="str">
        <x:v>Direct EU relevance</x:v>
      </x:c>
      <x:c r="M187" s="14" t="str">
        <x:v>Peer-reviewed article</x:v>
      </x:c>
      <x:c r="N187" s="14" t="str">
        <x:v>Tier 2 broad journal</x:v>
      </x:c>
      <x:c r="O187" s="14" t="str">
        <x:v>https://doi.org/10.14267/retp2026.02.06</x:v>
      </x:c>
      <x:c r="P187" s="14" t="str"/>
      <x:c r="Q187" s="16" t="n">
        <x:v>32</x:v>
      </x:c>
      <x:c r="R187" s="16" t="n">
        <x:v>25</x:v>
      </x:c>
      <x:c r="S187" s="16" t="n">
        <x:v>15</x:v>
      </x:c>
      <x:c r="T187" s="16" t="n">
        <x:v>5</x:v>
      </x:c>
    </x:row>
    <x:row r="188" ht="48" customHeight="1">
      <x:c r="A188" s="16" t="n">
        <x:f>ROW()-1</x:f>
        <x:v>187</x:v>
      </x:c>
      <x:c r="B188" s="16" t="n">
        <x:f>SUM(Q188:T188)</x:f>
        <x:v>77</x:v>
      </x:c>
      <x:c r="C188" s="17" t="str">
        <x:f>IF(B188&gt;=93,"A — Highest authority",IF(B188&gt;=85,"B — Very strong",IF(B188&gt;=75,"C — Strong",IF(B188&gt;=65,"D — Useful with context","E — Supporting / lower weight"))))</x:f>
        <x:v>C — Strong</x:v>
      </x:c>
      <x:c r="D188" s="14" t="str">
        <x:v>REFORMING THE INNOVATION ECOSYSTEM FOR NATIONAL SECURITY IN THE CONTEXT OF THE USA’S EXERCISE DESH-3 AND THE EVOLUTION OF THE CONFLICT IN UKRAINE: ADAPTATION OF THE GUIPRR MODEL IN THE ACADEMY OF ROMANIAN SCIENTISTS – MILITARY SCIENCES SECTION</x:v>
      </x:c>
      <x:c r="E188" s="20" t="n">
        <x:v>46195</x:v>
      </x:c>
      <x:c r="F188" s="17" t="str">
        <x:v>A</x:v>
      </x:c>
      <x:c r="G188" s="14" t="str">
        <x:v>Annals of the Academy of Romanian Scientists Series on Military Sciences</x:v>
      </x:c>
      <x:c r="H188" s="14" t="str"/>
      <x:c r="I188" s="14" t="str">
        <x:v>Sorin TOPOR</x:v>
      </x:c>
      <x:c r="J188" s="14" t="str">
        <x:v>Peer-reviewed journal. Useful peer-reviewed evidence; journal standing varies and is not treated as top-tier by default.</x:v>
      </x:c>
      <x:c r="K188" s="14" t="str">
        <x:v>Directly concerns Europe/EU and research, technology, innovation, funding or science policy.</x:v>
      </x:c>
      <x:c r="L188" s="14" t="str">
        <x:v>Direct EU relevance</x:v>
      </x:c>
      <x:c r="M188" s="14" t="str">
        <x:v>Peer-reviewed article</x:v>
      </x:c>
      <x:c r="N188" s="14" t="str">
        <x:v>Tier 2 broad journal</x:v>
      </x:c>
      <x:c r="O188" s="14" t="str">
        <x:v>https://doi.org/10.56082/annalsarscimilit.2026.2.52</x:v>
      </x:c>
      <x:c r="P188" s="14" t="str"/>
      <x:c r="Q188" s="16" t="n">
        <x:v>32</x:v>
      </x:c>
      <x:c r="R188" s="16" t="n">
        <x:v>25</x:v>
      </x:c>
      <x:c r="S188" s="16" t="n">
        <x:v>15</x:v>
      </x:c>
      <x:c r="T188" s="16" t="n">
        <x:v>5</x:v>
      </x:c>
    </x:row>
    <x:row r="189" ht="48" customHeight="1">
      <x:c r="A189" s="16" t="n">
        <x:f>ROW()-1</x:f>
        <x:v>188</x:v>
      </x:c>
      <x:c r="B189" s="16" t="n">
        <x:f>SUM(Q189:T189)</x:f>
        <x:v>77</x:v>
      </x:c>
      <x:c r="C189" s="17" t="str">
        <x:f>IF(B189&gt;=93,"A — Highest authority",IF(B189&gt;=85,"B — Very strong",IF(B189&gt;=75,"C — Strong",IF(B189&gt;=65,"D — Useful with context","E — Supporting / lower weight"))))</x:f>
        <x:v>C — Strong</x:v>
      </x:c>
      <x:c r="D189" s="14" t="str">
        <x:v>The Ukraine and Eastern Europe Model in Local Economic Improvement and Cultivation Strategy</x:v>
      </x:c>
      <x:c r="E189" s="20" t="n">
        <x:v>46195</x:v>
      </x:c>
      <x:c r="F189" s="17" t="str">
        <x:v>A</x:v>
      </x:c>
      <x:c r="G189" s="14" t="str">
        <x:v>Scientific Work</x:v>
      </x:c>
      <x:c r="H189" s="14" t="str"/>
      <x:c r="I189" s="14" t="str">
        <x:v>Olha Dzhyhora, Sergii Golubytskyi, Serhii Kalnyi, Vitalii Kostiuk, Yuliia Klius</x:v>
      </x:c>
      <x:c r="J189" s="14" t="str">
        <x:v>Peer-reviewed journal. Useful peer-reviewed evidence; journal standing varies and is not treated as top-tier by default.</x:v>
      </x:c>
      <x:c r="K189" s="14" t="str">
        <x:v>Directly concerns Europe/EU and research, technology, innovation, funding or science policy.</x:v>
      </x:c>
      <x:c r="L189" s="14" t="str">
        <x:v>Direct EU relevance</x:v>
      </x:c>
      <x:c r="M189" s="14" t="str">
        <x:v>Peer-reviewed article</x:v>
      </x:c>
      <x:c r="N189" s="14" t="str">
        <x:v>Tier 2 broad journal</x:v>
      </x:c>
      <x:c r="O189" s="14" t="str">
        <x:v>https://doi.org/10.36719/2663-4619/128/99-117</x:v>
      </x:c>
      <x:c r="P189" s="14" t="str"/>
      <x:c r="Q189" s="16" t="n">
        <x:v>32</x:v>
      </x:c>
      <x:c r="R189" s="16" t="n">
        <x:v>25</x:v>
      </x:c>
      <x:c r="S189" s="16" t="n">
        <x:v>15</x:v>
      </x:c>
      <x:c r="T189" s="16" t="n">
        <x:v>5</x:v>
      </x:c>
    </x:row>
    <x:row r="190" ht="48" customHeight="1">
      <x:c r="A190" s="16" t="n">
        <x:f>ROW()-1</x:f>
        <x:v>189</x:v>
      </x:c>
      <x:c r="B190" s="16" t="n">
        <x:f>SUM(Q190:T190)</x:f>
        <x:v>77</x:v>
      </x:c>
      <x:c r="C190" s="17" t="str">
        <x:f>IF(B190&gt;=93,"A — Highest authority",IF(B190&gt;=85,"B — Very strong",IF(B190&gt;=75,"C — Strong",IF(B190&gt;=65,"D — Useful with context","E — Supporting / lower weight"))))</x:f>
        <x:v>C — Strong</x:v>
      </x:c>
      <x:c r="D190" s="14" t="str">
        <x:v>Bulgaria’s Readiness for the CRMA: A State Administration Perspective on Institutional, Technological and Socio-Economic Factors</x:v>
      </x:c>
      <x:c r="E190" s="20" t="n">
        <x:v>46192</x:v>
      </x:c>
      <x:c r="F190" s="17" t="str">
        <x:v>A</x:v>
      </x:c>
      <x:c r="G190" s="14" t="str">
        <x:v>Economic Studies (Ikonomicheski Izsledvania)</x:v>
      </x:c>
      <x:c r="H190" s="14" t="str"/>
      <x:c r="I190" s="14" t="str">
        <x:v>Ivaylo Yankov</x:v>
      </x:c>
      <x:c r="J190" s="14" t="str">
        <x:v>Peer-reviewed journal. Useful peer-reviewed evidence; journal standing varies and is not treated as top-tier by default.</x:v>
      </x:c>
      <x:c r="K190" s="14" t="str">
        <x:v>Directly concerns Europe/EU and research, technology, innovation, funding or science policy.</x:v>
      </x:c>
      <x:c r="L190" s="14" t="str">
        <x:v>Direct EU relevance</x:v>
      </x:c>
      <x:c r="M190" s="14" t="str">
        <x:v>Peer-reviewed article</x:v>
      </x:c>
      <x:c r="N190" s="14" t="str">
        <x:v>Tier 2 broad journal</x:v>
      </x:c>
      <x:c r="O190" s="14" t="str">
        <x:v>https://doi.org/10.56497/esj260603</x:v>
      </x:c>
      <x:c r="P190" s="14" t="str"/>
      <x:c r="Q190" s="16" t="n">
        <x:v>32</x:v>
      </x:c>
      <x:c r="R190" s="16" t="n">
        <x:v>25</x:v>
      </x:c>
      <x:c r="S190" s="16" t="n">
        <x:v>15</x:v>
      </x:c>
      <x:c r="T190" s="16" t="n">
        <x:v>5</x:v>
      </x:c>
    </x:row>
    <x:row r="191" ht="48" customHeight="1">
      <x:c r="A191" s="16" t="n">
        <x:f>ROW()-1</x:f>
        <x:v>190</x:v>
      </x:c>
      <x:c r="B191" s="16" t="n">
        <x:f>SUM(Q191:T191)</x:f>
        <x:v>77</x:v>
      </x:c>
      <x:c r="C191" s="17" t="str">
        <x:f>IF(B191&gt;=93,"A — Highest authority",IF(B191&gt;=85,"B — Very strong",IF(B191&gt;=75,"C — Strong",IF(B191&gt;=65,"D — Useful with context","E — Supporting / lower weight"))))</x:f>
        <x:v>C — Strong</x:v>
      </x:c>
      <x:c r="D191" s="14" t="str">
        <x:v>MODEL OF EUROPEAN INTEGRATION OF R&amp;D INSTITUTIONS OF THE NAS OF UKRAINE IN THE CONTEXT OF UKRAINE’S INTEGRATION INTO THE EUROPEAN UNION</x:v>
      </x:c>
      <x:c r="E191" s="20" t="n">
        <x:v>46190</x:v>
      </x:c>
      <x:c r="F191" s="17" t="str">
        <x:v>A</x:v>
      </x:c>
      <x:c r="G191" s="14" t="str">
        <x:v>Science and Innovation</x:v>
      </x:c>
      <x:c r="H191" s="14" t="str"/>
      <x:c r="I191" s="14" t="str">
        <x:v>Iu. NIKITIN</x:v>
      </x:c>
      <x:c r="J191" s="14" t="str">
        <x:v>Peer-reviewed journal. Useful peer-reviewed evidence; journal standing varies and is not treated as top-tier by default.</x:v>
      </x:c>
      <x:c r="K191" s="14" t="str">
        <x:v>Directly concerns Europe/EU and research, technology, innovation, funding or science policy.</x:v>
      </x:c>
      <x:c r="L191" s="14" t="str">
        <x:v>Direct EU relevance</x:v>
      </x:c>
      <x:c r="M191" s="14" t="str">
        <x:v>Peer-reviewed article</x:v>
      </x:c>
      <x:c r="N191" s="14" t="str">
        <x:v>Tier 2 broad journal</x:v>
      </x:c>
      <x:c r="O191" s="14" t="str">
        <x:v>https://doi.org/10.15407/scine22.03.045</x:v>
      </x:c>
      <x:c r="P191" s="14" t="str"/>
      <x:c r="Q191" s="16" t="n">
        <x:v>32</x:v>
      </x:c>
      <x:c r="R191" s="16" t="n">
        <x:v>25</x:v>
      </x:c>
      <x:c r="S191" s="16" t="n">
        <x:v>15</x:v>
      </x:c>
      <x:c r="T191" s="16" t="n">
        <x:v>5</x:v>
      </x:c>
    </x:row>
    <x:row r="192" ht="48" customHeight="1">
      <x:c r="A192" s="16" t="n">
        <x:f>ROW()-1</x:f>
        <x:v>191</x:v>
      </x:c>
      <x:c r="B192" s="16" t="n">
        <x:f>SUM(Q192:T192)</x:f>
        <x:v>77</x:v>
      </x:c>
      <x:c r="C192" s="17" t="str">
        <x:f>IF(B192&gt;=93,"A — Highest authority",IF(B192&gt;=85,"B — Very strong",IF(B192&gt;=75,"C — Strong",IF(B192&gt;=65,"D — Useful with context","E — Supporting / lower weight"))))</x:f>
        <x:v>C — Strong</x:v>
      </x:c>
      <x:c r="D192" s="14" t="str">
        <x:v>AGRICULTURAL MARKET INFRASTRUCTURE AND MARKETING AND LOGISTICS ACTIVITIES OF EXPORT-ORIENTED ENTERPRISES</x:v>
      </x:c>
      <x:c r="E192" s="20" t="n">
        <x:v>46183</x:v>
      </x:c>
      <x:c r="F192" s="17" t="str">
        <x:v>A</x:v>
      </x:c>
      <x:c r="G192" s="14" t="str">
        <x:v>Energy saving. Power engineering. Energy audit.</x:v>
      </x:c>
      <x:c r="H192" s="14" t="str"/>
      <x:c r="I192" s="14" t="str">
        <x:v>V. Petrushov, S. Selikhov</x:v>
      </x:c>
      <x:c r="J192" s="14" t="str">
        <x:v>Peer-reviewed journal. Useful peer-reviewed evidence; journal standing varies and is not treated as top-tier by default.</x:v>
      </x:c>
      <x:c r="K192" s="14" t="str">
        <x:v>Directly concerns Europe/EU and research, technology, innovation, funding or science policy.</x:v>
      </x:c>
      <x:c r="L192" s="14" t="str">
        <x:v>Direct EU relevance</x:v>
      </x:c>
      <x:c r="M192" s="14" t="str">
        <x:v>Peer-reviewed article</x:v>
      </x:c>
      <x:c r="N192" s="14" t="str">
        <x:v>Tier 2 broad journal</x:v>
      </x:c>
      <x:c r="O192" s="14" t="str">
        <x:v>https://doi.org/10.20998/2313-8890.2026.05.13</x:v>
      </x:c>
      <x:c r="P192" s="14" t="str"/>
      <x:c r="Q192" s="16" t="n">
        <x:v>32</x:v>
      </x:c>
      <x:c r="R192" s="16" t="n">
        <x:v>25</x:v>
      </x:c>
      <x:c r="S192" s="16" t="n">
        <x:v>15</x:v>
      </x:c>
      <x:c r="T192" s="16" t="n">
        <x:v>5</x:v>
      </x:c>
    </x:row>
    <x:row r="193" ht="48" customHeight="1">
      <x:c r="A193" s="16" t="n">
        <x:f>ROW()-1</x:f>
        <x:v>192</x:v>
      </x:c>
      <x:c r="B193" s="16" t="n">
        <x:f>SUM(Q193:T193)</x:f>
        <x:v>77</x:v>
      </x:c>
      <x:c r="C193" s="17" t="str">
        <x:f>IF(B193&gt;=93,"A — Highest authority",IF(B193&gt;=85,"B — Very strong",IF(B193&gt;=75,"C — Strong",IF(B193&gt;=65,"D — Useful with context","E — Supporting / lower weight"))))</x:f>
        <x:v>C — Strong</x:v>
      </x:c>
      <x:c r="D193" s="14" t="str">
        <x:v>Professional development of educational researchers in cross-sector and cross-border mobility: evidence from a reflexive study of the EdTech Talents project</x:v>
      </x:c>
      <x:c r="E193" s="20" t="n">
        <x:v>46183</x:v>
      </x:c>
      <x:c r="F193" s="17" t="str">
        <x:v>A</x:v>
      </x:c>
      <x:c r="G193" s="14" t="str">
        <x:v>Higher Education, Skills and Work-Based Learning</x:v>
      </x:c>
      <x:c r="H193" s="14" t="str"/>
      <x:c r="I193" s="14" t="str">
        <x:v>Janika Leoste, Larissa Jõgi, Ugljesa Marjanovic, Slavko Rakic, Piedad Tolmos</x:v>
      </x:c>
      <x:c r="J193" s="14" t="str">
        <x:v>Peer-reviewed journal. Useful peer-reviewed evidence; journal standing varies and is not treated as top-tier by default.</x:v>
      </x:c>
      <x:c r="K193" s="14" t="str">
        <x:v>Directly concerns Europe/EU and research, technology, innovation, funding or science policy.</x:v>
      </x:c>
      <x:c r="L193" s="14" t="str">
        <x:v>Direct EU relevance</x:v>
      </x:c>
      <x:c r="M193" s="14" t="str">
        <x:v>Peer-reviewed article</x:v>
      </x:c>
      <x:c r="N193" s="14" t="str">
        <x:v>Tier 2 broad journal</x:v>
      </x:c>
      <x:c r="O193" s="14" t="str">
        <x:v>https://doi.org/10.1108/heswbl-08-2025-0364</x:v>
      </x:c>
      <x:c r="P193" s="14" t="str"/>
      <x:c r="Q193" s="16" t="n">
        <x:v>32</x:v>
      </x:c>
      <x:c r="R193" s="16" t="n">
        <x:v>25</x:v>
      </x:c>
      <x:c r="S193" s="16" t="n">
        <x:v>15</x:v>
      </x:c>
      <x:c r="T193" s="16" t="n">
        <x:v>5</x:v>
      </x:c>
    </x:row>
    <x:row r="194" ht="48" customHeight="1">
      <x:c r="A194" s="16" t="n">
        <x:f>ROW()-1</x:f>
        <x:v>193</x:v>
      </x:c>
      <x:c r="B194" s="16" t="n">
        <x:f>SUM(Q194:T194)</x:f>
        <x:v>77</x:v>
      </x:c>
      <x:c r="C194" s="17" t="str">
        <x:f>IF(B194&gt;=93,"A — Highest authority",IF(B194&gt;=85,"B — Very strong",IF(B194&gt;=75,"C — Strong",IF(B194&gt;=65,"D — Useful with context","E — Supporting / lower weight"))))</x:f>
        <x:v>C — Strong</x:v>
      </x:c>
      <x:c r="D194" s="14" t="str">
        <x:v>PATENT TROLLING: THE NATURE OF THE PHENOMENON, MECHANISMS OF INFLUENCE ON THE INNOVATIVE DEVELOPMENT OF TECHNOLOGY COMPANIES, AND COUNTERMEASURES</x:v>
      </x:c>
      <x:c r="E194" s="20" t="n">
        <x:v>46181</x:v>
      </x:c>
      <x:c r="F194" s="17" t="str">
        <x:v>A</x:v>
      </x:c>
      <x:c r="G194" s="14" t="str">
        <x:v>Economic Scope</x:v>
      </x:c>
      <x:c r="H194" s="14" t="str"/>
      <x:c r="I194" s="14" t="str">
        <x:v>Lesia Sai, Maria Ivanchuk</x:v>
      </x:c>
      <x:c r="J194" s="14" t="str">
        <x:v>Peer-reviewed journal. Useful peer-reviewed evidence; journal standing varies and is not treated as top-tier by default.</x:v>
      </x:c>
      <x:c r="K194" s="14" t="str">
        <x:v>Directly concerns Europe/EU and research, technology, innovation, funding or science policy.</x:v>
      </x:c>
      <x:c r="L194" s="14" t="str">
        <x:v>Direct EU relevance</x:v>
      </x:c>
      <x:c r="M194" s="14" t="str">
        <x:v>Peer-reviewed article</x:v>
      </x:c>
      <x:c r="N194" s="14" t="str">
        <x:v>Tier 2 broad journal</x:v>
      </x:c>
      <x:c r="O194" s="14" t="str">
        <x:v>https://doi.org/10.30838/ep.213.230-237</x:v>
      </x:c>
      <x:c r="P194" s="14" t="str"/>
      <x:c r="Q194" s="16" t="n">
        <x:v>32</x:v>
      </x:c>
      <x:c r="R194" s="16" t="n">
        <x:v>25</x:v>
      </x:c>
      <x:c r="S194" s="16" t="n">
        <x:v>15</x:v>
      </x:c>
      <x:c r="T194" s="16" t="n">
        <x:v>5</x:v>
      </x:c>
    </x:row>
    <x:row r="195" ht="48" customHeight="1">
      <x:c r="A195" s="16" t="n">
        <x:f>ROW()-1</x:f>
        <x:v>194</x:v>
      </x:c>
      <x:c r="B195" s="16" t="n">
        <x:f>SUM(Q195:T195)</x:f>
        <x:v>77</x:v>
      </x:c>
      <x:c r="C195" s="17" t="str">
        <x:f>IF(B195&gt;=93,"A — Highest authority",IF(B195&gt;=85,"B — Very strong",IF(B195&gt;=75,"C — Strong",IF(B195&gt;=65,"D — Useful with context","E — Supporting / lower weight"))))</x:f>
        <x:v>C — Strong</x:v>
      </x:c>
      <x:c r="D195" s="14" t="str">
        <x:v>THE IMPACT OF EU, US, AND CHINESE TRADE POLICIES ON GLOBAL ELECTRIC VEHICLE SALES</x:v>
      </x:c>
      <x:c r="E195" s="20" t="n">
        <x:v>46181</x:v>
      </x:c>
      <x:c r="F195" s="17" t="str">
        <x:v>A</x:v>
      </x:c>
      <x:c r="G195" s="14" t="str">
        <x:v>Economic Scope</x:v>
      </x:c>
      <x:c r="H195" s="14" t="str"/>
      <x:c r="I195" s="14" t="str">
        <x:v>Tetiana Miroshnychenko</x:v>
      </x:c>
      <x:c r="J195" s="14" t="str">
        <x:v>Peer-reviewed journal. Useful peer-reviewed evidence; journal standing varies and is not treated as top-tier by default.</x:v>
      </x:c>
      <x:c r="K195" s="14" t="str">
        <x:v>Directly concerns Europe/EU and research, technology, innovation, funding or science policy.</x:v>
      </x:c>
      <x:c r="L195" s="14" t="str">
        <x:v>Direct EU relevance</x:v>
      </x:c>
      <x:c r="M195" s="14" t="str">
        <x:v>Peer-reviewed article</x:v>
      </x:c>
      <x:c r="N195" s="14" t="str">
        <x:v>Tier 2 broad journal</x:v>
      </x:c>
      <x:c r="O195" s="14" t="str">
        <x:v>https://doi.org/10.30838/ep.213.20-26</x:v>
      </x:c>
      <x:c r="P195" s="14" t="str"/>
      <x:c r="Q195" s="16" t="n">
        <x:v>32</x:v>
      </x:c>
      <x:c r="R195" s="16" t="n">
        <x:v>25</x:v>
      </x:c>
      <x:c r="S195" s="16" t="n">
        <x:v>15</x:v>
      </x:c>
      <x:c r="T195" s="16" t="n">
        <x:v>5</x:v>
      </x:c>
    </x:row>
    <x:row r="196" ht="48" customHeight="1">
      <x:c r="A196" s="16" t="n">
        <x:f>ROW()-1</x:f>
        <x:v>195</x:v>
      </x:c>
      <x:c r="B196" s="16" t="n">
        <x:f>SUM(Q196:T196)</x:f>
        <x:v>77</x:v>
      </x:c>
      <x:c r="C196" s="17" t="str">
        <x:f>IF(B196&gt;=93,"A — Highest authority",IF(B196&gt;=85,"B — Very strong",IF(B196&gt;=75,"C — Strong",IF(B196&gt;=65,"D — Useful with context","E — Supporting / lower weight"))))</x:f>
        <x:v>C — Strong</x:v>
      </x:c>
      <x:c r="D196" s="14" t="str">
        <x:v>Digital identity as payments infrastructure : Foundations, evolution, and research directions</x:v>
      </x:c>
      <x:c r="E196" s="20" t="n">
        <x:v>46174</x:v>
      </x:c>
      <x:c r="F196" s="17" t="str">
        <x:v>A</x:v>
      </x:c>
      <x:c r="G196" s="14" t="str">
        <x:v>Journal of Payments Strategy &amp; Systems</x:v>
      </x:c>
      <x:c r="H196" s="14" t="str"/>
      <x:c r="I196" s="14" t="str">
        <x:v>Mayank Taneja</x:v>
      </x:c>
      <x:c r="J196" s="14" t="str">
        <x:v>Peer-reviewed journal. Useful peer-reviewed evidence; journal standing varies and is not treated as top-tier by default.</x:v>
      </x:c>
      <x:c r="K196" s="14" t="str">
        <x:v>Directly concerns Europe/EU and research, technology, innovation, funding or science policy.</x:v>
      </x:c>
      <x:c r="L196" s="14" t="str">
        <x:v>Direct EU relevance</x:v>
      </x:c>
      <x:c r="M196" s="14" t="str">
        <x:v>Peer-reviewed article</x:v>
      </x:c>
      <x:c r="N196" s="14" t="str">
        <x:v>Tier 2 broad journal</x:v>
      </x:c>
      <x:c r="O196" s="14" t="str">
        <x:v>https://doi.org/10.69554/pgcn7652</x:v>
      </x:c>
      <x:c r="P196" s="14" t="str"/>
      <x:c r="Q196" s="16" t="n">
        <x:v>32</x:v>
      </x:c>
      <x:c r="R196" s="16" t="n">
        <x:v>25</x:v>
      </x:c>
      <x:c r="S196" s="16" t="n">
        <x:v>15</x:v>
      </x:c>
      <x:c r="T196" s="16" t="n">
        <x:v>5</x:v>
      </x:c>
    </x:row>
    <x:row r="197" ht="48" customHeight="1">
      <x:c r="A197" s="16" t="n">
        <x:f>ROW()-1</x:f>
        <x:v>196</x:v>
      </x:c>
      <x:c r="B197" s="16" t="n">
        <x:f>SUM(Q197:T197)</x:f>
        <x:v>77</x:v>
      </x:c>
      <x:c r="C197" s="17" t="str">
        <x:f>IF(B197&gt;=93,"A — Highest authority",IF(B197&gt;=85,"B — Very strong",IF(B197&gt;=75,"C — Strong",IF(B197&gt;=65,"D — Useful with context","E — Supporting / lower weight"))))</x:f>
        <x:v>C — Strong</x:v>
      </x:c>
      <x:c r="D197" s="14" t="str">
        <x:v>New EU Industrial Policy Trends as a Basis for Developing a Resilient Industrial Workforce Provision System</x:v>
      </x:c>
      <x:c r="E197" s="20" t="n">
        <x:v>46174</x:v>
      </x:c>
      <x:c r="F197" s="17" t="str">
        <x:v>A</x:v>
      </x:c>
      <x:c r="G197" s="14" t="str">
        <x:v>European Journal of Sustainable Development</x:v>
      </x:c>
      <x:c r="H197" s="14" t="str"/>
      <x:c r="I197" s="14" t="str">
        <x:v>Olga Novikova, Oksana Pankova, Yaroslav OSTAFIYCHUK, Oleksandr Kasperovich, Nadiya Azmuk, Олена Хандій, Maxym Buchniev</x:v>
      </x:c>
      <x:c r="J197" s="14" t="str">
        <x:v>Peer-reviewed journal. Useful peer-reviewed evidence; journal standing varies and is not treated as top-tier by default.</x:v>
      </x:c>
      <x:c r="K197" s="14" t="str">
        <x:v>Directly concerns Europe/EU and research, technology, innovation, funding or science policy.</x:v>
      </x:c>
      <x:c r="L197" s="14" t="str">
        <x:v>Direct EU relevance</x:v>
      </x:c>
      <x:c r="M197" s="14" t="str">
        <x:v>Peer-reviewed article</x:v>
      </x:c>
      <x:c r="N197" s="14" t="str">
        <x:v>Tier 2 broad journal</x:v>
      </x:c>
      <x:c r="O197" s="14" t="str">
        <x:v>https://doi.org/10.14207/ejsd.2026.v15n2p261</x:v>
      </x:c>
      <x:c r="P197" s="14" t="str"/>
      <x:c r="Q197" s="16" t="n">
        <x:v>32</x:v>
      </x:c>
      <x:c r="R197" s="16" t="n">
        <x:v>25</x:v>
      </x:c>
      <x:c r="S197" s="16" t="n">
        <x:v>15</x:v>
      </x:c>
      <x:c r="T197" s="16" t="n">
        <x:v>5</x:v>
      </x:c>
    </x:row>
    <x:row r="198" ht="48" customHeight="1">
      <x:c r="A198" s="16" t="n">
        <x:f>ROW()-1</x:f>
        <x:v>197</x:v>
      </x:c>
      <x:c r="B198" s="16" t="n">
        <x:f>SUM(Q198:T198)</x:f>
        <x:v>77</x:v>
      </x:c>
      <x:c r="C198" s="17" t="str">
        <x:f>IF(B198&gt;=93,"A — Highest authority",IF(B198&gt;=85,"B — Very strong",IF(B198&gt;=75,"C — Strong",IF(B198&gt;=65,"D — Useful with context","E — Supporting / lower weight"))))</x:f>
        <x:v>C — Strong</x:v>
      </x:c>
      <x:c r="D198" s="14" t="str">
        <x:v>Top 10 risks for mining companies extracting critical materials in a navi environment</x:v>
      </x:c>
      <x:c r="E198" s="20" t="n">
        <x:v>46174</x:v>
      </x:c>
      <x:c r="F198" s="17" t="str">
        <x:v>A</x:v>
      </x:c>
      <x:c r="G198" s="14" t="str">
        <x:v>Economic Herald of SHEI USUCT</x:v>
      </x:c>
      <x:c r="H198" s="14" t="str"/>
      <x:c r="I198" s="14" t="str">
        <x:v>Maryna Ivanova, S. О. Pomohaiev</x:v>
      </x:c>
      <x:c r="J198" s="14" t="str">
        <x:v>Peer-reviewed journal. Useful peer-reviewed evidence; journal standing varies and is not treated as top-tier by default.</x:v>
      </x:c>
      <x:c r="K198" s="14" t="str">
        <x:v>Directly concerns Europe/EU and research, technology, innovation, funding or science policy.</x:v>
      </x:c>
      <x:c r="L198" s="14" t="str">
        <x:v>Direct EU relevance</x:v>
      </x:c>
      <x:c r="M198" s="14" t="str">
        <x:v>Peer-reviewed article</x:v>
      </x:c>
      <x:c r="N198" s="14" t="str">
        <x:v>Tier 2 broad journal</x:v>
      </x:c>
      <x:c r="O198" s="14" t="str">
        <x:v>https://doi.org/10.32434/2415-3974-2026-23-1-85-96</x:v>
      </x:c>
      <x:c r="P198" s="14" t="str"/>
      <x:c r="Q198" s="16" t="n">
        <x:v>32</x:v>
      </x:c>
      <x:c r="R198" s="16" t="n">
        <x:v>25</x:v>
      </x:c>
      <x:c r="S198" s="16" t="n">
        <x:v>15</x:v>
      </x:c>
      <x:c r="T198" s="16" t="n">
        <x:v>5</x:v>
      </x:c>
    </x:row>
    <x:row r="199" ht="48" customHeight="1">
      <x:c r="A199" s="16" t="n">
        <x:f>ROW()-1</x:f>
        <x:v>198</x:v>
      </x:c>
      <x:c r="B199" s="16" t="n">
        <x:f>SUM(Q199:T199)</x:f>
        <x:v>77</x:v>
      </x:c>
      <x:c r="C199" s="17" t="str">
        <x:f>IF(B199&gt;=93,"A — Highest authority",IF(B199&gt;=85,"B — Very strong",IF(B199&gt;=75,"C — Strong",IF(B199&gt;=65,"D — Useful with context","E — Supporting / lower weight"))))</x:f>
        <x:v>C — Strong</x:v>
      </x:c>
      <x:c r="D199" s="14" t="str">
        <x:v>Comparative assessment of strategic resilience of integration blocs amid global economic fragmentation</x:v>
      </x:c>
      <x:c r="E199" s="20" t="n">
        <x:v>46172</x:v>
      </x:c>
      <x:c r="F199" s="17" t="str">
        <x:v>A</x:v>
      </x:c>
      <x:c r="G199" s="14" t="str">
        <x:v>Vestnik Universiteta</x:v>
      </x:c>
      <x:c r="H199" s="14" t="str"/>
      <x:c r="I199" s="14" t="str">
        <x:v>A. E. Chikova</x:v>
      </x:c>
      <x:c r="J199" s="14" t="str">
        <x:v>Peer-reviewed journal. Useful peer-reviewed evidence; journal standing varies and is not treated as top-tier by default.</x:v>
      </x:c>
      <x:c r="K199" s="14" t="str">
        <x:v>Directly concerns Europe/EU and research, technology, innovation, funding or science policy.</x:v>
      </x:c>
      <x:c r="L199" s="14" t="str">
        <x:v>Direct EU relevance</x:v>
      </x:c>
      <x:c r="M199" s="14" t="str">
        <x:v>Peer-reviewed article</x:v>
      </x:c>
      <x:c r="N199" s="14" t="str">
        <x:v>Tier 2 broad journal</x:v>
      </x:c>
      <x:c r="O199" s="14" t="str">
        <x:v>https://doi.org/10.26425/1816-4277-2026-3-199-211</x:v>
      </x:c>
      <x:c r="P199" s="14" t="str"/>
      <x:c r="Q199" s="16" t="n">
        <x:v>32</x:v>
      </x:c>
      <x:c r="R199" s="16" t="n">
        <x:v>25</x:v>
      </x:c>
      <x:c r="S199" s="16" t="n">
        <x:v>15</x:v>
      </x:c>
      <x:c r="T199" s="16" t="n">
        <x:v>5</x:v>
      </x:c>
    </x:row>
    <x:row r="200" ht="48" customHeight="1">
      <x:c r="A200" s="16" t="n">
        <x:f>ROW()-1</x:f>
        <x:v>199</x:v>
      </x:c>
      <x:c r="B200" s="16" t="n">
        <x:f>SUM(Q200:T200)</x:f>
        <x:v>77</x:v>
      </x:c>
      <x:c r="C200" s="17" t="str">
        <x:f>IF(B200&gt;=93,"A — Highest authority",IF(B200&gt;=85,"B — Very strong",IF(B200&gt;=75,"C — Strong",IF(B200&gt;=65,"D — Useful with context","E — Supporting / lower weight"))))</x:f>
        <x:v>C — Strong</x:v>
      </x:c>
      <x:c r="D200" s="14" t="str">
        <x:v>EUROPEAN CHIPS ACT 2.0: STRATEGIC AUTONOMY AND TECHNOLOGICAL LEADERSHIP OF THE EU IN THE GLOBAL SEMICONDUCTOR ECOSYSTEM</x:v>
      </x:c>
      <x:c r="E200" s="20" t="n">
        <x:v>46172</x:v>
      </x:c>
      <x:c r="F200" s="17" t="str">
        <x:v>A</x:v>
      </x:c>
      <x:c r="G200" s="14" t="str">
        <x:v>Scientific notes of Taurida National V.I. Vernadsky University. Series: Juridical Sciences</x:v>
      </x:c>
      <x:c r="H200" s="14" t="str"/>
      <x:c r="I200" s="14" t="str">
        <x:v>O. K. Tsyren</x:v>
      </x:c>
      <x:c r="J200" s="14" t="str">
        <x:v>Peer-reviewed journal. Useful peer-reviewed evidence; journal standing varies and is not treated as top-tier by default.</x:v>
      </x:c>
      <x:c r="K200" s="14" t="str">
        <x:v>Directly concerns Europe/EU and research, technology, innovation, funding or science policy.</x:v>
      </x:c>
      <x:c r="L200" s="14" t="str">
        <x:v>Direct EU relevance</x:v>
      </x:c>
      <x:c r="M200" s="14" t="str">
        <x:v>Peer-reviewed article</x:v>
      </x:c>
      <x:c r="N200" s="14" t="str">
        <x:v>Tier 2 broad journal</x:v>
      </x:c>
      <x:c r="O200" s="14" t="str">
        <x:v>https://doi.org/10.32782/tnu-2707-0581/2026.3/10</x:v>
      </x:c>
      <x:c r="P200" s="14" t="str"/>
      <x:c r="Q200" s="16" t="n">
        <x:v>32</x:v>
      </x:c>
      <x:c r="R200" s="16" t="n">
        <x:v>25</x:v>
      </x:c>
      <x:c r="S200" s="16" t="n">
        <x:v>15</x:v>
      </x:c>
      <x:c r="T200" s="16" t="n">
        <x:v>5</x:v>
      </x:c>
    </x:row>
    <x:row r="201" ht="48" customHeight="1">
      <x:c r="A201" s="16" t="n">
        <x:f>ROW()-1</x:f>
        <x:v>200</x:v>
      </x:c>
      <x:c r="B201" s="16" t="n">
        <x:f>SUM(Q201:T201)</x:f>
        <x:v>77</x:v>
      </x:c>
      <x:c r="C201" s="17" t="str">
        <x:f>IF(B201&gt;=93,"A — Highest authority",IF(B201&gt;=85,"B — Very strong",IF(B201&gt;=75,"C — Strong",IF(B201&gt;=65,"D — Useful with context","E — Supporting / lower weight"))))</x:f>
        <x:v>C — Strong</x:v>
      </x:c>
      <x:c r="D201" s="14" t="str">
        <x:v>RESTRUCTURING UKRAINE’S ECONOMY THROUGH EU ACQUIS IMPLEMENTATION: A MULTI-DIMENSIONAL COMPETITIVENESS FRAMEWORK</x:v>
      </x:c>
      <x:c r="E201" s="20" t="n">
        <x:v>46171</x:v>
      </x:c>
      <x:c r="F201" s="17" t="str">
        <x:v>A</x:v>
      </x:c>
      <x:c r="G201" s="14" t="str">
        <x:v>Baltic Journal of Economic Studies</x:v>
      </x:c>
      <x:c r="H201" s="14" t="str"/>
      <x:c r="I201" s="14" t="str">
        <x:v>Olena Zayats</x:v>
      </x:c>
      <x:c r="J201" s="14" t="str">
        <x:v>Peer-reviewed journal. Useful peer-reviewed evidence; journal standing varies and is not treated as top-tier by default.</x:v>
      </x:c>
      <x:c r="K201" s="14" t="str">
        <x:v>Directly concerns Europe/EU and research, technology, innovation, funding or science policy.</x:v>
      </x:c>
      <x:c r="L201" s="14" t="str">
        <x:v>Direct EU relevance</x:v>
      </x:c>
      <x:c r="M201" s="14" t="str">
        <x:v>Peer-reviewed article</x:v>
      </x:c>
      <x:c r="N201" s="14" t="str">
        <x:v>Tier 2 broad journal</x:v>
      </x:c>
      <x:c r="O201" s="14" t="str">
        <x:v>https://doi.org/10.30525/2256-0742/2026-12-2-432-445</x:v>
      </x:c>
      <x:c r="P201" s="14" t="str"/>
      <x:c r="Q201" s="16" t="n">
        <x:v>32</x:v>
      </x:c>
      <x:c r="R201" s="16" t="n">
        <x:v>25</x:v>
      </x:c>
      <x:c r="S201" s="16" t="n">
        <x:v>15</x:v>
      </x:c>
      <x:c r="T201" s="16" t="n">
        <x:v>5</x:v>
      </x:c>
    </x:row>
    <x:row r="202" ht="48" customHeight="1">
      <x:c r="A202" s="16" t="n">
        <x:f>ROW()-1</x:f>
        <x:v>201</x:v>
      </x:c>
      <x:c r="B202" s="16" t="n">
        <x:f>SUM(Q202:T202)</x:f>
        <x:v>77</x:v>
      </x:c>
      <x:c r="C202" s="17" t="str">
        <x:f>IF(B202&gt;=93,"A — Highest authority",IF(B202&gt;=85,"B — Very strong",IF(B202&gt;=75,"C — Strong",IF(B202&gt;=65,"D — Useful with context","E — Supporting / lower weight"))))</x:f>
        <x:v>C — Strong</x:v>
      </x:c>
      <x:c r="D202" s="14" t="str">
        <x:v>Adaptation of Ukrainian legislation to EU standards in the field of scientific and technical cooperation in the agro-industrial complex</x:v>
      </x:c>
      <x:c r="E202" s="20" t="n">
        <x:v>46160</x:v>
      </x:c>
      <x:c r="F202" s="17" t="str">
        <x:v>A</x:v>
      </x:c>
      <x:c r="G202" s="14" t="str">
        <x:v>Law and innovative society</x:v>
      </x:c>
      <x:c r="H202" s="14" t="str"/>
      <x:c r="I202" s="14" t="str">
        <x:v>Anna Liubchych</x:v>
      </x:c>
      <x:c r="J202" s="14" t="str">
        <x:v>Peer-reviewed journal. Useful peer-reviewed evidence; journal standing varies and is not treated as top-tier by default.</x:v>
      </x:c>
      <x:c r="K202" s="14" t="str">
        <x:v>Directly concerns Europe/EU and research, technology, innovation, funding or science policy.</x:v>
      </x:c>
      <x:c r="L202" s="14" t="str">
        <x:v>Direct EU relevance</x:v>
      </x:c>
      <x:c r="M202" s="14" t="str">
        <x:v>Peer-reviewed article</x:v>
      </x:c>
      <x:c r="N202" s="14" t="str">
        <x:v>Tier 2 broad journal</x:v>
      </x:c>
      <x:c r="O202" s="14" t="str">
        <x:v>https://doi.org/10.37772/2309-9275-2026-1(26)-6</x:v>
      </x:c>
      <x:c r="P202" s="14" t="str"/>
      <x:c r="Q202" s="16" t="n">
        <x:v>32</x:v>
      </x:c>
      <x:c r="R202" s="16" t="n">
        <x:v>25</x:v>
      </x:c>
      <x:c r="S202" s="16" t="n">
        <x:v>15</x:v>
      </x:c>
      <x:c r="T202" s="16" t="n">
        <x:v>5</x:v>
      </x:c>
    </x:row>
    <x:row r="203" ht="48" customHeight="1">
      <x:c r="A203" s="16" t="n">
        <x:f>ROW()-1</x:f>
        <x:v>202</x:v>
      </x:c>
      <x:c r="B203" s="16" t="n">
        <x:f>SUM(Q203:T203)</x:f>
        <x:v>77</x:v>
      </x:c>
      <x:c r="C203" s="17" t="str">
        <x:f>IF(B203&gt;=93,"A — Highest authority",IF(B203&gt;=85,"B — Very strong",IF(B203&gt;=75,"C — Strong",IF(B203&gt;=65,"D — Useful with context","E — Supporting / lower weight"))))</x:f>
        <x:v>C — Strong</x:v>
      </x:c>
      <x:c r="D203" s="14" t="str">
        <x:v>Legal Regulation of Genetically Modified Organisms in Agriculture: Risks and Opportunities for Food Security</x:v>
      </x:c>
      <x:c r="E203" s="20" t="n">
        <x:v>46158</x:v>
      </x:c>
      <x:c r="F203" s="17" t="str">
        <x:v>A</x:v>
      </x:c>
      <x:c r="G203" s="14" t="str">
        <x:v>Lex Genetica</x:v>
      </x:c>
      <x:c r="H203" s="14" t="str"/>
      <x:c r="I203" s="14" t="str">
        <x:v>D. V. Ponomareva</x:v>
      </x:c>
      <x:c r="J203" s="14" t="str">
        <x:v>Peer-reviewed journal. Useful peer-reviewed evidence; journal standing varies and is not treated as top-tier by default.</x:v>
      </x:c>
      <x:c r="K203" s="14" t="str">
        <x:v>Directly concerns Europe/EU and research, technology, innovation, funding or science policy.</x:v>
      </x:c>
      <x:c r="L203" s="14" t="str">
        <x:v>Direct EU relevance</x:v>
      </x:c>
      <x:c r="M203" s="14" t="str">
        <x:v>Peer-reviewed article</x:v>
      </x:c>
      <x:c r="N203" s="14" t="str">
        <x:v>Tier 2 broad journal</x:v>
      </x:c>
      <x:c r="O203" s="14" t="str">
        <x:v>https://doi.org/10.17803/lexgen-2026-5-1-28-46</x:v>
      </x:c>
      <x:c r="P203" s="14" t="str"/>
      <x:c r="Q203" s="16" t="n">
        <x:v>32</x:v>
      </x:c>
      <x:c r="R203" s="16" t="n">
        <x:v>25</x:v>
      </x:c>
      <x:c r="S203" s="16" t="n">
        <x:v>15</x:v>
      </x:c>
      <x:c r="T203" s="16" t="n">
        <x:v>5</x:v>
      </x:c>
    </x:row>
    <x:row r="204" ht="48" customHeight="1">
      <x:c r="A204" s="16" t="n">
        <x:f>ROW()-1</x:f>
        <x:v>203</x:v>
      </x:c>
      <x:c r="B204" s="16" t="n">
        <x:f>SUM(Q204:T204)</x:f>
        <x:v>77</x:v>
      </x:c>
      <x:c r="C204" s="17" t="str">
        <x:f>IF(B204&gt;=93,"A — Highest authority",IF(B204&gt;=85,"B — Very strong",IF(B204&gt;=75,"C — Strong",IF(B204&gt;=65,"D — Useful with context","E — Supporting / lower weight"))))</x:f>
        <x:v>C — Strong</x:v>
      </x:c>
      <x:c r="D204" s="14" t="str">
        <x:v>DIGITAL TECHNOLOGIES AS KEY VECTORS OF MODERNIZATION OF UKRAINE’S MILITARY-INDUSTRIAL POTENTIAL</x:v>
      </x:c>
      <x:c r="E204" s="20" t="n">
        <x:v>46154</x:v>
      </x:c>
      <x:c r="F204" s="17" t="str">
        <x:v>A</x:v>
      </x:c>
      <x:c r="G204" s="14" t="str">
        <x:v>Social Development Economic and Legal Issues</x:v>
      </x:c>
      <x:c r="H204" s="14" t="str"/>
      <x:c r="I204" s="14" t="str">
        <x:v>Andriy Shakhovets</x:v>
      </x:c>
      <x:c r="J204" s="14" t="str">
        <x:v>Peer-reviewed journal. Useful peer-reviewed evidence; journal standing varies and is not treated as top-tier by default.</x:v>
      </x:c>
      <x:c r="K204" s="14" t="str">
        <x:v>Directly concerns Europe/EU and research, technology, innovation, funding or science policy.</x:v>
      </x:c>
      <x:c r="L204" s="14" t="str">
        <x:v>Direct EU relevance</x:v>
      </x:c>
      <x:c r="M204" s="14" t="str">
        <x:v>Peer-reviewed article</x:v>
      </x:c>
      <x:c r="N204" s="14" t="str">
        <x:v>Tier 2 broad journal</x:v>
      </x:c>
      <x:c r="O204" s="14" t="str">
        <x:v>https://doi.org/10.70651/3083-6018/2026.5.17</x:v>
      </x:c>
      <x:c r="P204" s="14" t="str"/>
      <x:c r="Q204" s="16" t="n">
        <x:v>32</x:v>
      </x:c>
      <x:c r="R204" s="16" t="n">
        <x:v>25</x:v>
      </x:c>
      <x:c r="S204" s="16" t="n">
        <x:v>15</x:v>
      </x:c>
      <x:c r="T204" s="16" t="n">
        <x:v>5</x:v>
      </x:c>
    </x:row>
    <x:row r="205" ht="48" customHeight="1">
      <x:c r="A205" s="16" t="n">
        <x:f>ROW()-1</x:f>
        <x:v>204</x:v>
      </x:c>
      <x:c r="B205" s="16" t="n">
        <x:f>SUM(Q205:T205)</x:f>
        <x:v>77</x:v>
      </x:c>
      <x:c r="C205" s="17" t="str">
        <x:f>IF(B205&gt;=93,"A — Highest authority",IF(B205&gt;=85,"B — Very strong",IF(B205&gt;=75,"C — Strong",IF(B205&gt;=65,"D — Useful with context","E — Supporting / lower weight"))))</x:f>
        <x:v>C — Strong</x:v>
      </x:c>
      <x:c r="D205" s="14" t="str">
        <x:v>Rethinking Patent Monopolies in the Age of Artificial Intelligence: Protection, Dysfunction, and the Case for Structural Reform</x:v>
      </x:c>
      <x:c r="E205" s="20" t="n">
        <x:v>46153</x:v>
      </x:c>
      <x:c r="F205" s="17" t="str">
        <x:v>A</x:v>
      </x:c>
      <x:c r="G205" s="14" t="str">
        <x:v>Trends in Intellectual Property Research</x:v>
      </x:c>
      <x:c r="H205" s="14" t="str"/>
      <x:c r="I205" s="14" t="str">
        <x:v>Boris Kriger</x:v>
      </x:c>
      <x:c r="J205" s="14" t="str">
        <x:v>Peer-reviewed journal. Useful peer-reviewed evidence; journal standing varies and is not treated as top-tier by default.</x:v>
      </x:c>
      <x:c r="K205" s="14" t="str">
        <x:v>Directly concerns Europe/EU and research, technology, innovation, funding or science policy.</x:v>
      </x:c>
      <x:c r="L205" s="14" t="str">
        <x:v>Direct EU relevance</x:v>
      </x:c>
      <x:c r="M205" s="14" t="str">
        <x:v>Peer-reviewed article</x:v>
      </x:c>
      <x:c r="N205" s="14" t="str">
        <x:v>Tier 2 broad journal</x:v>
      </x:c>
      <x:c r="O205" s="14" t="str">
        <x:v>https://doi.org/10.69971/tipr.4.3.2026.127</x:v>
      </x:c>
      <x:c r="P205" s="14" t="str"/>
      <x:c r="Q205" s="16" t="n">
        <x:v>32</x:v>
      </x:c>
      <x:c r="R205" s="16" t="n">
        <x:v>25</x:v>
      </x:c>
      <x:c r="S205" s="16" t="n">
        <x:v>15</x:v>
      </x:c>
      <x:c r="T205" s="16" t="n">
        <x:v>5</x:v>
      </x:c>
    </x:row>
    <x:row r="206" ht="48" customHeight="1">
      <x:c r="A206" s="16" t="n">
        <x:f>ROW()-1</x:f>
        <x:v>205</x:v>
      </x:c>
      <x:c r="B206" s="16" t="n">
        <x:f>SUM(Q206:T206)</x:f>
        <x:v>77</x:v>
      </x:c>
      <x:c r="C206" s="17" t="str">
        <x:f>IF(B206&gt;=93,"A — Highest authority",IF(B206&gt;=85,"B — Very strong",IF(B206&gt;=75,"C — Strong",IF(B206&gt;=65,"D — Useful with context","E — Supporting / lower weight"))))</x:f>
        <x:v>C — Strong</x:v>
      </x:c>
      <x:c r="D206" s="14" t="str">
        <x:v>The European semiconductor ecosystem: Regional development in a geopolitical context development in a geopolitical context</x:v>
      </x:c>
      <x:c r="E206" s="20" t="n">
        <x:v>46150</x:v>
      </x:c>
      <x:c r="F206" s="17" t="str">
        <x:v>A</x:v>
      </x:c>
      <x:c r="G206" s="14" t="str">
        <x:v>Central European Journal of Geography and Sustainable Development</x:v>
      </x:c>
      <x:c r="H206" s="14" t="str"/>
      <x:c r="I206" s="14" t="str">
        <x:v>Vasile Popa</x:v>
      </x:c>
      <x:c r="J206" s="14" t="str">
        <x:v>Peer-reviewed journal. Useful peer-reviewed evidence; journal standing varies and is not treated as top-tier by default.</x:v>
      </x:c>
      <x:c r="K206" s="14" t="str">
        <x:v>Directly concerns Europe/EU and research, technology, innovation, funding or science policy.</x:v>
      </x:c>
      <x:c r="L206" s="14" t="str">
        <x:v>Direct EU relevance</x:v>
      </x:c>
      <x:c r="M206" s="14" t="str">
        <x:v>Peer-reviewed article</x:v>
      </x:c>
      <x:c r="N206" s="14" t="str">
        <x:v>Tier 2 broad journal</x:v>
      </x:c>
      <x:c r="O206" s="14" t="str">
        <x:v>https://doi.org/10.51865/cejgsd.2026.8.1.1</x:v>
      </x:c>
      <x:c r="P206" s="14" t="str"/>
      <x:c r="Q206" s="16" t="n">
        <x:v>32</x:v>
      </x:c>
      <x:c r="R206" s="16" t="n">
        <x:v>25</x:v>
      </x:c>
      <x:c r="S206" s="16" t="n">
        <x:v>15</x:v>
      </x:c>
      <x:c r="T206" s="16" t="n">
        <x:v>5</x:v>
      </x:c>
    </x:row>
    <x:row r="207" ht="48" customHeight="1">
      <x:c r="A207" s="16" t="n">
        <x:f>ROW()-1</x:f>
        <x:v>206</x:v>
      </x:c>
      <x:c r="B207" s="16" t="n">
        <x:f>SUM(Q207:T207)</x:f>
        <x:v>77</x:v>
      </x:c>
      <x:c r="C207" s="17" t="str">
        <x:f>IF(B207&gt;=93,"A — Highest authority",IF(B207&gt;=85,"B — Very strong",IF(B207&gt;=75,"C — Strong",IF(B207&gt;=65,"D — Useful with context","E — Supporting / lower weight"))))</x:f>
        <x:v>C — Strong</x:v>
      </x:c>
      <x:c r="D207" s="14" t="str">
        <x:v>EU scientific diplomacy as a tool of strategic autonomy</x:v>
      </x:c>
      <x:c r="E207" s="20" t="n">
        <x:v>46149</x:v>
      </x:c>
      <x:c r="F207" s="17" t="str">
        <x:v>A</x:v>
      </x:c>
      <x:c r="G207" s="14" t="str">
        <x:v>MGIMO Review of International Relations</x:v>
      </x:c>
      <x:c r="H207" s="14" t="str"/>
      <x:c r="I207" s="14" t="str">
        <x:v>O. A. Krasnyak</x:v>
      </x:c>
      <x:c r="J207" s="14" t="str">
        <x:v>Peer-reviewed journal. Useful peer-reviewed evidence; journal standing varies and is not treated as top-tier by default.</x:v>
      </x:c>
      <x:c r="K207" s="14" t="str">
        <x:v>Directly concerns Europe/EU and research, technology, innovation, funding or science policy.</x:v>
      </x:c>
      <x:c r="L207" s="14" t="str">
        <x:v>Direct EU relevance</x:v>
      </x:c>
      <x:c r="M207" s="14" t="str">
        <x:v>Peer-reviewed article</x:v>
      </x:c>
      <x:c r="N207" s="14" t="str">
        <x:v>Tier 2 broad journal</x:v>
      </x:c>
      <x:c r="O207" s="14" t="str">
        <x:v>https://doi.org/10.24833/2071-8160-2026-2-107-24-46</x:v>
      </x:c>
      <x:c r="P207" s="14" t="str"/>
      <x:c r="Q207" s="16" t="n">
        <x:v>32</x:v>
      </x:c>
      <x:c r="R207" s="16" t="n">
        <x:v>25</x:v>
      </x:c>
      <x:c r="S207" s="16" t="n">
        <x:v>15</x:v>
      </x:c>
      <x:c r="T207" s="16" t="n">
        <x:v>5</x:v>
      </x:c>
    </x:row>
    <x:row r="208" ht="48" customHeight="1">
      <x:c r="A208" s="16" t="n">
        <x:f>ROW()-1</x:f>
        <x:v>207</x:v>
      </x:c>
      <x:c r="B208" s="16" t="n">
        <x:f>SUM(Q208:T208)</x:f>
        <x:v>77</x:v>
      </x:c>
      <x:c r="C208" s="17" t="str">
        <x:f>IF(B208&gt;=93,"A — Highest authority",IF(B208&gt;=85,"B — Very strong",IF(B208&gt;=75,"C — Strong",IF(B208&gt;=65,"D — Useful with context","E — Supporting / lower weight"))))</x:f>
        <x:v>C — Strong</x:v>
      </x:c>
      <x:c r="D208" s="14" t="str">
        <x:v>China and Central and Eastern European Countries within 14+1 cooperation challenges</x:v>
      </x:c>
      <x:c r="E208" s="20" t="n">
        <x:v>46147</x:v>
      </x:c>
      <x:c r="F208" s="17" t="str">
        <x:v>A</x:v>
      </x:c>
      <x:c r="G208" s="14" t="str">
        <x:v>Polemos - Međunarodne studije</x:v>
      </x:c>
      <x:c r="H208" s="14" t="str"/>
      <x:c r="I208" s="14" t="str">
        <x:v>Jelena Levak, Anita Britvec, Robert Bošnjak</x:v>
      </x:c>
      <x:c r="J208" s="14" t="str">
        <x:v>Peer-reviewed journal. Useful peer-reviewed evidence; journal standing varies and is not treated as top-tier by default.</x:v>
      </x:c>
      <x:c r="K208" s="14" t="str">
        <x:v>Directly concerns Europe/EU and research, technology, innovation, funding or science policy.</x:v>
      </x:c>
      <x:c r="L208" s="14" t="str">
        <x:v>Direct EU relevance</x:v>
      </x:c>
      <x:c r="M208" s="14" t="str">
        <x:v>Peer-reviewed article</x:v>
      </x:c>
      <x:c r="N208" s="14" t="str">
        <x:v>Tier 2 broad journal</x:v>
      </x:c>
      <x:c r="O208" s="14" t="str">
        <x:v>https://doi.org/10.46672/po-mest.29.1-2.6</x:v>
      </x:c>
      <x:c r="P208" s="14" t="str"/>
      <x:c r="Q208" s="16" t="n">
        <x:v>32</x:v>
      </x:c>
      <x:c r="R208" s="16" t="n">
        <x:v>25</x:v>
      </x:c>
      <x:c r="S208" s="16" t="n">
        <x:v>15</x:v>
      </x:c>
      <x:c r="T208" s="16" t="n">
        <x:v>5</x:v>
      </x:c>
    </x:row>
    <x:row r="209" ht="48" customHeight="1">
      <x:c r="A209" s="16" t="n">
        <x:f>ROW()-1</x:f>
        <x:v>208</x:v>
      </x:c>
      <x:c r="B209" s="16" t="n">
        <x:f>SUM(Q209:T209)</x:f>
        <x:v>77</x:v>
      </x:c>
      <x:c r="C209" s="17" t="str">
        <x:f>IF(B209&gt;=93,"A — Highest authority",IF(B209&gt;=85,"B — Very strong",IF(B209&gt;=75,"C — Strong",IF(B209&gt;=65,"D — Useful with context","E — Supporting / lower weight"))))</x:f>
        <x:v>C — Strong</x:v>
      </x:c>
      <x:c r="D209" s="14" t="str">
        <x:v>The European Commission as an engine for international cooperation</x:v>
      </x:c>
      <x:c r="E209" s="20" t="n">
        <x:v>46147</x:v>
      </x:c>
      <x:c r="F209" s="17" t="str">
        <x:v>A</x:v>
      </x:c>
      <x:c r="G209" s="14" t="str">
        <x:v>Impact</x:v>
      </x:c>
      <x:c r="H209" s="14" t="str"/>
      <x:c r="I209" s="14" t="str">
        <x:v>Lucy Annette</x:v>
      </x:c>
      <x:c r="J209" s="14" t="str">
        <x:v>Peer-reviewed journal. Useful peer-reviewed evidence; journal standing varies and is not treated as top-tier by default.</x:v>
      </x:c>
      <x:c r="K209" s="14" t="str">
        <x:v>Directly concerns Europe/EU and research, technology, innovation, funding or science policy.</x:v>
      </x:c>
      <x:c r="L209" s="14" t="str">
        <x:v>Direct EU relevance</x:v>
      </x:c>
      <x:c r="M209" s="14" t="str">
        <x:v>Peer-reviewed article</x:v>
      </x:c>
      <x:c r="N209" s="14" t="str">
        <x:v>Tier 2 broad journal</x:v>
      </x:c>
      <x:c r="O209" s="14" t="str">
        <x:v>https://doi.org/10.21820/23987073.2026.1.35</x:v>
      </x:c>
      <x:c r="P209" s="14" t="str"/>
      <x:c r="Q209" s="16" t="n">
        <x:v>32</x:v>
      </x:c>
      <x:c r="R209" s="16" t="n">
        <x:v>25</x:v>
      </x:c>
      <x:c r="S209" s="16" t="n">
        <x:v>15</x:v>
      </x:c>
      <x:c r="T209" s="16" t="n">
        <x:v>5</x:v>
      </x:c>
    </x:row>
    <x:row r="210" ht="48" customHeight="1">
      <x:c r="A210" s="16" t="n">
        <x:f>ROW()-1</x:f>
        <x:v>209</x:v>
      </x:c>
      <x:c r="B210" s="16" t="n">
        <x:f>SUM(Q210:T210)</x:f>
        <x:v>77</x:v>
      </x:c>
      <x:c r="C210" s="17" t="str">
        <x:f>IF(B210&gt;=93,"A — Highest authority",IF(B210&gt;=85,"B — Very strong",IF(B210&gt;=75,"C — Strong",IF(B210&gt;=65,"D — Useful with context","E — Supporting / lower weight"))))</x:f>
        <x:v>C — Strong</x:v>
      </x:c>
      <x:c r="D210" s="14" t="str">
        <x:v>Genoese Migration and Technology Transfer in the Early-Modern Spanish Monarchy</x:v>
      </x:c>
      <x:c r="E210" s="20" t="n">
        <x:v>46146</x:v>
      </x:c>
      <x:c r="F210" s="17" t="str">
        <x:v>A</x:v>
      </x:c>
      <x:c r="G210" s="14" t="str">
        <x:v>Itinerario</x:v>
      </x:c>
      <x:c r="H210" s="14" t="str"/>
      <x:c r="I210" s="14" t="str">
        <x:v>Catia Brilli</x:v>
      </x:c>
      <x:c r="J210" s="14" t="str">
        <x:v>Peer-reviewed journal. Useful peer-reviewed evidence; journal standing varies and is not treated as top-tier by default.</x:v>
      </x:c>
      <x:c r="K210" s="14" t="str">
        <x:v>Directly concerns Europe/EU and research, technology, innovation, funding or science policy.</x:v>
      </x:c>
      <x:c r="L210" s="14" t="str">
        <x:v>Direct EU relevance</x:v>
      </x:c>
      <x:c r="M210" s="14" t="str">
        <x:v>Peer-reviewed article</x:v>
      </x:c>
      <x:c r="N210" s="14" t="str">
        <x:v>Tier 2 broad journal</x:v>
      </x:c>
      <x:c r="O210" s="14" t="str">
        <x:v>https://doi.org/10.1017/s0165115326100588</x:v>
      </x:c>
      <x:c r="P210" s="14" t="str"/>
      <x:c r="Q210" s="16" t="n">
        <x:v>32</x:v>
      </x:c>
      <x:c r="R210" s="16" t="n">
        <x:v>25</x:v>
      </x:c>
      <x:c r="S210" s="16" t="n">
        <x:v>15</x:v>
      </x:c>
      <x:c r="T210" s="16" t="n">
        <x:v>5</x:v>
      </x:c>
    </x:row>
    <x:row r="211" ht="48" customHeight="1">
      <x:c r="A211" s="16" t="n">
        <x:f>ROW()-1</x:f>
        <x:v>210</x:v>
      </x:c>
      <x:c r="B211" s="16" t="n">
        <x:f>SUM(Q211:T211)</x:f>
        <x:v>77</x:v>
      </x:c>
      <x:c r="C211" s="17" t="str">
        <x:f>IF(B211&gt;=93,"A — Highest authority",IF(B211&gt;=85,"B — Very strong",IF(B211&gt;=75,"C — Strong",IF(B211&gt;=65,"D — Useful with context","E — Supporting / lower weight"))))</x:f>
        <x:v>C — Strong</x:v>
      </x:c>
      <x:c r="D211" s="14" t="str">
        <x:v>DIGITAL INNOVATION AND ECONOMIC GROWTH IN SOUTHEAST EUROPE</x:v>
      </x:c>
      <x:c r="E211" s="20" t="n">
        <x:v>46144</x:v>
      </x:c>
      <x:c r="F211" s="17" t="str">
        <x:v>A</x:v>
      </x:c>
      <x:c r="G211" s="14" t="str">
        <x:v>European Vector of Economic Development</x:v>
      </x:c>
      <x:c r="H211" s="14" t="str"/>
      <x:c r="I211" s="14" t="str">
        <x:v>Sara Drakul</x:v>
      </x:c>
      <x:c r="J211" s="14" t="str">
        <x:v>Peer-reviewed journal. Useful peer-reviewed evidence; journal standing varies and is not treated as top-tier by default.</x:v>
      </x:c>
      <x:c r="K211" s="14" t="str">
        <x:v>Directly concerns Europe/EU and research, technology, innovation, funding or science policy.</x:v>
      </x:c>
      <x:c r="L211" s="14" t="str">
        <x:v>Direct EU relevance</x:v>
      </x:c>
      <x:c r="M211" s="14" t="str">
        <x:v>Peer-reviewed article</x:v>
      </x:c>
      <x:c r="N211" s="14" t="str">
        <x:v>Tier 2 broad journal</x:v>
      </x:c>
      <x:c r="O211" s="14" t="str">
        <x:v>https://doi.org/10.32342/3041-2153-2026-1-40-5</x:v>
      </x:c>
      <x:c r="P211" s="14" t="str"/>
      <x:c r="Q211" s="16" t="n">
        <x:v>32</x:v>
      </x:c>
      <x:c r="R211" s="16" t="n">
        <x:v>25</x:v>
      </x:c>
      <x:c r="S211" s="16" t="n">
        <x:v>15</x:v>
      </x:c>
      <x:c r="T211" s="16" t="n">
        <x:v>5</x:v>
      </x:c>
    </x:row>
    <x:row r="212" ht="48" customHeight="1">
      <x:c r="A212" s="16" t="n">
        <x:f>ROW()-1</x:f>
        <x:v>211</x:v>
      </x:c>
      <x:c r="B212" s="16" t="n">
        <x:f>SUM(Q212:T212)</x:f>
        <x:v>77</x:v>
      </x:c>
      <x:c r="C212" s="17" t="str">
        <x:f>IF(B212&gt;=93,"A — Highest authority",IF(B212&gt;=85,"B — Very strong",IF(B212&gt;=75,"C — Strong",IF(B212&gt;=65,"D — Useful with context","E — Supporting / lower weight"))))</x:f>
        <x:v>C — Strong</x:v>
      </x:c>
      <x:c r="D212" s="14" t="str">
        <x:v>Implementing Sweden’s Biobank Act (2023:38): Insights and Lessons for International Collaboration in Health Research</x:v>
      </x:c>
      <x:c r="E212" s="20" t="n">
        <x:v>46143</x:v>
      </x:c>
      <x:c r="F212" s="17" t="str">
        <x:v>A</x:v>
      </x:c>
      <x:c r="G212" s="14" t="str">
        <x:v>Biopreservation and Biobanking</x:v>
      </x:c>
      <x:c r="H212" s="14" t="str"/>
      <x:c r="I212" s="14" t="str">
        <x:v>Jennifer Viberg Johansson, Mio Fredriksson</x:v>
      </x:c>
      <x:c r="J212" s="14" t="str">
        <x:v>Peer-reviewed journal. Useful peer-reviewed evidence; journal standing varies and is not treated as top-tier by default.</x:v>
      </x:c>
      <x:c r="K212" s="14" t="str">
        <x:v>Directly concerns Europe/EU and research, technology, innovation, funding or science policy.</x:v>
      </x:c>
      <x:c r="L212" s="14" t="str">
        <x:v>Direct EU relevance</x:v>
      </x:c>
      <x:c r="M212" s="14" t="str">
        <x:v>Peer-reviewed article</x:v>
      </x:c>
      <x:c r="N212" s="14" t="str">
        <x:v>Tier 2 broad journal</x:v>
      </x:c>
      <x:c r="O212" s="14" t="str">
        <x:v>https://doi.org/10.1177/19475535261432944</x:v>
      </x:c>
      <x:c r="P212" s="14" t="str"/>
      <x:c r="Q212" s="16" t="n">
        <x:v>32</x:v>
      </x:c>
      <x:c r="R212" s="16" t="n">
        <x:v>25</x:v>
      </x:c>
      <x:c r="S212" s="16" t="n">
        <x:v>15</x:v>
      </x:c>
      <x:c r="T212" s="16" t="n">
        <x:v>5</x:v>
      </x:c>
    </x:row>
    <x:row r="213" ht="48" customHeight="1">
      <x:c r="A213" s="16" t="n">
        <x:f>ROW()-1</x:f>
        <x:v>212</x:v>
      </x:c>
      <x:c r="B213" s="16" t="n">
        <x:f>SUM(Q213:T213)</x:f>
        <x:v>77</x:v>
      </x:c>
      <x:c r="C213" s="17" t="str">
        <x:f>IF(B213&gt;=93,"A — Highest authority",IF(B213&gt;=85,"B — Very strong",IF(B213&gt;=75,"C — Strong",IF(B213&gt;=65,"D — Useful with context","E — Supporting / lower weight"))))</x:f>
        <x:v>C — Strong</x:v>
      </x:c>
      <x:c r="D213" s="14" t="str">
        <x:v>FOREIGN DIRECT INVESTMENT FROM EU COUNTRIES AS INSTRUMENTS FOR FINANCING CHINA’S RAPID ECONOMIC GROWTH: SECURITY RISKS</x:v>
      </x:c>
      <x:c r="E213" s="20" t="n">
        <x:v>46142</x:v>
      </x:c>
      <x:c r="F213" s="17" t="str">
        <x:v>A</x:v>
      </x:c>
      <x:c r="G213" s="14" t="str">
        <x:v>Financial and credit activity problems of theory and practice</x:v>
      </x:c>
      <x:c r="H213" s="14" t="str"/>
      <x:c r="I213" s="14" t="str">
        <x:v>Olena Sokhatska, Valentyna Panasyuk, Oleksandr Sokhatskyi, Vadim Schuchmann, Oksana Trubitsyna</x:v>
      </x:c>
      <x:c r="J213" s="14" t="str">
        <x:v>Peer-reviewed journal. Useful peer-reviewed evidence; journal standing varies and is not treated as top-tier by default.</x:v>
      </x:c>
      <x:c r="K213" s="14" t="str">
        <x:v>Directly concerns Europe/EU and research, technology, innovation, funding or science policy.</x:v>
      </x:c>
      <x:c r="L213" s="14" t="str">
        <x:v>Direct EU relevance</x:v>
      </x:c>
      <x:c r="M213" s="14" t="str">
        <x:v>Peer-reviewed article</x:v>
      </x:c>
      <x:c r="N213" s="14" t="str">
        <x:v>Tier 2 broad journal</x:v>
      </x:c>
      <x:c r="O213" s="14" t="str">
        <x:v>https://doi.org/10.55643/fcaptp.2.67.2026.5172</x:v>
      </x:c>
      <x:c r="P213" s="14" t="str"/>
      <x:c r="Q213" s="16" t="n">
        <x:v>32</x:v>
      </x:c>
      <x:c r="R213" s="16" t="n">
        <x:v>25</x:v>
      </x:c>
      <x:c r="S213" s="16" t="n">
        <x:v>15</x:v>
      </x:c>
      <x:c r="T213" s="16" t="n">
        <x:v>5</x:v>
      </x:c>
    </x:row>
    <x:row r="214" ht="48" customHeight="1">
      <x:c r="A214" s="16" t="n">
        <x:f>ROW()-1</x:f>
        <x:v>213</x:v>
      </x:c>
      <x:c r="B214" s="16" t="n">
        <x:f>SUM(Q214:T214)</x:f>
        <x:v>76</x:v>
      </x:c>
      <x:c r="C214" s="17" t="str">
        <x:f>IF(B214&gt;=93,"A — Highest authority",IF(B214&gt;=85,"B — Very strong",IF(B214&gt;=75,"C — Strong",IF(B214&gt;=65,"D — Useful with context","E — Supporting / lower weight"))))</x:f>
        <x:v>C — Strong</x:v>
      </x:c>
      <x:c r="D214" s="14" t="str">
        <x:v>Hybrid foresight: integrating artificial intelligence and expert judgement to address strategic challenges in UK Forest resilience</x:v>
      </x:c>
      <x:c r="E214" s="20" t="n">
        <x:v>46260</x:v>
      </x:c>
      <x:c r="F214" s="17" t="str">
        <x:v>B</x:v>
      </x:c>
      <x:c r="G214" s="14" t="str">
        <x:v>Forestry: An International Journal of Forest Research</x:v>
      </x:c>
      <x:c r="H214" s="14" t="str"/>
      <x:c r="I214" s="14" t="str">
        <x:v>Gabriel Hemery, Gillian Petrokofsky</x:v>
      </x:c>
      <x:c r="J214" s="14" t="str">
        <x:v>Established peer-reviewed journal. Good academic standing: established peer-reviewed specialist journal.</x:v>
      </x:c>
      <x:c r="K214" s="14" t="str">
        <x:v>Useful comparison or lesson for European policy, even though the source is not mainly about the EU.</x:v>
      </x:c>
      <x:c r="L214" s="14" t="str">
        <x:v>Relevant by comparison / implication</x:v>
      </x:c>
      <x:c r="M214" s="14" t="str">
        <x:v>Peer-reviewed article</x:v>
      </x:c>
      <x:c r="N214" s="14" t="str">
        <x:v>Tier 2 broad journal</x:v>
      </x:c>
      <x:c r="O214" s="14" t="str">
        <x:v>https://doi.org/10.1093/forestry/cpag066</x:v>
      </x:c>
      <x:c r="P214" s="14" t="str"/>
      <x:c r="Q214" s="16" t="n">
        <x:v>38</x:v>
      </x:c>
      <x:c r="R214" s="16" t="n">
        <x:v>18</x:v>
      </x:c>
      <x:c r="S214" s="16" t="n">
        <x:v>15</x:v>
      </x:c>
      <x:c r="T214" s="16" t="n">
        <x:v>5</x:v>
      </x:c>
    </x:row>
    <x:row r="215" ht="48" customHeight="1">
      <x:c r="A215" s="16" t="n">
        <x:f>ROW()-1</x:f>
        <x:v>214</x:v>
      </x:c>
      <x:c r="B215" s="16" t="n">
        <x:f>SUM(Q215:T215)</x:f>
        <x:v>76</x:v>
      </x:c>
      <x:c r="C215" s="17" t="str">
        <x:f>IF(B215&gt;=93,"A — Highest authority",IF(B215&gt;=85,"B — Very strong",IF(B215&gt;=75,"C — Strong",IF(B215&gt;=65,"D — Useful with context","E — Supporting / lower weight"))))</x:f>
        <x:v>C — Strong</x:v>
      </x:c>
      <x:c r="D215" s="14" t="str">
        <x:v>Co-creating climate-resilient cities: a multi-method participatory approach for future scenario building and prioritization</x:v>
      </x:c>
      <x:c r="E215" s="20" t="n">
        <x:v>46241</x:v>
      </x:c>
      <x:c r="F215" s="17" t="str">
        <x:v>B</x:v>
      </x:c>
      <x:c r="G215" s="14" t="str">
        <x:v>European Journal of Futures Research</x:v>
      </x:c>
      <x:c r="H215" s="14" t="str"/>
      <x:c r="I215" s="14" t="str">
        <x:v>Havva Ebrahimipour, Monika Mačiulienė, Anna Maria Kotrikla, Franz-Ferdinand Rothe, Gintarė Gulevičiūtė, Aelita Skaržauskienė, Kristina Kovaitė, Amalia Polydoropoulou, et al.</x:v>
      </x:c>
      <x:c r="J215" s="14" t="str">
        <x:v>Established peer-reviewed journal. Good academic standing: established peer-reviewed specialist journal.</x:v>
      </x:c>
      <x:c r="K215" s="14" t="str">
        <x:v>Useful comparison or lesson for European policy, even though the source is not mainly about the EU.</x:v>
      </x:c>
      <x:c r="L215" s="14" t="str">
        <x:v>Relevant by comparison / implication</x:v>
      </x:c>
      <x:c r="M215" s="14" t="str">
        <x:v>Peer-reviewed article</x:v>
      </x:c>
      <x:c r="N215" s="14" t="str">
        <x:v>Tier 2 comparable</x:v>
      </x:c>
      <x:c r="O215" s="14" t="str">
        <x:v>https://doi.org/10.1186/s40309-026-00291-x</x:v>
      </x:c>
      <x:c r="P215" s="14" t="str"/>
      <x:c r="Q215" s="16" t="n">
        <x:v>38</x:v>
      </x:c>
      <x:c r="R215" s="16" t="n">
        <x:v>18</x:v>
      </x:c>
      <x:c r="S215" s="16" t="n">
        <x:v>15</x:v>
      </x:c>
      <x:c r="T215" s="16" t="n">
        <x:v>5</x:v>
      </x:c>
    </x:row>
    <x:row r="216" ht="48" customHeight="1">
      <x:c r="A216" s="16" t="n">
        <x:f>ROW()-1</x:f>
        <x:v>215</x:v>
      </x:c>
      <x:c r="B216" s="16" t="n">
        <x:f>SUM(Q216:T216)</x:f>
        <x:v>76</x:v>
      </x:c>
      <x:c r="C216" s="17" t="str">
        <x:f>IF(B216&gt;=93,"A — Highest authority",IF(B216&gt;=85,"B — Very strong",IF(B216&gt;=75,"C — Strong",IF(B216&gt;=65,"D — Useful with context","E — Supporting / lower weight"))))</x:f>
        <x:v>C — Strong</x:v>
      </x:c>
      <x:c r="D216" s="14" t="str">
        <x:v>A Multi-Method Field–Topic–Technology (FTT) Approach with Dual-Path Integration for Identifying Key Core Technologies</x:v>
      </x:c>
      <x:c r="E216" s="20" t="n">
        <x:v>46232</x:v>
      </x:c>
      <x:c r="F216" s="17" t="str">
        <x:v>B</x:v>
      </x:c>
      <x:c r="G216" s="14" t="str">
        <x:v>Journal of Data and Information Science</x:v>
      </x:c>
      <x:c r="H216" s="14" t="str"/>
      <x:c r="I216" s="14" t="str">
        <x:v>Chao Tang, Yan Qi, Haiyun Xu, Shuying Li, Zenghui Yue, Robin Haunschild</x:v>
      </x:c>
      <x:c r="J216" s="14" t="str">
        <x:v>Established peer-reviewed journal. Good academic standing: established peer-reviewed specialist journal.</x:v>
      </x:c>
      <x:c r="K216" s="14" t="str">
        <x:v>Useful comparison or lesson for European policy, even though the source is not mainly about the EU.</x:v>
      </x:c>
      <x:c r="L216" s="14" t="str">
        <x:v>Relevant by comparison / implication</x:v>
      </x:c>
      <x:c r="M216" s="14" t="str">
        <x:v>Peer-reviewed article</x:v>
      </x:c>
      <x:c r="N216" s="14" t="str">
        <x:v>Tier 2 broad journal</x:v>
      </x:c>
      <x:c r="O216" s="14" t="str">
        <x:v>https://doi.org/10.1515/jdis-2025-0120</x:v>
      </x:c>
      <x:c r="P216" s="14" t="str"/>
      <x:c r="Q216" s="16" t="n">
        <x:v>38</x:v>
      </x:c>
      <x:c r="R216" s="16" t="n">
        <x:v>18</x:v>
      </x:c>
      <x:c r="S216" s="16" t="n">
        <x:v>15</x:v>
      </x:c>
      <x:c r="T216" s="16" t="n">
        <x:v>5</x:v>
      </x:c>
    </x:row>
    <x:row r="217" ht="48" customHeight="1">
      <x:c r="A217" s="16" t="n">
        <x:f>ROW()-1</x:f>
        <x:v>216</x:v>
      </x:c>
      <x:c r="B217" s="16" t="n">
        <x:f>SUM(Q217:T217)</x:f>
        <x:v>76</x:v>
      </x:c>
      <x:c r="C217" s="17" t="str">
        <x:f>IF(B217&gt;=93,"A — Highest authority",IF(B217&gt;=85,"B — Very strong",IF(B217&gt;=75,"C — Strong",IF(B217&gt;=65,"D — Useful with context","E — Supporting / lower weight"))))</x:f>
        <x:v>C — Strong</x:v>
      </x:c>
      <x:c r="D217" s="14" t="str">
        <x:v>A Participatory Future Scenario-Building Methodology for Europe’s Just Transition by Sectors: The FITTER-EU Case</x:v>
      </x:c>
      <x:c r="E217" s="20" t="n">
        <x:v>46212</x:v>
      </x:c>
      <x:c r="F217" s="17" t="str">
        <x:v>B</x:v>
      </x:c>
      <x:c r="G217" s="14" t="str">
        <x:v>Politics and Governance</x:v>
      </x:c>
      <x:c r="H217" s="14" t="str"/>
      <x:c r="I217" s="14" t="str">
        <x:v>Laura Armayones Carranza, Lluis Vine Rius</x:v>
      </x:c>
      <x:c r="J217" s="14" t="str">
        <x:v>Established peer-reviewed journal. Good academic standing: established peer-reviewed specialist journal.</x:v>
      </x:c>
      <x:c r="K217" s="14" t="str">
        <x:v>Useful comparison or lesson for European policy, even though the source is not mainly about the EU.</x:v>
      </x:c>
      <x:c r="L217" s="14" t="str">
        <x:v>Relevant by comparison / implication</x:v>
      </x:c>
      <x:c r="M217" s="14" t="str">
        <x:v>Peer-reviewed article</x:v>
      </x:c>
      <x:c r="N217" s="14" t="str">
        <x:v>Tier 2 broad journal</x:v>
      </x:c>
      <x:c r="O217" s="14" t="str">
        <x:v>https://doi.org/10.17645/pag.12281</x:v>
      </x:c>
      <x:c r="P217" s="14" t="str"/>
      <x:c r="Q217" s="16" t="n">
        <x:v>38</x:v>
      </x:c>
      <x:c r="R217" s="16" t="n">
        <x:v>18</x:v>
      </x:c>
      <x:c r="S217" s="16" t="n">
        <x:v>15</x:v>
      </x:c>
      <x:c r="T217" s="16" t="n">
        <x:v>5</x:v>
      </x:c>
    </x:row>
    <x:row r="218" ht="48" customHeight="1">
      <x:c r="A218" s="16" t="n">
        <x:f>ROW()-1</x:f>
        <x:v>217</x:v>
      </x:c>
      <x:c r="B218" s="16" t="n">
        <x:f>SUM(Q218:T218)</x:f>
        <x:v>76</x:v>
      </x:c>
      <x:c r="C218" s="17" t="str">
        <x:f>IF(B218&gt;=93,"A — Highest authority",IF(B218&gt;=85,"B — Very strong",IF(B218&gt;=75,"C — Strong",IF(B218&gt;=65,"D — Useful with context","E — Supporting / lower weight"))))</x:f>
        <x:v>C — Strong</x:v>
      </x:c>
      <x:c r="D218" s="14" t="str">
        <x:v>Governance logics and foresight functions: European strategic foresight in contrastive perspective</x:v>
      </x:c>
      <x:c r="E218" s="20" t="n">
        <x:v>46212</x:v>
      </x:c>
      <x:c r="F218" s="17" t="str">
        <x:v>B</x:v>
      </x:c>
      <x:c r="G218" s="14" t="str">
        <x:v>European Journal of Futures Research</x:v>
      </x:c>
      <x:c r="H218" s="14" t="str"/>
      <x:c r="I218" s="14" t="str">
        <x:v>Natalia Veselitskaya, Dina Malekova</x:v>
      </x:c>
      <x:c r="J218" s="14" t="str">
        <x:v>Established peer-reviewed journal. Good academic standing: established peer-reviewed specialist journal.</x:v>
      </x:c>
      <x:c r="K218" s="14" t="str">
        <x:v>Useful comparison or lesson for European policy, even though the source is not mainly about the EU.</x:v>
      </x:c>
      <x:c r="L218" s="14" t="str">
        <x:v>Relevant by comparison / implication</x:v>
      </x:c>
      <x:c r="M218" s="14" t="str">
        <x:v>Peer-reviewed article</x:v>
      </x:c>
      <x:c r="N218" s="14" t="str">
        <x:v>Tier 2 comparable</x:v>
      </x:c>
      <x:c r="O218" s="14" t="str">
        <x:v>https://doi.org/10.1186/s40309-026-00278-8</x:v>
      </x:c>
      <x:c r="P218" s="14" t="str"/>
      <x:c r="Q218" s="16" t="n">
        <x:v>38</x:v>
      </x:c>
      <x:c r="R218" s="16" t="n">
        <x:v>18</x:v>
      </x:c>
      <x:c r="S218" s="16" t="n">
        <x:v>15</x:v>
      </x:c>
      <x:c r="T218" s="16" t="n">
        <x:v>5</x:v>
      </x:c>
    </x:row>
    <x:row r="219" ht="48" customHeight="1">
      <x:c r="A219" s="16" t="n">
        <x:f>ROW()-1</x:f>
        <x:v>218</x:v>
      </x:c>
      <x:c r="B219" s="16" t="n">
        <x:f>SUM(Q219:T219)</x:f>
        <x:v>76</x:v>
      </x:c>
      <x:c r="C219" s="17" t="str">
        <x:f>IF(B219&gt;=93,"A — Highest authority",IF(B219&gt;=85,"B — Very strong",IF(B219&gt;=75,"C — Strong",IF(B219&gt;=65,"D — Useful with context","E — Supporting / lower weight"))))</x:f>
        <x:v>C — Strong</x:v>
      </x:c>
      <x:c r="D219" s="14" t="str">
        <x:v>AgentProphet: Source-Aware Multi-Agent Emerging Technology Forecasting for Upstream Decision-Making in AI-Based IoT Systems</x:v>
      </x:c>
      <x:c r="E219" s="20" t="n">
        <x:v>46209</x:v>
      </x:c>
      <x:c r="F219" s="17" t="str">
        <x:v>B</x:v>
      </x:c>
      <x:c r="G219" s="14" t="str">
        <x:v>Applied Sciences</x:v>
      </x:c>
      <x:c r="H219" s="14" t="str"/>
      <x:c r="I219" s="14" t="str">
        <x:v>Taorui Chen, Huan Wang, Kai Guo</x:v>
      </x:c>
      <x:c r="J219" s="14" t="str">
        <x:v>Established peer-reviewed journal. Good academic standing: established peer-reviewed specialist journal.</x:v>
      </x:c>
      <x:c r="K219" s="14" t="str">
        <x:v>Useful comparison or lesson for European policy, even though the source is not mainly about the EU.</x:v>
      </x:c>
      <x:c r="L219" s="14" t="str">
        <x:v>Relevant by comparison / implication</x:v>
      </x:c>
      <x:c r="M219" s="14" t="str">
        <x:v>Peer-reviewed article</x:v>
      </x:c>
      <x:c r="N219" s="14" t="str">
        <x:v>Tier 2 broad journal</x:v>
      </x:c>
      <x:c r="O219" s="14" t="str">
        <x:v>https://doi.org/10.3390/app16136787</x:v>
      </x:c>
      <x:c r="P219" s="14" t="str"/>
      <x:c r="Q219" s="16" t="n">
        <x:v>38</x:v>
      </x:c>
      <x:c r="R219" s="16" t="n">
        <x:v>18</x:v>
      </x:c>
      <x:c r="S219" s="16" t="n">
        <x:v>15</x:v>
      </x:c>
      <x:c r="T219" s="16" t="n">
        <x:v>5</x:v>
      </x:c>
    </x:row>
    <x:row r="220" ht="48" customHeight="1">
      <x:c r="A220" s="16" t="n">
        <x:f>ROW()-1</x:f>
        <x:v>219</x:v>
      </x:c>
      <x:c r="B220" s="16" t="n">
        <x:f>SUM(Q220:T220)</x:f>
        <x:v>76</x:v>
      </x:c>
      <x:c r="C220" s="17" t="str">
        <x:f>IF(B220&gt;=93,"A — Highest authority",IF(B220&gt;=85,"B — Very strong",IF(B220&gt;=75,"C — Strong",IF(B220&gt;=65,"D — Useful with context","E — Supporting / lower weight"))))</x:f>
        <x:v>C — Strong</x:v>
      </x:c>
      <x:c r="D220" s="14" t="str">
        <x:v>A Data-Driven Roadmapping Framework for Resilient Disaster Management</x:v>
      </x:c>
      <x:c r="E220" s="20" t="n">
        <x:v>46154</x:v>
      </x:c>
      <x:c r="F220" s="17" t="str">
        <x:v>B</x:v>
      </x:c>
      <x:c r="G220" s="14" t="str">
        <x:v>Journal of Innovation Management</x:v>
      </x:c>
      <x:c r="H220" s="14" t="str"/>
      <x:c r="I220" s="14" t="str">
        <x:v>Dilek Çetindamar, Youngjung Geum, Robert Phaal</x:v>
      </x:c>
      <x:c r="J220" s="14" t="str">
        <x:v>Established peer-reviewed journal. Good academic standing: established peer-reviewed specialist journal.</x:v>
      </x:c>
      <x:c r="K220" s="14" t="str">
        <x:v>Useful comparison or lesson for European policy, even though the source is not mainly about the EU.</x:v>
      </x:c>
      <x:c r="L220" s="14" t="str">
        <x:v>Relevant by comparison / implication</x:v>
      </x:c>
      <x:c r="M220" s="14" t="str">
        <x:v>Peer-reviewed article</x:v>
      </x:c>
      <x:c r="N220" s="14" t="str">
        <x:v>Tier 2 broad journal</x:v>
      </x:c>
      <x:c r="O220" s="14" t="str">
        <x:v>https://doi.org/10.24840/2183-0606_014.001_0001</x:v>
      </x:c>
      <x:c r="P220" s="14" t="str"/>
      <x:c r="Q220" s="16" t="n">
        <x:v>38</x:v>
      </x:c>
      <x:c r="R220" s="16" t="n">
        <x:v>18</x:v>
      </x:c>
      <x:c r="S220" s="16" t="n">
        <x:v>15</x:v>
      </x:c>
      <x:c r="T220" s="16" t="n">
        <x:v>5</x:v>
      </x:c>
    </x:row>
    <x:row r="221" ht="48" customHeight="1">
      <x:c r="A221" s="16" t="n">
        <x:f>ROW()-1</x:f>
        <x:v>220</x:v>
      </x:c>
      <x:c r="B221" s="16" t="n">
        <x:f>SUM(Q221:T221)</x:f>
        <x:v>76</x:v>
      </x:c>
      <x:c r="C221" s="17" t="str">
        <x:f>IF(B221&gt;=93,"A — Highest authority",IF(B221&gt;=85,"B — Very strong",IF(B221&gt;=75,"C — Strong",IF(B221&gt;=65,"D — Useful with context","E — Supporting / lower weight"))))</x:f>
        <x:v>C — Strong</x:v>
      </x:c>
      <x:c r="D221" s="14" t="str">
        <x:v>Macrohistorical Cycle Synchronization as a Method for Long‐Range Foresight: The Ten Mega Epochs Model</x:v>
      </x:c>
      <x:c r="E221" s="20" t="n">
        <x:v>46146</x:v>
      </x:c>
      <x:c r="F221" s="17" t="str">
        <x:v>B</x:v>
      </x:c>
      <x:c r="G221" s="14" t="str">
        <x:v>FUTURES &amp; FORESIGHT SCIENCE</x:v>
      </x:c>
      <x:c r="H221" s="14" t="str"/>
      <x:c r="I221" s="14" t="str">
        <x:v>Tuomo Kuosa</x:v>
      </x:c>
      <x:c r="J221" s="14" t="str">
        <x:v>Established peer-reviewed journal. Good academic standing: established peer-reviewed specialist journal.</x:v>
      </x:c>
      <x:c r="K221" s="14" t="str">
        <x:v>Useful comparison or lesson for European policy, even though the source is not mainly about the EU.</x:v>
      </x:c>
      <x:c r="L221" s="14" t="str">
        <x:v>Relevant by comparison / implication</x:v>
      </x:c>
      <x:c r="M221" s="14" t="str">
        <x:v>Peer-reviewed article</x:v>
      </x:c>
      <x:c r="N221" s="14" t="str">
        <x:v>Tier 2 comparable</x:v>
      </x:c>
      <x:c r="O221" s="14" t="str">
        <x:v>https://doi.org/10.1002/ffo2.70042</x:v>
      </x:c>
      <x:c r="P221" s="14" t="str"/>
      <x:c r="Q221" s="16" t="n">
        <x:v>38</x:v>
      </x:c>
      <x:c r="R221" s="16" t="n">
        <x:v>18</x:v>
      </x:c>
      <x:c r="S221" s="16" t="n">
        <x:v>15</x:v>
      </x:c>
      <x:c r="T221" s="16" t="n">
        <x:v>5</x:v>
      </x:c>
    </x:row>
    <x:row r="222" ht="48" customHeight="1">
      <x:c r="A222" s="16" t="n">
        <x:f>ROW()-1</x:f>
        <x:v>221</x:v>
      </x:c>
      <x:c r="B222" s="16" t="n">
        <x:f>SUM(Q222:T222)</x:f>
        <x:v>76</x:v>
      </x:c>
      <x:c r="C222" s="17" t="str">
        <x:f>IF(B222&gt;=93,"A — Highest authority",IF(B222&gt;=85,"B — Very strong",IF(B222&gt;=75,"C — Strong",IF(B222&gt;=65,"D — Useful with context","E — Supporting / lower weight"))))</x:f>
        <x:v>C — Strong</x:v>
      </x:c>
      <x:c r="D222" s="14" t="str">
        <x:v>New institutional economics outlook for uncovering frictions in implementing the new Philippine graduate education policy</x:v>
      </x:c>
      <x:c r="E222" s="20" t="n">
        <x:v>46143</x:v>
      </x:c>
      <x:c r="F222" s="17" t="str">
        <x:v>B</x:v>
      </x:c>
      <x:c r="G222" s="14" t="str">
        <x:v>Journal of Science and Technology Policy Management</x:v>
      </x:c>
      <x:c r="H222" s="14" t="str"/>
      <x:c r="I222" s="14" t="str">
        <x:v>Lanndon Ocampo, Francisco Largo</x:v>
      </x:c>
      <x:c r="J222" s="14" t="str">
        <x:v>Established peer-reviewed journal. Good academic standing: established peer-reviewed specialist journal.</x:v>
      </x:c>
      <x:c r="K222" s="14" t="str">
        <x:v>Useful comparison or lesson for European policy, even though the source is not mainly about the EU.</x:v>
      </x:c>
      <x:c r="L222" s="14" t="str">
        <x:v>Relevant by comparison / implication</x:v>
      </x:c>
      <x:c r="M222" s="14" t="str">
        <x:v>Peer-reviewed article</x:v>
      </x:c>
      <x:c r="N222" s="14" t="str">
        <x:v>Tier 2 broad journal</x:v>
      </x:c>
      <x:c r="O222" s="14" t="str">
        <x:v>https://doi.org/10.1108/jstpm-06-2025-0285</x:v>
      </x:c>
      <x:c r="P222" s="14" t="str"/>
      <x:c r="Q222" s="16" t="n">
        <x:v>38</x:v>
      </x:c>
      <x:c r="R222" s="16" t="n">
        <x:v>18</x:v>
      </x:c>
      <x:c r="S222" s="16" t="n">
        <x:v>15</x:v>
      </x:c>
      <x:c r="T222" s="16" t="n">
        <x:v>5</x:v>
      </x:c>
    </x:row>
    <x:row r="223" ht="48" customHeight="1">
      <x:c r="A223" s="16" t="n">
        <x:f>ROW()-1</x:f>
        <x:v>222</x:v>
      </x:c>
      <x:c r="B223" s="16" t="n">
        <x:f>SUM(Q223:T223)</x:f>
        <x:v>76</x:v>
      </x:c>
      <x:c r="C223" s="17" t="str">
        <x:f>IF(B223&gt;=93,"A — Highest authority",IF(B223&gt;=85,"B — Very strong",IF(B223&gt;=75,"C — Strong",IF(B223&gt;=65,"D — Useful with context","E — Supporting / lower weight"))))</x:f>
        <x:v>C — Strong</x:v>
      </x:c>
      <x:c r="D223" s="14" t="str">
        <x:v>Supercomputers, artificial intelligence and Europe’s technological sovereignty</x:v>
      </x:c>
      <x:c r="E223" s="20" t="n">
        <x:v>46237</x:v>
      </x:c>
      <x:c r="F223" s="17" t="str">
        <x:v>A</x:v>
      </x:c>
      <x:c r="G223" s="14" t="str">
        <x:v>Proceedings of the European Academy of Sciences and Arts</x:v>
      </x:c>
      <x:c r="H223" s="14" t="str"/>
      <x:c r="I223" s="14" t="str">
        <x:v>Michael Molls; Ulrich Marsch; Klaus Mainzer; Arndt Bode</x:v>
      </x:c>
      <x:c r="J223" s="14" t="str">
        <x:v>Peer-reviewed journal. Useful peer-reviewed evidence; journal standing varies and is not treated as top-tier by default.</x:v>
      </x:c>
      <x:c r="K223" s="14" t="str">
        <x:v>Directly concerns Europe/EU and research, technology, innovation, funding or science policy.</x:v>
      </x:c>
      <x:c r="L223" s="14" t="str">
        <x:v>Direct EU relevance</x:v>
      </x:c>
      <x:c r="M223" s="14" t="str">
        <x:v>Manually verified scholarly/policy source</x:v>
      </x:c>
      <x:c r="N223" s="14" t="str">
        <x:v>Tier 2 broad journal</x:v>
      </x:c>
      <x:c r="O223" s="14" t="str">
        <x:v>https://www.peasa.eu/site/article/view/88</x:v>
      </x:c>
      <x:c r="P223" s="14" t="str"/>
      <x:c r="Q223" s="16" t="n">
        <x:v>32</x:v>
      </x:c>
      <x:c r="R223" s="16" t="n">
        <x:v>25</x:v>
      </x:c>
      <x:c r="S223" s="16" t="n">
        <x:v>14</x:v>
      </x:c>
      <x:c r="T223" s="16" t="n">
        <x:v>5</x:v>
      </x:c>
    </x:row>
    <x:row r="224" ht="48" customHeight="1">
      <x:c r="A224" s="16" t="n">
        <x:f>ROW()-1</x:f>
        <x:v>223</x:v>
      </x:c>
      <x:c r="B224" s="16" t="n">
        <x:f>SUM(Q224:T224)</x:f>
        <x:v>74</x:v>
      </x:c>
      <x:c r="C224" s="17" t="str">
        <x:f>IF(B224&gt;=93,"A — Highest authority",IF(B224&gt;=85,"B — Very strong",IF(B224&gt;=75,"C — Strong",IF(B224&gt;=65,"D — Useful with context","E — Supporting / lower weight"))))</x:f>
        <x:v>D — Useful with context</x:v>
      </x:c>
      <x:c r="D224" s="14" t="str">
        <x:v>Mapping Non-Monetary Values in Data Sharing: Development and Validation of an SSH Framework Across Sectors</x:v>
      </x:c>
      <x:c r="E224" s="20" t="n">
        <x:v>46168</x:v>
      </x:c>
      <x:c r="F224" s="17" t="str">
        <x:v>B</x:v>
      </x:c>
      <x:c r="G224" s="14" t="str">
        <x:v>Open Research Europe</x:v>
      </x:c>
      <x:c r="H224" s="14" t="str"/>
      <x:c r="I224" s="14" t="str">
        <x:v>Margit Hofer, Daniela Fuchs, Eduardo Vyhmeister, Agnieszka Rausch</x:v>
      </x:c>
      <x:c r="J224" s="14" t="str">
        <x:v>EU-supported peer-reviewed publishing platform. Good academic standing and strong EU relevance; a peer-reviewed publishing platform rather than an EU policy body.</x:v>
      </x:c>
      <x:c r="K224" s="14" t="str">
        <x:v>Useful comparison or lesson for European policy, even though the source is not mainly about the EU.</x:v>
      </x:c>
      <x:c r="L224" s="14" t="str">
        <x:v>Relevant by comparison / implication</x:v>
      </x:c>
      <x:c r="M224" s="14" t="str">
        <x:v>Peer-reviewed article</x:v>
      </x:c>
      <x:c r="N224" s="14" t="str">
        <x:v>Tier 2 broad journal</x:v>
      </x:c>
      <x:c r="O224" s="14" t="str">
        <x:v>https://doi.org/10.12688/openreseurope.23548.1</x:v>
      </x:c>
      <x:c r="P224" s="14" t="str"/>
      <x:c r="Q224" s="16" t="n">
        <x:v>36</x:v>
      </x:c>
      <x:c r="R224" s="16" t="n">
        <x:v>18</x:v>
      </x:c>
      <x:c r="S224" s="16" t="n">
        <x:v>15</x:v>
      </x:c>
      <x:c r="T224" s="16" t="n">
        <x:v>5</x:v>
      </x:c>
    </x:row>
    <x:row r="225" ht="48" customHeight="1">
      <x:c r="A225" s="16" t="n">
        <x:f>ROW()-1</x:f>
        <x:v>224</x:v>
      </x:c>
      <x:c r="B225" s="16" t="n">
        <x:f>SUM(Q225:T225)</x:f>
        <x:v>72</x:v>
      </x:c>
      <x:c r="C225" s="17" t="str">
        <x:f>IF(B225&gt;=93,"A — Highest authority",IF(B225&gt;=85,"B — Very strong",IF(B225&gt;=75,"C — Strong",IF(B225&gt;=65,"D — Useful with context","E — Supporting / lower weight"))))</x:f>
        <x:v>D — Useful with context</x:v>
      </x:c>
      <x:c r="D225" s="14" t="str">
        <x:v>Speech by E. Moulin: “Strengthening European sovereignty : from integration to competitiveness” - Institut Jacques Delors</x:v>
      </x:c>
      <x:c r="E225" s="20" t="n">
        <x:v>46302</x:v>
      </x:c>
      <x:c r="F225" s="17" t="str">
        <x:v>C</x:v>
      </x:c>
      <x:c r="G225" s="14" t="str"/>
      <x:c r="H225" s="14" t="str">
        <x:v>Jacques Delors Institute</x:v>
      </x:c>
      <x:c r="I225" s="14" t="str">
        <x:v>Not stated in radar metadata</x:v>
      </x:c>
      <x:c r="J225" s="14" t="str">
        <x:v>Leading policy research institute. High policy standing: established European/international research or policy institute.</x:v>
      </x:c>
      <x:c r="K225" s="14" t="str">
        <x:v>Worth watching because it may change Europe’s capabilities, dependencies, investment environment or security.</x:v>
      </x:c>
      <x:c r="L225" s="14" t="str">
        <x:v>Fast-moving EU-relevant signal</x:v>
      </x:c>
      <x:c r="M225" s="14" t="str">
        <x:v>Current-event/signal evidence</x:v>
      </x:c>
      <x:c r="N225" s="14" t="str">
        <x:v>Not coded</x:v>
      </x:c>
      <x:c r="O225" s="14" t="str">
        <x:v>https://institutdelors.eu/content/uploads/2026/07/TEMPLATE-BLOGPOST-MOULING-EN.pdf</x:v>
      </x:c>
      <x:c r="P225" s="14" t="str"/>
      <x:c r="Q225" s="16" t="n">
        <x:v>43</x:v>
      </x:c>
      <x:c r="R225" s="16" t="n">
        <x:v>18</x:v>
      </x:c>
      <x:c r="S225" s="16" t="n">
        <x:v>9</x:v>
      </x:c>
      <x:c r="T225" s="16" t="n">
        <x:v>2</x:v>
      </x:c>
    </x:row>
    <x:row r="226" ht="48" customHeight="1">
      <x:c r="A226" s="16" t="n">
        <x:f>ROW()-1</x:f>
        <x:v>225</x:v>
      </x:c>
      <x:c r="B226" s="16" t="n">
        <x:f>SUM(Q226:T226)</x:f>
        <x:v>72</x:v>
      </x:c>
      <x:c r="C226" s="17" t="str">
        <x:f>IF(B226&gt;=93,"A — Highest authority",IF(B226&gt;=85,"B — Very strong",IF(B226&gt;=75,"C — Strong",IF(B226&gt;=65,"D — Useful with context","E — Supporting / lower weight"))))</x:f>
        <x:v>D — Useful with context</x:v>
      </x:c>
      <x:c r="D226" s="14" t="str">
        <x:v>The Circular Economy: A Strategic Lever for Europe’s Industrial Sovereignty - Institut Jacques Delors</x:v>
      </x:c>
      <x:c r="E226" s="20" t="n">
        <x:v>46302</x:v>
      </x:c>
      <x:c r="F226" s="17" t="str">
        <x:v>C</x:v>
      </x:c>
      <x:c r="G226" s="14" t="str"/>
      <x:c r="H226" s="14" t="str">
        <x:v>Jacques Delors Institute</x:v>
      </x:c>
      <x:c r="I226" s="14" t="str">
        <x:v>Not stated in radar metadata</x:v>
      </x:c>
      <x:c r="J226" s="14" t="str">
        <x:v>Leading policy research institute. High policy standing: established European/international research or policy institute.</x:v>
      </x:c>
      <x:c r="K226" s="14" t="str">
        <x:v>Worth watching because it may change Europe’s capabilities, dependencies, investment environment or security.</x:v>
      </x:c>
      <x:c r="L226" s="14" t="str">
        <x:v>Fast-moving EU-relevant signal</x:v>
      </x:c>
      <x:c r="M226" s="14" t="str">
        <x:v>Current-event/signal evidence</x:v>
      </x:c>
      <x:c r="N226" s="14" t="str">
        <x:v>Not coded</x:v>
      </x:c>
      <x:c r="O226" s="14" t="str">
        <x:v>https://institutdelors.eu/content/uploads/2026/06/BGP_ECO_CIRCU-EN.pdf</x:v>
      </x:c>
      <x:c r="P226" s="14" t="str"/>
      <x:c r="Q226" s="16" t="n">
        <x:v>43</x:v>
      </x:c>
      <x:c r="R226" s="16" t="n">
        <x:v>18</x:v>
      </x:c>
      <x:c r="S226" s="16" t="n">
        <x:v>9</x:v>
      </x:c>
      <x:c r="T226" s="16" t="n">
        <x:v>2</x:v>
      </x:c>
    </x:row>
    <x:row r="227" ht="48" customHeight="1">
      <x:c r="A227" s="16" t="n">
        <x:f>ROW()-1</x:f>
        <x:v>226</x:v>
      </x:c>
      <x:c r="B227" s="16" t="n">
        <x:f>SUM(Q227:T227)</x:f>
        <x:v>72</x:v>
      </x:c>
      <x:c r="C227" s="17" t="str">
        <x:f>IF(B227&gt;=93,"A — Highest authority",IF(B227&gt;=85,"B — Very strong",IF(B227&gt;=75,"C — Strong",IF(B227&gt;=65,"D — Useful with context","E — Supporting / lower weight"))))</x:f>
        <x:v>D — Useful with context</x:v>
      </x:c>
      <x:c r="D227" s="14" t="str">
        <x:v>China–USA tech race impacting Nvidia: AI, Chips and Geopolitics</x:v>
      </x:c>
      <x:c r="E227" s="20" t="n">
        <x:v>46253</x:v>
      </x:c>
      <x:c r="F227" s="17" t="str">
        <x:v>A</x:v>
      </x:c>
      <x:c r="G227" s="14" t="str">
        <x:v>Emerald Emerging Markets Case Studies</x:v>
      </x:c>
      <x:c r="H227" s="14" t="str"/>
      <x:c r="I227" s="14" t="str">
        <x:v>Debraj Ghosal, Chandramouli Sarkar</x:v>
      </x:c>
      <x:c r="J227" s="14" t="str">
        <x:v>Peer-reviewed journal. Useful peer-reviewed evidence; journal standing varies and is not treated as top-tier by default.</x:v>
      </x:c>
      <x:c r="K227" s="14" t="str">
        <x:v>Important development outside Europe that may change Europe’s technology position, dependencies, competitiveness or security.</x:v>
      </x:c>
      <x:c r="L227" s="14" t="str">
        <x:v>External development with material EU implications</x:v>
      </x:c>
      <x:c r="M227" s="14" t="str">
        <x:v>Peer-reviewed article</x:v>
      </x:c>
      <x:c r="N227" s="14" t="str">
        <x:v>Tier 2 broad journal</x:v>
      </x:c>
      <x:c r="O227" s="14" t="str">
        <x:v>https://doi.org/10.1108/eemcs-08-2025-0514</x:v>
      </x:c>
      <x:c r="P227" s="14" t="str"/>
      <x:c r="Q227" s="16" t="n">
        <x:v>32</x:v>
      </x:c>
      <x:c r="R227" s="16" t="n">
        <x:v>20</x:v>
      </x:c>
      <x:c r="S227" s="16" t="n">
        <x:v>15</x:v>
      </x:c>
      <x:c r="T227" s="16" t="n">
        <x:v>5</x:v>
      </x:c>
    </x:row>
    <x:row r="228" ht="48" customHeight="1">
      <x:c r="A228" s="16" t="n">
        <x:f>ROW()-1</x:f>
        <x:v>227</x:v>
      </x:c>
      <x:c r="B228" s="16" t="n">
        <x:f>SUM(Q228:T228)</x:f>
        <x:v>72</x:v>
      </x:c>
      <x:c r="C228" s="17" t="str">
        <x:f>IF(B228&gt;=93,"A — Highest authority",IF(B228&gt;=85,"B — Very strong",IF(B228&gt;=75,"C — Strong",IF(B228&gt;=65,"D — Useful with context","E — Supporting / lower weight"))))</x:f>
        <x:v>D — Useful with context</x:v>
      </x:c>
      <x:c r="D228" s="14" t="str">
        <x:v>Unlocking regional total factor carbon efficiency through digital-green convergent innovation</x:v>
      </x:c>
      <x:c r="E228" s="20" t="n">
        <x:v>46249</x:v>
      </x:c>
      <x:c r="F228" s="17" t="str">
        <x:v>A</x:v>
      </x:c>
      <x:c r="G228" s="14" t="str">
        <x:v>Humanities and Social Sciences Communications</x:v>
      </x:c>
      <x:c r="H228" s="14" t="str"/>
      <x:c r="I228" s="14" t="str">
        <x:v>Junyi Huang, Yafei Du, Jianping Gu, Qing Lu</x:v>
      </x:c>
      <x:c r="J228" s="14" t="str">
        <x:v>Peer-reviewed journal. Useful peer-reviewed evidence; journal standing varies and is not treated as top-tier by default.</x:v>
      </x:c>
      <x:c r="K228" s="14" t="str">
        <x:v>Important development outside Europe that may change Europe’s technology position, dependencies, competitiveness or security.</x:v>
      </x:c>
      <x:c r="L228" s="14" t="str">
        <x:v>External development with material EU implications</x:v>
      </x:c>
      <x:c r="M228" s="14" t="str">
        <x:v>Peer-reviewed article</x:v>
      </x:c>
      <x:c r="N228" s="14" t="str">
        <x:v>Tier 2 broad journal</x:v>
      </x:c>
      <x:c r="O228" s="14" t="str">
        <x:v>https://doi.org/10.1057/s41599-026-08670-2</x:v>
      </x:c>
      <x:c r="P228" s="14" t="str"/>
      <x:c r="Q228" s="16" t="n">
        <x:v>32</x:v>
      </x:c>
      <x:c r="R228" s="16" t="n">
        <x:v>20</x:v>
      </x:c>
      <x:c r="S228" s="16" t="n">
        <x:v>15</x:v>
      </x:c>
      <x:c r="T228" s="16" t="n">
        <x:v>5</x:v>
      </x:c>
    </x:row>
    <x:row r="229" ht="48" customHeight="1">
      <x:c r="A229" s="16" t="n">
        <x:f>ROW()-1</x:f>
        <x:v>228</x:v>
      </x:c>
      <x:c r="B229" s="16" t="n">
        <x:f>SUM(Q229:T229)</x:f>
        <x:v>72</x:v>
      </x:c>
      <x:c r="C229" s="17" t="str">
        <x:f>IF(B229&gt;=93,"A — Highest authority",IF(B229&gt;=85,"B — Very strong",IF(B229&gt;=75,"C — Strong",IF(B229&gt;=65,"D — Useful with context","E — Supporting / lower weight"))))</x:f>
        <x:v>D — Useful with context</x:v>
      </x:c>
      <x:c r="D229" s="14" t="str">
        <x:v>Layered Legacies: Cold War Export Control Institutions and Allied and Partner Responses in Asia‐Pacific Technology Governance</x:v>
      </x:c>
      <x:c r="E229" s="20" t="n">
        <x:v>46219</x:v>
      </x:c>
      <x:c r="F229" s="17" t="str">
        <x:v>A</x:v>
      </x:c>
      <x:c r="G229" s="14" t="str">
        <x:v>Australian Journal of Politics &amp; History</x:v>
      </x:c>
      <x:c r="H229" s="14" t="str"/>
      <x:c r="I229" s="14" t="str">
        <x:v>Kuan‐Yu Lin</x:v>
      </x:c>
      <x:c r="J229" s="14" t="str">
        <x:v>Peer-reviewed journal. Useful peer-reviewed evidence; journal standing varies and is not treated as top-tier by default.</x:v>
      </x:c>
      <x:c r="K229" s="14" t="str">
        <x:v>Important development outside Europe that may change Europe’s technology position, dependencies, competitiveness or security.</x:v>
      </x:c>
      <x:c r="L229" s="14" t="str">
        <x:v>External development with material EU implications</x:v>
      </x:c>
      <x:c r="M229" s="14" t="str">
        <x:v>Peer-reviewed article</x:v>
      </x:c>
      <x:c r="N229" s="14" t="str">
        <x:v>Tier 2 broad journal</x:v>
      </x:c>
      <x:c r="O229" s="14" t="str">
        <x:v>https://doi.org/10.1111/ajph.70090</x:v>
      </x:c>
      <x:c r="P229" s="14" t="str"/>
      <x:c r="Q229" s="16" t="n">
        <x:v>32</x:v>
      </x:c>
      <x:c r="R229" s="16" t="n">
        <x:v>20</x:v>
      </x:c>
      <x:c r="S229" s="16" t="n">
        <x:v>15</x:v>
      </x:c>
      <x:c r="T229" s="16" t="n">
        <x:v>5</x:v>
      </x:c>
    </x:row>
    <x:row r="230" ht="48" customHeight="1">
      <x:c r="A230" s="16" t="n">
        <x:f>ROW()-1</x:f>
        <x:v>229</x:v>
      </x:c>
      <x:c r="B230" s="16" t="n">
        <x:f>SUM(Q230:T230)</x:f>
        <x:v>72</x:v>
      </x:c>
      <x:c r="C230" s="17" t="str">
        <x:f>IF(B230&gt;=93,"A — Highest authority",IF(B230&gt;=85,"B — Very strong",IF(B230&gt;=75,"C — Strong",IF(B230&gt;=65,"D — Useful with context","E — Supporting / lower weight"))))</x:f>
        <x:v>D — Useful with context</x:v>
      </x:c>
      <x:c r="D230" s="14" t="str">
        <x:v>(Invited) Driving Data-Centric Innovation in Energy Storage Manufacturing</x:v>
      </x:c>
      <x:c r="E230" s="20" t="n">
        <x:v>46210</x:v>
      </x:c>
      <x:c r="F230" s="17" t="str">
        <x:v>A</x:v>
      </x:c>
      <x:c r="G230" s="14" t="str">
        <x:v>ECS Meeting Abstracts</x:v>
      </x:c>
      <x:c r="H230" s="14" t="str"/>
      <x:c r="I230" s="14" t="str">
        <x:v>Changwon Suh</x:v>
      </x:c>
      <x:c r="J230" s="14" t="str">
        <x:v>Peer-reviewed journal. Useful peer-reviewed evidence; journal standing varies and is not treated as top-tier by default.</x:v>
      </x:c>
      <x:c r="K230" s="14" t="str">
        <x:v>Important development outside Europe that may change Europe’s technology position, dependencies, competitiveness or security.</x:v>
      </x:c>
      <x:c r="L230" s="14" t="str">
        <x:v>External development with material EU implications</x:v>
      </x:c>
      <x:c r="M230" s="14" t="str">
        <x:v>Peer-reviewed article</x:v>
      </x:c>
      <x:c r="N230" s="14" t="str">
        <x:v>Tier 2 broad journal</x:v>
      </x:c>
      <x:c r="O230" s="14" t="str">
        <x:v>https://doi.org/10.1149/ma2026-016677mtgabs</x:v>
      </x:c>
      <x:c r="P230" s="14" t="str"/>
      <x:c r="Q230" s="16" t="n">
        <x:v>32</x:v>
      </x:c>
      <x:c r="R230" s="16" t="n">
        <x:v>20</x:v>
      </x:c>
      <x:c r="S230" s="16" t="n">
        <x:v>15</x:v>
      </x:c>
      <x:c r="T230" s="16" t="n">
        <x:v>5</x:v>
      </x:c>
    </x:row>
    <x:row r="231" ht="48" customHeight="1">
      <x:c r="A231" s="16" t="n">
        <x:f>ROW()-1</x:f>
        <x:v>230</x:v>
      </x:c>
      <x:c r="B231" s="16" t="n">
        <x:f>SUM(Q231:T231)</x:f>
        <x:v>72</x:v>
      </x:c>
      <x:c r="C231" s="17" t="str">
        <x:f>IF(B231&gt;=93,"A — Highest authority",IF(B231&gt;=85,"B — Very strong",IF(B231&gt;=75,"C — Strong",IF(B231&gt;=65,"D — Useful with context","E — Supporting / lower weight"))))</x:f>
        <x:v>D — Useful with context</x:v>
      </x:c>
      <x:c r="D231" s="14" t="str">
        <x:v>Disruptive Innovation in Manufacturing: A Qualitative Analysis of the Musk Operating Philosophy</x:v>
      </x:c>
      <x:c r="E231" s="20" t="n">
        <x:v>46208</x:v>
      </x:c>
      <x:c r="F231" s="17" t="str">
        <x:v>A</x:v>
      </x:c>
      <x:c r="G231" s="14" t="str">
        <x:v>International Journal For Multidisciplinary Research</x:v>
      </x:c>
      <x:c r="H231" s="14" t="str"/>
      <x:c r="I231" s="14" t="str">
        <x:v>RAJIV TEWARI</x:v>
      </x:c>
      <x:c r="J231" s="14" t="str">
        <x:v>Peer-reviewed journal. Useful peer-reviewed evidence; journal standing varies and is not treated as top-tier by default.</x:v>
      </x:c>
      <x:c r="K231" s="14" t="str">
        <x:v>Important development outside Europe that may change Europe’s technology position, dependencies, competitiveness or security.</x:v>
      </x:c>
      <x:c r="L231" s="14" t="str">
        <x:v>External development with material EU implications</x:v>
      </x:c>
      <x:c r="M231" s="14" t="str">
        <x:v>Peer-reviewed article</x:v>
      </x:c>
      <x:c r="N231" s="14" t="str">
        <x:v>Tier 2 broad journal</x:v>
      </x:c>
      <x:c r="O231" s="14" t="str">
        <x:v>https://doi.org/10.36948/ijfmr.2026.v08i04.83138</x:v>
      </x:c>
      <x:c r="P231" s="14" t="str"/>
      <x:c r="Q231" s="16" t="n">
        <x:v>32</x:v>
      </x:c>
      <x:c r="R231" s="16" t="n">
        <x:v>20</x:v>
      </x:c>
      <x:c r="S231" s="16" t="n">
        <x:v>15</x:v>
      </x:c>
      <x:c r="T231" s="16" t="n">
        <x:v>5</x:v>
      </x:c>
    </x:row>
    <x:row r="232" ht="48" customHeight="1">
      <x:c r="A232" s="16" t="n">
        <x:f>ROW()-1</x:f>
        <x:v>231</x:v>
      </x:c>
      <x:c r="B232" s="16" t="n">
        <x:f>SUM(Q232:T232)</x:f>
        <x:v>72</x:v>
      </x:c>
      <x:c r="C232" s="17" t="str">
        <x:f>IF(B232&gt;=93,"A — Highest authority",IF(B232&gt;=85,"B — Very strong",IF(B232&gt;=75,"C — Strong",IF(B232&gt;=65,"D — Useful with context","E — Supporting / lower weight"))))</x:f>
        <x:v>D — Useful with context</x:v>
      </x:c>
      <x:c r="D232" s="14" t="str">
        <x:v>WG Tech JiangXi: Technological Innovation and Strategic Transformation of a Small Giant</x:v>
      </x:c>
      <x:c r="E232" s="20" t="n">
        <x:v>46200</x:v>
      </x:c>
      <x:c r="F232" s="17" t="str">
        <x:v>A</x:v>
      </x:c>
      <x:c r="G232" s="14" t="str">
        <x:v>Asian Case Research Journal</x:v>
      </x:c>
      <x:c r="H232" s="14" t="str"/>
      <x:c r="I232" s="14" t="str">
        <x:v>Mengjun Li, Ruiqi Dong</x:v>
      </x:c>
      <x:c r="J232" s="14" t="str">
        <x:v>Peer-reviewed journal. Useful peer-reviewed evidence; journal standing varies and is not treated as top-tier by default.</x:v>
      </x:c>
      <x:c r="K232" s="14" t="str">
        <x:v>Important development outside Europe that may change Europe’s technology position, dependencies, competitiveness or security.</x:v>
      </x:c>
      <x:c r="L232" s="14" t="str">
        <x:v>External development with material EU implications</x:v>
      </x:c>
      <x:c r="M232" s="14" t="str">
        <x:v>Peer-reviewed article</x:v>
      </x:c>
      <x:c r="N232" s="14" t="str">
        <x:v>Tier 2 broad journal</x:v>
      </x:c>
      <x:c r="O232" s="14" t="str">
        <x:v>https://doi.org/10.1142/s0218927526500069</x:v>
      </x:c>
      <x:c r="P232" s="14" t="str"/>
      <x:c r="Q232" s="16" t="n">
        <x:v>32</x:v>
      </x:c>
      <x:c r="R232" s="16" t="n">
        <x:v>20</x:v>
      </x:c>
      <x:c r="S232" s="16" t="n">
        <x:v>15</x:v>
      </x:c>
      <x:c r="T232" s="16" t="n">
        <x:v>5</x:v>
      </x:c>
    </x:row>
    <x:row r="233" ht="48" customHeight="1">
      <x:c r="A233" s="16" t="n">
        <x:f>ROW()-1</x:f>
        <x:v>232</x:v>
      </x:c>
      <x:c r="B233" s="16" t="n">
        <x:f>SUM(Q233:T233)</x:f>
        <x:v>72</x:v>
      </x:c>
      <x:c r="C233" s="17" t="str">
        <x:f>IF(B233&gt;=93,"A — Highest authority",IF(B233&gt;=85,"B — Very strong",IF(B233&gt;=75,"C — Strong",IF(B233&gt;=65,"D — Useful with context","E — Supporting / lower weight"))))</x:f>
        <x:v>D — Useful with context</x:v>
      </x:c>
      <x:c r="D233" s="14" t="str">
        <x:v>Semiconductor Geopolitics and Strategic Competition: China’s Responses to the CHIPS and Science Act in the Global Political Economy</x:v>
      </x:c>
      <x:c r="E233" s="20" t="n">
        <x:v>46198</x:v>
      </x:c>
      <x:c r="F233" s="17" t="str">
        <x:v>A</x:v>
      </x:c>
      <x:c r="G233" s="14" t="str">
        <x:v>Insignia Journal of International Relations</x:v>
      </x:c>
      <x:c r="H233" s="14" t="str"/>
      <x:c r="I233" s="14" t="str">
        <x:v>Ridha Amalia, Mirah Satria Alamsyah, Syuryansyah Syuryansyah, Bagaskara Sagita Wijaya</x:v>
      </x:c>
      <x:c r="J233" s="14" t="str">
        <x:v>Peer-reviewed journal. Useful peer-reviewed evidence; journal standing varies and is not treated as top-tier by default.</x:v>
      </x:c>
      <x:c r="K233" s="14" t="str">
        <x:v>Important development outside Europe that may change Europe’s technology position, dependencies, competitiveness or security.</x:v>
      </x:c>
      <x:c r="L233" s="14" t="str">
        <x:v>External development with material EU implications</x:v>
      </x:c>
      <x:c r="M233" s="14" t="str">
        <x:v>Peer-reviewed article</x:v>
      </x:c>
      <x:c r="N233" s="14" t="str">
        <x:v>Tier 2 broad journal</x:v>
      </x:c>
      <x:c r="O233" s="14" t="str">
        <x:v>https://doi.org/10.20884/1.ins.2026.13.1.18847</x:v>
      </x:c>
      <x:c r="P233" s="14" t="str"/>
      <x:c r="Q233" s="16" t="n">
        <x:v>32</x:v>
      </x:c>
      <x:c r="R233" s="16" t="n">
        <x:v>20</x:v>
      </x:c>
      <x:c r="S233" s="16" t="n">
        <x:v>15</x:v>
      </x:c>
      <x:c r="T233" s="16" t="n">
        <x:v>5</x:v>
      </x:c>
    </x:row>
    <x:row r="234" ht="48" customHeight="1">
      <x:c r="A234" s="16" t="n">
        <x:f>ROW()-1</x:f>
        <x:v>233</x:v>
      </x:c>
      <x:c r="B234" s="16" t="n">
        <x:f>SUM(Q234:T234)</x:f>
        <x:v>71</x:v>
      </x:c>
      <x:c r="C234" s="17" t="str">
        <x:f>IF(B234&gt;=93,"A — Highest authority",IF(B234&gt;=85,"B — Very strong",IF(B234&gt;=75,"C — Strong",IF(B234&gt;=65,"D — Useful with context","E — Supporting / lower weight"))))</x:f>
        <x:v>D — Useful with context</x:v>
      </x:c>
      <x:c r="D234" s="14" t="str">
        <x:v>SEMI Europe | EU Policy Brief | April 2026</x:v>
      </x:c>
      <x:c r="E234" s="20" t="n">
        <x:v>46169</x:v>
      </x:c>
      <x:c r="F234" s="17" t="str">
        <x:v>A</x:v>
      </x:c>
      <x:c r="G234" s="14" t="str"/>
      <x:c r="H234" s="14" t="str">
        <x:v>SEMI Europe</x:v>
      </x:c>
      <x:c r="I234" s="14" t="str">
        <x:v>SEMI Europe</x:v>
      </x:c>
      <x:c r="J234" s="14" t="str">
        <x:v>Specialist source. Useful specialist evidence, but narrower or less authoritative than the main policy/academic sources.</x:v>
      </x:c>
      <x:c r="K234" s="14" t="str">
        <x:v>Directly concerns Europe/EU and research, technology, innovation, funding or science policy.</x:v>
      </x:c>
      <x:c r="L234" s="14" t="str">
        <x:v>Direct EU relevance</x:v>
      </x:c>
      <x:c r="M234" s="14" t="str">
        <x:v>Manually verified scholarly/policy source</x:v>
      </x:c>
      <x:c r="N234" s="14" t="str">
        <x:v>Tier 3 specialist</x:v>
      </x:c>
      <x:c r="O234" s="14" t="str">
        <x:v>https://www.semi.org/sites/semi.org/files/2026-05/European_Policy_Brief_April_%202026.pdf</x:v>
      </x:c>
      <x:c r="P234" s="14" t="str"/>
      <x:c r="Q234" s="16" t="n">
        <x:v>27</x:v>
      </x:c>
      <x:c r="R234" s="16" t="n">
        <x:v>25</x:v>
      </x:c>
      <x:c r="S234" s="16" t="n">
        <x:v>14</x:v>
      </x:c>
      <x:c r="T234" s="16" t="n">
        <x:v>5</x:v>
      </x:c>
    </x:row>
    <x:row r="235" ht="48" customHeight="1">
      <x:c r="A235" s="16" t="n">
        <x:f>ROW()-1</x:f>
        <x:v>234</x:v>
      </x:c>
      <x:c r="B235" s="16" t="n">
        <x:f>SUM(Q235:T235)</x:f>
        <x:v>70</x:v>
      </x:c>
      <x:c r="C235" s="17" t="str">
        <x:f>IF(B235&gt;=93,"A — Highest authority",IF(B235&gt;=85,"B — Very strong",IF(B235&gt;=75,"C — Strong",IF(B235&gt;=65,"D — Useful with context","E — Supporting / lower weight"))))</x:f>
        <x:v>D — Useful with context</x:v>
      </x:c>
      <x:c r="D235" s="14" t="str">
        <x:v>A Multi-agent Approach to Technology Intelligence: From Patents to Market Signals with Large Language Models</x:v>
      </x:c>
      <x:c r="E235" s="20" t="n">
        <x:v>46259</x:v>
      </x:c>
      <x:c r="F235" s="17" t="str">
        <x:v>B</x:v>
      </x:c>
      <x:c r="G235" s="14" t="str">
        <x:v>European Conference on Knowledge Management</x:v>
      </x:c>
      <x:c r="H235" s="14" t="str"/>
      <x:c r="I235" s="14" t="str">
        <x:v>Jan Černý</x:v>
      </x:c>
      <x:c r="J235" s="14" t="str">
        <x:v>Peer-reviewed journal. Useful peer-reviewed evidence; journal standing varies and is not treated as top-tier by default.</x:v>
      </x:c>
      <x:c r="K235" s="14" t="str">
        <x:v>Useful comparison or lesson for European policy, even though the source is not mainly about the EU.</x:v>
      </x:c>
      <x:c r="L235" s="14" t="str">
        <x:v>Relevant by comparison / implication</x:v>
      </x:c>
      <x:c r="M235" s="14" t="str">
        <x:v>Peer-reviewed article</x:v>
      </x:c>
      <x:c r="N235" s="14" t="str">
        <x:v>Tier 2 broad journal</x:v>
      </x:c>
      <x:c r="O235" s="14" t="str">
        <x:v>https://doi.org/10.34190/eckm.27.1.5344</x:v>
      </x:c>
      <x:c r="P235" s="14" t="str"/>
      <x:c r="Q235" s="16" t="n">
        <x:v>32</x:v>
      </x:c>
      <x:c r="R235" s="16" t="n">
        <x:v>18</x:v>
      </x:c>
      <x:c r="S235" s="16" t="n">
        <x:v>15</x:v>
      </x:c>
      <x:c r="T235" s="16" t="n">
        <x:v>5</x:v>
      </x:c>
    </x:row>
    <x:row r="236" ht="48" customHeight="1">
      <x:c r="A236" s="16" t="n">
        <x:f>ROW()-1</x:f>
        <x:v>235</x:v>
      </x:c>
      <x:c r="B236" s="16" t="n">
        <x:f>SUM(Q236:T236)</x:f>
        <x:v>70</x:v>
      </x:c>
      <x:c r="C236" s="17" t="str">
        <x:f>IF(B236&gt;=93,"A — Highest authority",IF(B236&gt;=85,"B — Very strong",IF(B236&gt;=75,"C — Strong",IF(B236&gt;=65,"D — Useful with context","E — Supporting / lower weight"))))</x:f>
        <x:v>D — Useful with context</x:v>
      </x:c>
      <x:c r="D236" s="14" t="str">
        <x:v>Forest pests on the move: Adapting horizon scanning methodology to assess climate-driven range expansion in forest pests</x:v>
      </x:c>
      <x:c r="E236" s="20" t="n">
        <x:v>46251</x:v>
      </x:c>
      <x:c r="F236" s="17" t="str">
        <x:v>B</x:v>
      </x:c>
      <x:c r="G236" s="14" t="str">
        <x:v>ARPHA Conference Abstracts</x:v>
      </x:c>
      <x:c r="H236" s="14" t="str"/>
      <x:c r="I236" s="14" t="str">
        <x:v>Deah Lieurance, Annette Evans, Julie Lockwood, Cesilia Aguilar, Sofia Al-Shayeb, Coleman Earnest, Laura Meyerson, Alanna Richman, et al.</x:v>
      </x:c>
      <x:c r="J236" s="14" t="str">
        <x:v>Peer-reviewed journal. Useful peer-reviewed evidence; journal standing varies and is not treated as top-tier by default.</x:v>
      </x:c>
      <x:c r="K236" s="14" t="str">
        <x:v>Useful comparison or lesson for European policy, even though the source is not mainly about the EU.</x:v>
      </x:c>
      <x:c r="L236" s="14" t="str">
        <x:v>Relevant by comparison / implication</x:v>
      </x:c>
      <x:c r="M236" s="14" t="str">
        <x:v>Peer-reviewed article</x:v>
      </x:c>
      <x:c r="N236" s="14" t="str">
        <x:v>Tier 2 broad journal</x:v>
      </x:c>
      <x:c r="O236" s="14" t="str">
        <x:v>https://doi.org/10.3897/aca.9.e202193</x:v>
      </x:c>
      <x:c r="P236" s="14" t="str"/>
      <x:c r="Q236" s="16" t="n">
        <x:v>32</x:v>
      </x:c>
      <x:c r="R236" s="16" t="n">
        <x:v>18</x:v>
      </x:c>
      <x:c r="S236" s="16" t="n">
        <x:v>15</x:v>
      </x:c>
      <x:c r="T236" s="16" t="n">
        <x:v>5</x:v>
      </x:c>
    </x:row>
    <x:row r="237" ht="48" customHeight="1">
      <x:c r="A237" s="16" t="n">
        <x:f>ROW()-1</x:f>
        <x:v>236</x:v>
      </x:c>
      <x:c r="B237" s="16" t="n">
        <x:f>SUM(Q237:T237)</x:f>
        <x:v>70</x:v>
      </x:c>
      <x:c r="C237" s="17" t="str">
        <x:f>IF(B237&gt;=93,"A — Highest authority",IF(B237&gt;=85,"B — Very strong",IF(B237&gt;=75,"C — Strong",IF(B237&gt;=65,"D — Useful with context","E — Supporting / lower weight"))))</x:f>
        <x:v>D — Useful with context</x:v>
      </x:c>
      <x:c r="D237" s="14" t="str">
        <x:v>Design and Application of Weak Signal Detection Method Based on the Four-Dimensional Bistable Stochastic Resonance System</x:v>
      </x:c>
      <x:c r="E237" s="20" t="n">
        <x:v>46221</x:v>
      </x:c>
      <x:c r="F237" s="17" t="str">
        <x:v>B</x:v>
      </x:c>
      <x:c r="G237" s="14" t="str">
        <x:v>Fluctuation and Noise Letters</x:v>
      </x:c>
      <x:c r="H237" s="14" t="str"/>
      <x:c r="I237" s="14" t="str">
        <x:v>Qi Chen, Wenxin Yu</x:v>
      </x:c>
      <x:c r="J237" s="14" t="str">
        <x:v>Peer-reviewed journal. Useful peer-reviewed evidence; journal standing varies and is not treated as top-tier by default.</x:v>
      </x:c>
      <x:c r="K237" s="14" t="str">
        <x:v>Useful comparison or lesson for European policy, even though the source is not mainly about the EU.</x:v>
      </x:c>
      <x:c r="L237" s="14" t="str">
        <x:v>Relevant by comparison / implication</x:v>
      </x:c>
      <x:c r="M237" s="14" t="str">
        <x:v>Peer-reviewed article</x:v>
      </x:c>
      <x:c r="N237" s="14" t="str">
        <x:v>Tier 2 broad journal</x:v>
      </x:c>
      <x:c r="O237" s="14" t="str">
        <x:v>https://doi.org/10.1142/s0219477526500525</x:v>
      </x:c>
      <x:c r="P237" s="14" t="str"/>
      <x:c r="Q237" s="16" t="n">
        <x:v>32</x:v>
      </x:c>
      <x:c r="R237" s="16" t="n">
        <x:v>18</x:v>
      </x:c>
      <x:c r="S237" s="16" t="n">
        <x:v>15</x:v>
      </x:c>
      <x:c r="T237" s="16" t="n">
        <x:v>5</x:v>
      </x:c>
    </x:row>
    <x:row r="238" ht="48" customHeight="1">
      <x:c r="A238" s="16" t="n">
        <x:f>ROW()-1</x:f>
        <x:v>237</x:v>
      </x:c>
      <x:c r="B238" s="16" t="n">
        <x:f>SUM(Q238:T238)</x:f>
        <x:v>70</x:v>
      </x:c>
      <x:c r="C238" s="17" t="str">
        <x:f>IF(B238&gt;=93,"A — Highest authority",IF(B238&gt;=85,"B — Very strong",IF(B238&gt;=75,"C — Strong",IF(B238&gt;=65,"D — Useful with context","E — Supporting / lower weight"))))</x:f>
        <x:v>D — Useful with context</x:v>
      </x:c>
      <x:c r="D238" s="14" t="str">
        <x:v>Strategic Leadership in Multinational FMCG Corporations: Managing Regional Market Complexity in Emerging Economies</x:v>
      </x:c>
      <x:c r="E238" s="20" t="n">
        <x:v>46174</x:v>
      </x:c>
      <x:c r="F238" s="17" t="str">
        <x:v>B</x:v>
      </x:c>
      <x:c r="G238" s="14" t="str">
        <x:v>Research Journal in Business and Economics</x:v>
      </x:c>
      <x:c r="H238" s="14" t="str"/>
      <x:c r="I238" s="14" t="str">
        <x:v>Konstantin Yakimov</x:v>
      </x:c>
      <x:c r="J238" s="14" t="str">
        <x:v>Peer-reviewed journal. Useful peer-reviewed evidence; journal standing varies and is not treated as top-tier by default.</x:v>
      </x:c>
      <x:c r="K238" s="14" t="str">
        <x:v>Useful comparison or lesson for European policy, even though the source is not mainly about the EU.</x:v>
      </x:c>
      <x:c r="L238" s="14" t="str">
        <x:v>Relevant by comparison / implication</x:v>
      </x:c>
      <x:c r="M238" s="14" t="str">
        <x:v>Peer-reviewed article</x:v>
      </x:c>
      <x:c r="N238" s="14" t="str">
        <x:v>Tier 2 broad journal</x:v>
      </x:c>
      <x:c r="O238" s="14" t="str">
        <x:v>https://doi.org/10.61424/rjbe.v4i2.889</x:v>
      </x:c>
      <x:c r="P238" s="14" t="str"/>
      <x:c r="Q238" s="16" t="n">
        <x:v>32</x:v>
      </x:c>
      <x:c r="R238" s="16" t="n">
        <x:v>18</x:v>
      </x:c>
      <x:c r="S238" s="16" t="n">
        <x:v>15</x:v>
      </x:c>
      <x:c r="T238" s="16" t="n">
        <x:v>5</x:v>
      </x:c>
    </x:row>
    <x:row r="239" ht="48" customHeight="1">
      <x:c r="A239" s="16" t="n">
        <x:f>ROW()-1</x:f>
        <x:v>238</x:v>
      </x:c>
      <x:c r="B239" s="16" t="n">
        <x:f>SUM(Q239:T239)</x:f>
        <x:v>70</x:v>
      </x:c>
      <x:c r="C239" s="17" t="str">
        <x:f>IF(B239&gt;=93,"A — Highest authority",IF(B239&gt;=85,"B — Very strong",IF(B239&gt;=75,"C — Strong",IF(B239&gt;=65,"D — Useful with context","E — Supporting / lower weight"))))</x:f>
        <x:v>D — Useful with context</x:v>
      </x:c>
      <x:c r="D239" s="14" t="str">
        <x:v>Transformative pathways toward just and sustainable urban mobility in Kampala: A backcasting and adaptation approach</x:v>
      </x:c>
      <x:c r="E239" s="20" t="n">
        <x:v>46174</x:v>
      </x:c>
      <x:c r="F239" s="17" t="str">
        <x:v>B</x:v>
      </x:c>
      <x:c r="G239" s="14" t="str">
        <x:v>Journal of Urban Mobility</x:v>
      </x:c>
      <x:c r="H239" s="14" t="str"/>
      <x:c r="I239" s="14" t="str">
        <x:v>Calvin Rapa, Emmanuel Tolulope Busayo</x:v>
      </x:c>
      <x:c r="J239" s="14" t="str">
        <x:v>Peer-reviewed journal. Useful peer-reviewed evidence; journal standing varies and is not treated as top-tier by default.</x:v>
      </x:c>
      <x:c r="K239" s="14" t="str">
        <x:v>Useful comparison or lesson for European policy, even though the source is not mainly about the EU.</x:v>
      </x:c>
      <x:c r="L239" s="14" t="str">
        <x:v>Relevant by comparison / implication</x:v>
      </x:c>
      <x:c r="M239" s="14" t="str">
        <x:v>Peer-reviewed article</x:v>
      </x:c>
      <x:c r="N239" s="14" t="str">
        <x:v>Tier 2 broad journal</x:v>
      </x:c>
      <x:c r="O239" s="14" t="str">
        <x:v>https://doi.org/10.1016/j.urbmob.2026.100236</x:v>
      </x:c>
      <x:c r="P239" s="14" t="str"/>
      <x:c r="Q239" s="16" t="n">
        <x:v>32</x:v>
      </x:c>
      <x:c r="R239" s="16" t="n">
        <x:v>18</x:v>
      </x:c>
      <x:c r="S239" s="16" t="n">
        <x:v>15</x:v>
      </x:c>
      <x:c r="T239" s="16" t="n">
        <x:v>5</x:v>
      </x:c>
    </x:row>
    <x:row r="240" ht="48" customHeight="1">
      <x:c r="A240" s="16" t="n">
        <x:f>ROW()-1</x:f>
        <x:v>239</x:v>
      </x:c>
      <x:c r="B240" s="16" t="n">
        <x:f>SUM(Q240:T240)</x:f>
        <x:v>70</x:v>
      </x:c>
      <x:c r="C240" s="17" t="str">
        <x:f>IF(B240&gt;=93,"A — Highest authority",IF(B240&gt;=85,"B — Very strong",IF(B240&gt;=75,"C — Strong",IF(B240&gt;=65,"D — Useful with context","E — Supporting / lower weight"))))</x:f>
        <x:v>D — Useful with context</x:v>
      </x:c>
      <x:c r="D240" s="14" t="str">
        <x:v>A sectoral strategic roadmapping framework for combining regulatory and industry perspectives: the case of Advanced Air Mobility in Canada</x:v>
      </x:c>
      <x:c r="E240" s="20" t="n">
        <x:v>46170</x:v>
      </x:c>
      <x:c r="F240" s="17" t="str">
        <x:v>B</x:v>
      </x:c>
      <x:c r="G240" s="14" t="str">
        <x:v>Aviation</x:v>
      </x:c>
      <x:c r="H240" s="14" t="str"/>
      <x:c r="I240" s="14" t="str">
        <x:v>Jeremy Laplante, Fabiano Armellini, Isabelle Deschamps</x:v>
      </x:c>
      <x:c r="J240" s="14" t="str">
        <x:v>Peer-reviewed journal. Useful peer-reviewed evidence; journal standing varies and is not treated as top-tier by default.</x:v>
      </x:c>
      <x:c r="K240" s="14" t="str">
        <x:v>Useful comparison or lesson for European policy, even though the source is not mainly about the EU.</x:v>
      </x:c>
      <x:c r="L240" s="14" t="str">
        <x:v>Relevant by comparison / implication</x:v>
      </x:c>
      <x:c r="M240" s="14" t="str">
        <x:v>Peer-reviewed article</x:v>
      </x:c>
      <x:c r="N240" s="14" t="str">
        <x:v>Tier 2 broad journal</x:v>
      </x:c>
      <x:c r="O240" s="14" t="str">
        <x:v>https://doi.org/10.3846/aviation.2026.26878</x:v>
      </x:c>
      <x:c r="P240" s="14" t="str"/>
      <x:c r="Q240" s="16" t="n">
        <x:v>32</x:v>
      </x:c>
      <x:c r="R240" s="16" t="n">
        <x:v>18</x:v>
      </x:c>
      <x:c r="S240" s="16" t="n">
        <x:v>15</x:v>
      </x:c>
      <x:c r="T240" s="16" t="n">
        <x:v>5</x:v>
      </x:c>
    </x:row>
    <x:row r="241" ht="48" customHeight="1">
      <x:c r="A241" s="16" t="n">
        <x:f>ROW()-1</x:f>
        <x:v>240</x:v>
      </x:c>
      <x:c r="B241" s="16" t="n">
        <x:f>SUM(Q241:T241)</x:f>
        <x:v>70</x:v>
      </x:c>
      <x:c r="C241" s="17" t="str">
        <x:f>IF(B241&gt;=93,"A — Highest authority",IF(B241&gt;=85,"B — Very strong",IF(B241&gt;=75,"C — Strong",IF(B241&gt;=65,"D — Useful with context","E — Supporting / lower weight"))))</x:f>
        <x:v>D — Useful with context</x:v>
      </x:c>
      <x:c r="D241" s="14" t="str">
        <x:v>Scientific foundations of Horizon Scanning methodology for early signal identification in healthcare</x:v>
      </x:c>
      <x:c r="E241" s="20" t="n">
        <x:v>46168</x:v>
      </x:c>
      <x:c r="F241" s="17" t="str">
        <x:v>B</x:v>
      </x:c>
      <x:c r="G241" s="14" t="str">
        <x:v>Farmatsevtychnyi zhurnal</x:v>
      </x:c>
      <x:c r="H241" s="14" t="str"/>
      <x:c r="I241" s="14" t="str">
        <x:v>M. P. Martynchuk, K. L. Kosiachenko</x:v>
      </x:c>
      <x:c r="J241" s="14" t="str">
        <x:v>Peer-reviewed journal. Useful peer-reviewed evidence; journal standing varies and is not treated as top-tier by default.</x:v>
      </x:c>
      <x:c r="K241" s="14" t="str">
        <x:v>Useful comparison or lesson for European policy, even though the source is not mainly about the EU.</x:v>
      </x:c>
      <x:c r="L241" s="14" t="str">
        <x:v>Relevant by comparison / implication</x:v>
      </x:c>
      <x:c r="M241" s="14" t="str">
        <x:v>Peer-reviewed article</x:v>
      </x:c>
      <x:c r="N241" s="14" t="str">
        <x:v>Tier 2 broad journal</x:v>
      </x:c>
      <x:c r="O241" s="14" t="str">
        <x:v>https://doi.org/10.32352/0367-3057.3.26.03</x:v>
      </x:c>
      <x:c r="P241" s="14" t="str"/>
      <x:c r="Q241" s="16" t="n">
        <x:v>32</x:v>
      </x:c>
      <x:c r="R241" s="16" t="n">
        <x:v>18</x:v>
      </x:c>
      <x:c r="S241" s="16" t="n">
        <x:v>15</x:v>
      </x:c>
      <x:c r="T241" s="16" t="n">
        <x:v>5</x:v>
      </x:c>
    </x:row>
    <x:row r="242" ht="48" customHeight="1">
      <x:c r="A242" s="16" t="n">
        <x:f>ROW()-1</x:f>
        <x:v>241</x:v>
      </x:c>
      <x:c r="B242" s="16" t="n">
        <x:f>SUM(Q242:T242)</x:f>
        <x:v>70</x:v>
      </x:c>
      <x:c r="C242" s="17" t="str">
        <x:f>IF(B242&gt;=93,"A — Highest authority",IF(B242&gt;=85,"B — Very strong",IF(B242&gt;=75,"C — Strong",IF(B242&gt;=65,"D — Useful with context","E — Supporting / lower weight"))))</x:f>
        <x:v>D — Useful with context</x:v>
      </x:c>
      <x:c r="D242" s="14" t="str">
        <x:v>THE IMPORTANCE OF FORESIGHT METHODS IN DEVELOPING ECO-FORESIGHT COMPETENCE OF FUTURE ECOLOGISTS</x:v>
      </x:c>
      <x:c r="E242" s="20" t="n">
        <x:v>46156</x:v>
      </x:c>
      <x:c r="F242" s="17" t="str">
        <x:v>B</x:v>
      </x:c>
      <x:c r="G242" s="14" t="str">
        <x:v>Advances in Science and Environment</x:v>
      </x:c>
      <x:c r="H242" s="14" t="str"/>
      <x:c r="I242" s="14" t="str">
        <x:v>Shomurotov Bahrom Khusanovich, Safarov Anvar Abdinazarovich, Jonqobilov Bektemir Ulug’murodovich</x:v>
      </x:c>
      <x:c r="J242" s="14" t="str">
        <x:v>Peer-reviewed journal. Useful peer-reviewed evidence; journal standing varies and is not treated as top-tier by default.</x:v>
      </x:c>
      <x:c r="K242" s="14" t="str">
        <x:v>Useful comparison or lesson for European policy, even though the source is not mainly about the EU.</x:v>
      </x:c>
      <x:c r="L242" s="14" t="str">
        <x:v>Relevant by comparison / implication</x:v>
      </x:c>
      <x:c r="M242" s="14" t="str">
        <x:v>Peer-reviewed article</x:v>
      </x:c>
      <x:c r="N242" s="14" t="str">
        <x:v>Tier 2 broad journal</x:v>
      </x:c>
      <x:c r="O242" s="14" t="str">
        <x:v>https://doi.org/10.70728/envire.v02.i08.008</x:v>
      </x:c>
      <x:c r="P242" s="14" t="str"/>
      <x:c r="Q242" s="16" t="n">
        <x:v>32</x:v>
      </x:c>
      <x:c r="R242" s="16" t="n">
        <x:v>18</x:v>
      </x:c>
      <x:c r="S242" s="16" t="n">
        <x:v>15</x:v>
      </x:c>
      <x:c r="T242" s="16" t="n">
        <x:v>5</x:v>
      </x:c>
    </x:row>
    <x:row r="243" ht="48" customHeight="1">
      <x:c r="A243" s="16" t="n">
        <x:f>ROW()-1</x:f>
        <x:v>242</x:v>
      </x:c>
      <x:c r="B243" s="16" t="n">
        <x:f>SUM(Q243:T243)</x:f>
        <x:v>70</x:v>
      </x:c>
      <x:c r="C243" s="17" t="str">
        <x:f>IF(B243&gt;=93,"A — Highest authority",IF(B243&gt;=85,"B — Very strong",IF(B243&gt;=75,"C — Strong",IF(B243&gt;=65,"D — Useful with context","E — Supporting / lower weight"))))</x:f>
        <x:v>D — Useful with context</x:v>
      </x:c>
      <x:c r="D243" s="14" t="str">
        <x:v>Bibliometric mapping of brand activism: trends, themes, and trajectories</x:v>
      </x:c>
      <x:c r="E243" s="20" t="n">
        <x:v>46140</x:v>
      </x:c>
      <x:c r="F243" s="17" t="str">
        <x:v>B</x:v>
      </x:c>
      <x:c r="G243" s="14" t="str">
        <x:v>International Review on Public and Nonprofit Marketing</x:v>
      </x:c>
      <x:c r="H243" s="14" t="str"/>
      <x:c r="I243" s="14" t="str">
        <x:v>Anil Kumar, Anees Ahmad, Md Billal Hossain</x:v>
      </x:c>
      <x:c r="J243" s="14" t="str">
        <x:v>Peer-reviewed journal. Useful peer-reviewed evidence; journal standing varies and is not treated as top-tier by default.</x:v>
      </x:c>
      <x:c r="K243" s="14" t="str">
        <x:v>Useful comparison or lesson for European policy, even though the source is not mainly about the EU.</x:v>
      </x:c>
      <x:c r="L243" s="14" t="str">
        <x:v>Relevant by comparison / implication</x:v>
      </x:c>
      <x:c r="M243" s="14" t="str">
        <x:v>Peer-reviewed article</x:v>
      </x:c>
      <x:c r="N243" s="14" t="str">
        <x:v>Tier 2 broad journal</x:v>
      </x:c>
      <x:c r="O243" s="14" t="str">
        <x:v>https://doi.org/10.1007/s12208-026-00473-0</x:v>
      </x:c>
      <x:c r="P243" s="14" t="str"/>
      <x:c r="Q243" s="16" t="n">
        <x:v>32</x:v>
      </x:c>
      <x:c r="R243" s="16" t="n">
        <x:v>18</x:v>
      </x:c>
      <x:c r="S243" s="16" t="n">
        <x:v>15</x:v>
      </x:c>
      <x:c r="T243" s="16" t="n">
        <x:v>5</x:v>
      </x:c>
    </x:row>
    <x:row r="244" ht="48" customHeight="1">
      <x:c r="A244" s="16" t="n">
        <x:f>ROW()-1</x:f>
        <x:v>243</x:v>
      </x:c>
      <x:c r="B244" s="16" t="n">
        <x:f>SUM(Q244:T244)</x:f>
        <x:v>70</x:v>
      </x:c>
      <x:c r="C244" s="17" t="str">
        <x:f>IF(B244&gt;=93,"A — Highest authority",IF(B244&gt;=85,"B — Very strong",IF(B244&gt;=75,"C — Strong",IF(B244&gt;=65,"D — Useful with context","E — Supporting / lower weight"))))</x:f>
        <x:v>D — Useful with context</x:v>
      </x:c>
      <x:c r="D244" s="14" t="str">
        <x:v>Chips Act 2.0, Part 1: Europe’s second semiconductor push</x:v>
      </x:c>
      <x:c r="E244" s="20" t="n">
        <x:v>46246</x:v>
      </x:c>
      <x:c r="F244" s="17" t="str">
        <x:v>A</x:v>
      </x:c>
      <x:c r="G244" s="14" t="str">
        <x:v>eeNews Europe</x:v>
      </x:c>
      <x:c r="H244" s="14" t="str"/>
      <x:c r="I244" s="14" t="str">
        <x:v>eeNews Europe</x:v>
      </x:c>
      <x:c r="J244" s="14" t="str">
        <x:v>Other source. Useful source, but no higher-authority category was established for this practical ranking.</x:v>
      </x:c>
      <x:c r="K244" s="14" t="str">
        <x:v>Directly concerns Europe/EU and research, technology, innovation, funding or science policy.</x:v>
      </x:c>
      <x:c r="L244" s="14" t="str">
        <x:v>Direct EU relevance</x:v>
      </x:c>
      <x:c r="M244" s="14" t="str">
        <x:v>Manually verified scholarly/policy source</x:v>
      </x:c>
      <x:c r="N244" s="14" t="str">
        <x:v>Tier 2 comparable</x:v>
      </x:c>
      <x:c r="O244" s="14" t="str">
        <x:v>https://www.eenewseurope.com/en/chips-act-2-europe-second-semiconductor-push/</x:v>
      </x:c>
      <x:c r="P244" s="14" t="str"/>
      <x:c r="Q244" s="16" t="n">
        <x:v>26</x:v>
      </x:c>
      <x:c r="R244" s="16" t="n">
        <x:v>25</x:v>
      </x:c>
      <x:c r="S244" s="16" t="n">
        <x:v>14</x:v>
      </x:c>
      <x:c r="T244" s="16" t="n">
        <x:v>5</x:v>
      </x:c>
    </x:row>
    <x:row r="245" ht="48" customHeight="1">
      <x:c r="A245" s="16" t="n">
        <x:f>ROW()-1</x:f>
        <x:v>244</x:v>
      </x:c>
      <x:c r="B245" s="16" t="n">
        <x:f>SUM(Q245:T245)</x:f>
        <x:v>70</x:v>
      </x:c>
      <x:c r="C245" s="17" t="str">
        <x:f>IF(B245&gt;=93,"A — Highest authority",IF(B245&gt;=85,"B — Very strong",IF(B245&gt;=75,"C — Strong",IF(B245&gt;=65,"D — Useful with context","E — Supporting / lower weight"))))</x:f>
        <x:v>D — Useful with context</x:v>
      </x:c>
      <x:c r="D245" s="14" t="str">
        <x:v>Does Europe Really Have a Plan for Tech Sovereignty? Tech Policy Press (AI hype and European policymaking series)</x:v>
      </x:c>
      <x:c r="E245" s="20" t="n">
        <x:v>46202</x:v>
      </x:c>
      <x:c r="F245" s="17" t="str">
        <x:v>A</x:v>
      </x:c>
      <x:c r="G245" s="14" t="str">
        <x:v>Tech Policy Press</x:v>
      </x:c>
      <x:c r="H245" s="14" t="str"/>
      <x:c r="I245" s="14" t="str">
        <x:v>Cecilia Rikap</x:v>
      </x:c>
      <x:c r="J245" s="14" t="str">
        <x:v>Other source. Useful source, but no higher-authority category was established for this practical ranking.</x:v>
      </x:c>
      <x:c r="K245" s="14" t="str">
        <x:v>Directly concerns Europe/EU and research, technology, innovation, funding or science policy.</x:v>
      </x:c>
      <x:c r="L245" s="14" t="str">
        <x:v>Direct EU relevance</x:v>
      </x:c>
      <x:c r="M245" s="14" t="str">
        <x:v>Manually verified scholarly/policy source</x:v>
      </x:c>
      <x:c r="N245" s="14" t="str">
        <x:v>Tier 2 comparable</x:v>
      </x:c>
      <x:c r="O245" s="14" t="str">
        <x:v>https://www.techpolicy.press/does-europe-really-have-a-plan-for-tech-sovereignty/</x:v>
      </x:c>
      <x:c r="P245" s="14" t="str"/>
      <x:c r="Q245" s="16" t="n">
        <x:v>26</x:v>
      </x:c>
      <x:c r="R245" s="16" t="n">
        <x:v>25</x:v>
      </x:c>
      <x:c r="S245" s="16" t="n">
        <x:v>14</x:v>
      </x:c>
      <x:c r="T245" s="16" t="n">
        <x:v>5</x:v>
      </x:c>
    </x:row>
    <x:row r="246" ht="48" customHeight="1">
      <x:c r="A246" s="16" t="n">
        <x:f>ROW()-1</x:f>
        <x:v>245</x:v>
      </x:c>
      <x:c r="B246" s="16" t="n">
        <x:f>SUM(Q246:T246)</x:f>
        <x:v>70</x:v>
      </x:c>
      <x:c r="C246" s="17" t="str">
        <x:f>IF(B246&gt;=93,"A — Highest authority",IF(B246&gt;=85,"B — Very strong",IF(B246&gt;=75,"C — Strong",IF(B246&gt;=65,"D — Useful with context","E — Supporting / lower weight"))))</x:f>
        <x:v>D — Useful with context</x:v>
      </x:c>
      <x:c r="D246" s="14" t="str">
        <x:v>EU Defence Series: European Autonomy in Orbit</x:v>
      </x:c>
      <x:c r="E246" s="20" t="n">
        <x:v>46168</x:v>
      </x:c>
      <x:c r="F246" s="17" t="str">
        <x:v>A</x:v>
      </x:c>
      <x:c r="G246" s="14" t="str">
        <x:v>International Centre for Defence and Security (ICDS)</x:v>
      </x:c>
      <x:c r="H246" s="14" t="str"/>
      <x:c r="I246" s="14" t="str">
        <x:v>Béatrice Hainaut</x:v>
      </x:c>
      <x:c r="J246" s="14" t="str">
        <x:v>Other source. Useful source, but no higher-authority category was established for this practical ranking.</x:v>
      </x:c>
      <x:c r="K246" s="14" t="str">
        <x:v>Directly concerns Europe/EU and research, technology, innovation, funding or science policy.</x:v>
      </x:c>
      <x:c r="L246" s="14" t="str">
        <x:v>Direct EU relevance</x:v>
      </x:c>
      <x:c r="M246" s="14" t="str">
        <x:v>Manually verified scholarly/policy source</x:v>
      </x:c>
      <x:c r="N246" s="14" t="str">
        <x:v>Tier 2 comparable</x:v>
      </x:c>
      <x:c r="O246" s="14" t="str">
        <x:v>https://icds.ee/en/eu-defence-series-european-autonomy-in-orbit/</x:v>
      </x:c>
      <x:c r="P246" s="14" t="str"/>
      <x:c r="Q246" s="16" t="n">
        <x:v>26</x:v>
      </x:c>
      <x:c r="R246" s="16" t="n">
        <x:v>25</x:v>
      </x:c>
      <x:c r="S246" s="16" t="n">
        <x:v>14</x:v>
      </x:c>
      <x:c r="T246" s="16" t="n">
        <x:v>5</x:v>
      </x:c>
    </x:row>
    <x:row r="247" ht="48" customHeight="1">
      <x:c r="A247" s="16" t="n">
        <x:f>ROW()-1</x:f>
        <x:v>246</x:v>
      </x:c>
      <x:c r="B247" s="16" t="n">
        <x:f>SUM(Q247:T247)</x:f>
        <x:v>60</x:v>
      </x:c>
      <x:c r="C247" s="17" t="str">
        <x:f>IF(B247&gt;=93,"A — Highest authority",IF(B247&gt;=85,"B — Very strong",IF(B247&gt;=75,"C — Strong",IF(B247&gt;=65,"D — Useful with context","E — Supporting / lower weight"))))</x:f>
        <x:v>E — Supporting / lower weight</x:v>
      </x:c>
      <x:c r="D247" s="14" t="str">
        <x:v>A 'normal' research trap limits scientific breakthroughs and disruptive innovation in the European Union</x:v>
      </x:c>
      <x:c r="E247" s="20" t="n">
        <x:v>46212</x:v>
      </x:c>
      <x:c r="F247" s="17" t="str">
        <x:v>A</x:v>
      </x:c>
      <x:c r="G247" s="14" t="str">
        <x:v>arXiv</x:v>
      </x:c>
      <x:c r="H247" s="14" t="str"/>
      <x:c r="I247" s="14" t="str">
        <x:v>Alonso Rodríguez‐Navarro</x:v>
      </x:c>
      <x:c r="J247" s="14" t="str">
        <x:v>Preprint. Lower evidence weight: useful early research, but not peer-reviewed.</x:v>
      </x:c>
      <x:c r="K247" s="14" t="str">
        <x:v>Directly concerns Europe/EU and research, technology, innovation, funding or science policy.</x:v>
      </x:c>
      <x:c r="L247" s="14" t="str">
        <x:v>Direct EU relevance</x:v>
      </x:c>
      <x:c r="M247" s="14" t="str">
        <x:v>Preprint; not peer-reviewed</x:v>
      </x:c>
      <x:c r="N247" s="14" t="str">
        <x:v>Tier 3 preprint</x:v>
      </x:c>
      <x:c r="O247" s="14" t="str">
        <x:v>https://arxiv.org/abs/2607.08328</x:v>
      </x:c>
      <x:c r="P247" s="14" t="str"/>
      <x:c r="Q247" s="16" t="n">
        <x:v>22</x:v>
      </x:c>
      <x:c r="R247" s="16" t="n">
        <x:v>25</x:v>
      </x:c>
      <x:c r="S247" s="16" t="n">
        <x:v>8</x:v>
      </x:c>
      <x:c r="T247" s="16" t="n">
        <x:v>5</x:v>
      </x:c>
    </x:row>
    <x:row r="248" ht="48" customHeight="1">
      <x:c r="A248" s="16" t="n">
        <x:f>ROW()-1</x:f>
        <x:v>247</x:v>
      </x:c>
      <x:c r="B248" s="16" t="n">
        <x:f>SUM(Q248:T248)</x:f>
        <x:v>60</x:v>
      </x:c>
      <x:c r="C248" s="17" t="str">
        <x:f>IF(B248&gt;=93,"A — Highest authority",IF(B248&gt;=85,"B — Very strong",IF(B248&gt;=75,"C — Strong",IF(B248&gt;=65,"D — Useful with context","E — Supporting / lower weight"))))</x:f>
        <x:v>E — Supporting / lower weight</x:v>
      </x:c>
      <x:c r="D248" s="14" t="str">
        <x:v>Exploring fair access to quantum computing</x:v>
      </x:c>
      <x:c r="E248" s="20" t="n">
        <x:v>46184</x:v>
      </x:c>
      <x:c r="F248" s="17" t="str">
        <x:v>A</x:v>
      </x:c>
      <x:c r="G248" s="14" t="str">
        <x:v>arXiv</x:v>
      </x:c>
      <x:c r="H248" s="14" t="str"/>
      <x:c r="I248" s="14" t="str">
        <x:v>Benedict Lane, Pieter Vermaas</x:v>
      </x:c>
      <x:c r="J248" s="14" t="str">
        <x:v>Preprint. Lower evidence weight: useful early research, but not peer-reviewed.</x:v>
      </x:c>
      <x:c r="K248" s="14" t="str">
        <x:v>Directly concerns Europe/EU and research, technology, innovation, funding or science policy.</x:v>
      </x:c>
      <x:c r="L248" s="14" t="str">
        <x:v>Direct EU relevance</x:v>
      </x:c>
      <x:c r="M248" s="14" t="str">
        <x:v>Preprint; not peer-reviewed</x:v>
      </x:c>
      <x:c r="N248" s="14" t="str">
        <x:v>Tier 3 preprint</x:v>
      </x:c>
      <x:c r="O248" s="14" t="str">
        <x:v>https://arxiv.org/abs/2606.13027</x:v>
      </x:c>
      <x:c r="P248" s="14" t="str"/>
      <x:c r="Q248" s="16" t="n">
        <x:v>22</x:v>
      </x:c>
      <x:c r="R248" s="16" t="n">
        <x:v>25</x:v>
      </x:c>
      <x:c r="S248" s="16" t="n">
        <x:v>8</x:v>
      </x:c>
      <x:c r="T248" s="16" t="n">
        <x:v>5</x:v>
      </x:c>
    </x:row>
    <x:row r="249" ht="48" customHeight="1">
      <x:c r="A249" s="16" t="n">
        <x:f>ROW()-1</x:f>
        <x:v>248</x:v>
      </x:c>
      <x:c r="B249" s="16" t="n">
        <x:f>SUM(Q249:T249)</x:f>
        <x:v>60</x:v>
      </x:c>
      <x:c r="C249" s="17" t="str">
        <x:f>IF(B249&gt;=93,"A — Highest authority",IF(B249&gt;=85,"B — Very strong",IF(B249&gt;=75,"C — Strong",IF(B249&gt;=65,"D — Useful with context","E — Supporting / lower weight"))))</x:f>
        <x:v>E — Supporting / lower weight</x:v>
      </x:c>
      <x:c r="D249" s="14" t="str">
        <x:v>Materealistic? How European energy system models exceed raw material reserves</x:v>
      </x:c>
      <x:c r="E249" s="20" t="n">
        <x:v>46183</x:v>
      </x:c>
      <x:c r="F249" s="17" t="str">
        <x:v>A</x:v>
      </x:c>
      <x:c r="G249" s="14" t="str">
        <x:v>arXiv</x:v>
      </x:c>
      <x:c r="H249" s="14" t="str"/>
      <x:c r="I249" s="14" t="str">
        <x:v>Jan Mutke, Jonas Finke, Katharina Esser, Heidi Heinrichs</x:v>
      </x:c>
      <x:c r="J249" s="14" t="str">
        <x:v>Preprint. Lower evidence weight: useful early research, but not peer-reviewed.</x:v>
      </x:c>
      <x:c r="K249" s="14" t="str">
        <x:v>Directly concerns Europe/EU and research, technology, innovation, funding or science policy.</x:v>
      </x:c>
      <x:c r="L249" s="14" t="str">
        <x:v>Direct EU relevance</x:v>
      </x:c>
      <x:c r="M249" s="14" t="str">
        <x:v>Preprint; not peer-reviewed</x:v>
      </x:c>
      <x:c r="N249" s="14" t="str">
        <x:v>Tier 3 preprint</x:v>
      </x:c>
      <x:c r="O249" s="14" t="str">
        <x:v>https://arxiv.org/abs/2606.12201</x:v>
      </x:c>
      <x:c r="P249" s="14" t="str"/>
      <x:c r="Q249" s="16" t="n">
        <x:v>22</x:v>
      </x:c>
      <x:c r="R249" s="16" t="n">
        <x:v>25</x:v>
      </x:c>
      <x:c r="S249" s="16" t="n">
        <x:v>8</x:v>
      </x:c>
      <x:c r="T249" s="16" t="n">
        <x:v>5</x:v>
      </x:c>
    </x:row>
    <x:row r="250" ht="48" customHeight="1">
      <x:c r="A250" s="16" t="n">
        <x:f>ROW()-1</x:f>
        <x:v>249</x:v>
      </x:c>
      <x:c r="B250" s="16" t="n">
        <x:f>SUM(Q250:T250)</x:f>
        <x:v>60</x:v>
      </x:c>
      <x:c r="C250" s="17" t="str">
        <x:f>IF(B250&gt;=93,"A — Highest authority",IF(B250&gt;=85,"B — Very strong",IF(B250&gt;=75,"C — Strong",IF(B250&gt;=65,"D — Useful with context","E — Supporting / lower weight"))))</x:f>
        <x:v>E — Supporting / lower weight</x:v>
      </x:c>
      <x:c r="D250" s="14" t="str">
        <x:v>Emerging and established topics in drone research: Citation impact and knowledge flows across China, the United States, the EU, Ukraine, and Russia (2020-2025)</x:v>
      </x:c>
      <x:c r="E250" s="20" t="n">
        <x:v>46175</x:v>
      </x:c>
      <x:c r="F250" s="17" t="str">
        <x:v>A</x:v>
      </x:c>
      <x:c r="G250" s="14" t="str">
        <x:v>arXiv</x:v>
      </x:c>
      <x:c r="H250" s="14" t="str"/>
      <x:c r="I250" s="14" t="str">
        <x:v>Myroslava Hladchenko</x:v>
      </x:c>
      <x:c r="J250" s="14" t="str">
        <x:v>Preprint. Lower evidence weight: useful early research, but not peer-reviewed.</x:v>
      </x:c>
      <x:c r="K250" s="14" t="str">
        <x:v>Directly concerns Europe/EU and research, technology, innovation, funding or science policy.</x:v>
      </x:c>
      <x:c r="L250" s="14" t="str">
        <x:v>Direct EU relevance</x:v>
      </x:c>
      <x:c r="M250" s="14" t="str">
        <x:v>Preprint; not peer-reviewed</x:v>
      </x:c>
      <x:c r="N250" s="14" t="str">
        <x:v>Tier 3 preprint</x:v>
      </x:c>
      <x:c r="O250" s="14" t="str">
        <x:v>https://arxiv.org/abs/2606.03362</x:v>
      </x:c>
      <x:c r="P250" s="14" t="str"/>
      <x:c r="Q250" s="16" t="n">
        <x:v>22</x:v>
      </x:c>
      <x:c r="R250" s="16" t="n">
        <x:v>25</x:v>
      </x:c>
      <x:c r="S250" s="16" t="n">
        <x:v>8</x:v>
      </x:c>
      <x:c r="T250" s="16" t="n">
        <x:v>5</x:v>
      </x:c>
    </x:row>
    <x:row r="251" ht="48" customHeight="1">
      <x:c r="A251" s="16" t="n">
        <x:f>ROW()-1</x:f>
        <x:v>250</x:v>
      </x:c>
      <x:c r="B251" s="16" t="n">
        <x:f>SUM(Q251:T251)</x:f>
        <x:v>60</x:v>
      </x:c>
      <x:c r="C251" s="17" t="str">
        <x:f>IF(B251&gt;=93,"A — Highest authority",IF(B251&gt;=85,"B — Very strong",IF(B251&gt;=75,"C — Strong",IF(B251&gt;=65,"D — Useful with context","E — Supporting / lower weight"))))</x:f>
        <x:v>E — Supporting / lower weight</x:v>
      </x:c>
      <x:c r="D251" s="14" t="str">
        <x:v>Beware of GeeksBearing Gifts: Building True EU Frontier AI Sovereignty</x:v>
      </x:c>
      <x:c r="E251" s="20" t="n">
        <x:v>46140</x:v>
      </x:c>
      <x:c r="F251" s="17" t="str">
        <x:v>A</x:v>
      </x:c>
      <x:c r="G251" s="14" t="str">
        <x:v>arXiv</x:v>
      </x:c>
      <x:c r="H251" s="14" t="str"/>
      <x:c r="I251" s="14" t="str">
        <x:v>Nick Moës, Toni Lorente, Amin Oueslati, Jonathan F Smith, Robin Staes-Polet, Radina Kraeva</x:v>
      </x:c>
      <x:c r="J251" s="14" t="str">
        <x:v>Preprint. Lower evidence weight: useful early research, but not peer-reviewed.</x:v>
      </x:c>
      <x:c r="K251" s="14" t="str">
        <x:v>Directly concerns Europe/EU and research, technology, innovation, funding or science policy.</x:v>
      </x:c>
      <x:c r="L251" s="14" t="str">
        <x:v>Direct EU relevance</x:v>
      </x:c>
      <x:c r="M251" s="14" t="str">
        <x:v>Preprint; not peer-reviewed</x:v>
      </x:c>
      <x:c r="N251" s="14" t="str">
        <x:v>Tier 3 preprint</x:v>
      </x:c>
      <x:c r="O251" s="14" t="str">
        <x:v>https://arxiv.org/abs/2606.07536</x:v>
      </x:c>
      <x:c r="P251" s="14" t="str"/>
      <x:c r="Q251" s="16" t="n">
        <x:v>22</x:v>
      </x:c>
      <x:c r="R251" s="16" t="n">
        <x:v>25</x:v>
      </x:c>
      <x:c r="S251" s="16" t="n">
        <x:v>8</x:v>
      </x:c>
      <x:c r="T251" s="16" t="n">
        <x:v>5</x:v>
      </x:c>
    </x:row>
    <x:row r="252" ht="48" customHeight="1">
      <x:c r="A252" s="16" t="n">
        <x:f>ROW()-1</x:f>
        <x:v>251</x:v>
      </x:c>
      <x:c r="B252" s="16" t="n">
        <x:f>SUM(Q252:T252)</x:f>
        <x:v>55</x:v>
      </x:c>
      <x:c r="C252" s="17" t="str">
        <x:f>IF(B252&gt;=93,"A — Highest authority",IF(B252&gt;=85,"B — Very strong",IF(B252&gt;=75,"C — Strong",IF(B252&gt;=65,"D — Useful with context","E — Supporting / lower weight"))))</x:f>
        <x:v>E — Supporting / lower weight</x:v>
      </x:c>
      <x:c r="D252" s="14" t="str">
        <x:v>Sovereign by necessity? Frontier AI export controls, cyber security, and the limits of national AI capability</x:v>
      </x:c>
      <x:c r="E252" s="20" t="n">
        <x:v>46247</x:v>
      </x:c>
      <x:c r="F252" s="17" t="str">
        <x:v>A</x:v>
      </x:c>
      <x:c r="G252" s="14" t="str">
        <x:v>arXiv</x:v>
      </x:c>
      <x:c r="H252" s="14" t="str"/>
      <x:c r="I252" s="14" t="str">
        <x:v>Alan Woodward, Andrew Rogoyski</x:v>
      </x:c>
      <x:c r="J252" s="14" t="str">
        <x:v>Preprint. Lower evidence weight: useful early research, but not peer-reviewed.</x:v>
      </x:c>
      <x:c r="K252" s="14" t="str">
        <x:v>Important development outside Europe that may change Europe’s technology position, dependencies, competitiveness or security.</x:v>
      </x:c>
      <x:c r="L252" s="14" t="str">
        <x:v>External development with material EU implications</x:v>
      </x:c>
      <x:c r="M252" s="14" t="str">
        <x:v>Preprint; not peer-reviewed</x:v>
      </x:c>
      <x:c r="N252" s="14" t="str">
        <x:v>Tier 3 preprint</x:v>
      </x:c>
      <x:c r="O252" s="14" t="str">
        <x:v>https://arxiv.org/abs/2608.13272</x:v>
      </x:c>
      <x:c r="P252" s="14" t="str"/>
      <x:c r="Q252" s="16" t="n">
        <x:v>22</x:v>
      </x:c>
      <x:c r="R252" s="16" t="n">
        <x:v>20</x:v>
      </x:c>
      <x:c r="S252" s="16" t="n">
        <x:v>8</x:v>
      </x:c>
      <x:c r="T252" s="16" t="n">
        <x:v>5</x:v>
      </x:c>
    </x:row>
    <x:row r="253" ht="48" customHeight="1">
      <x:c r="A253" s="16" t="n">
        <x:f>ROW()-1</x:f>
        <x:v>252</x:v>
      </x:c>
      <x:c r="B253" s="16" t="n">
        <x:f>SUM(Q253:T253)</x:f>
        <x:v>54</x:v>
      </x:c>
      <x:c r="C253" s="17" t="str">
        <x:f>IF(B253&gt;=93,"A — Highest authority",IF(B253&gt;=85,"B — Very strong",IF(B253&gt;=75,"C — Strong",IF(B253&gt;=65,"D — Useful with context","E — Supporting / lower weight"))))</x:f>
        <x:v>E — Supporting / lower weight</x:v>
      </x:c>
      <x:c r="D253" s="14" t="str">
        <x:v>Events | ELLIS Institute Finland</x:v>
      </x:c>
      <x:c r="E253" s="20" t="n">
        <x:v>46274</x:v>
      </x:c>
      <x:c r="F253" s="17" t="str">
        <x:v>C</x:v>
      </x:c>
      <x:c r="G253" s="14" t="str"/>
      <x:c r="H253" s="14" t="str">
        <x:v>ELLIS Institute Finland</x:v>
      </x:c>
      <x:c r="I253" s="14" t="str">
        <x:v>Not stated in radar metadata</x:v>
      </x:c>
      <x:c r="J253" s="14" t="str">
        <x:v>Current-event / signal source. Useful for fast-moving signals; usually secondary or event-based rather than full research evidence.</x:v>
      </x:c>
      <x:c r="K253" s="14" t="str">
        <x:v>Worth watching because it may change Europe’s capabilities, dependencies, investment environment or security.</x:v>
      </x:c>
      <x:c r="L253" s="14" t="str">
        <x:v>Fast-moving EU-relevant signal</x:v>
      </x:c>
      <x:c r="M253" s="14" t="str">
        <x:v>Current-event/signal evidence</x:v>
      </x:c>
      <x:c r="N253" s="14" t="str">
        <x:v>Not coded</x:v>
      </x:c>
      <x:c r="O253" s="14" t="str">
        <x:v>https://www.ellisinstitute.fi/events</x:v>
      </x:c>
      <x:c r="P253" s="14" t="str"/>
      <x:c r="Q253" s="16" t="n">
        <x:v>25</x:v>
      </x:c>
      <x:c r="R253" s="16" t="n">
        <x:v>18</x:v>
      </x:c>
      <x:c r="S253" s="16" t="n">
        <x:v>9</x:v>
      </x:c>
      <x:c r="T253" s="16" t="n">
        <x:v>2</x:v>
      </x:c>
    </x:row>
    <x:row r="254" ht="48" customHeight="1">
      <x:c r="A254" s="16" t="n">
        <x:f>ROW()-1</x:f>
        <x:v>253</x:v>
      </x:c>
      <x:c r="B254" s="16" t="n">
        <x:f>SUM(Q254:T254)</x:f>
        <x:v>54</x:v>
      </x:c>
      <x:c r="C254" s="17" t="str">
        <x:f>IF(B254&gt;=93,"A — Highest authority",IF(B254&gt;=85,"B — Very strong",IF(B254&gt;=75,"C — Strong",IF(B254&gt;=65,"D — Useful with context","E — Supporting / lower weight"))))</x:f>
        <x:v>E — Supporting / lower weight</x:v>
      </x:c>
      <x:c r="D254" s="14" t="str">
        <x:v>AI researcher with a prior European Space Agency placement arrested at NATO’s SHAPE on suspicion of espionage</x:v>
      </x:c>
      <x:c r="E254" s="20" t="n">
        <x:v>46228</x:v>
      </x:c>
      <x:c r="F254" s="17" t="str">
        <x:v>C</x:v>
      </x:c>
      <x:c r="G254" s="14" t="str">
        <x:v>Follow the Money / Belgian Federal Prosecutor</x:v>
      </x:c>
      <x:c r="H254" s="14" t="str"/>
      <x:c r="I254" s="14" t="str">
        <x:v>Not stated in radar metadata</x:v>
      </x:c>
      <x:c r="J254" s="14" t="str">
        <x:v>Current-event / signal source. Useful for fast-moving signals; usually secondary or event-based rather than full research evidence.</x:v>
      </x:c>
      <x:c r="K254" s="14" t="str">
        <x:v>Worth watching because it may change Europe’s capabilities, dependencies, investment environment or security.</x:v>
      </x:c>
      <x:c r="L254" s="14" t="str">
        <x:v>Fast-moving EU-relevant signal</x:v>
      </x:c>
      <x:c r="M254" s="14" t="str">
        <x:v>Current-event/signal evidence</x:v>
      </x:c>
      <x:c r="N254" s="14" t="str">
        <x:v>Not coded</x:v>
      </x:c>
      <x:c r="O254" s="14" t="str">
        <x:v>https://www.om-mp.be/sites/default/files/media/documents/2026-07-25_Communique_persbericht%20-%20SHAPE.pdf</x:v>
      </x:c>
      <x:c r="P254" s="14" t="str"/>
      <x:c r="Q254" s="16" t="n">
        <x:v>25</x:v>
      </x:c>
      <x:c r="R254" s="16" t="n">
        <x:v>18</x:v>
      </x:c>
      <x:c r="S254" s="16" t="n">
        <x:v>9</x:v>
      </x:c>
      <x:c r="T254" s="16" t="n">
        <x:v>2</x:v>
      </x:c>
    </x:row>
    <x:row r="255" ht="48" customHeight="1">
      <x:c r="A255" s="16" t="n">
        <x:f>ROW()-1</x:f>
        <x:v>254</x:v>
      </x:c>
      <x:c r="B255" s="16" t="n">
        <x:f>SUM(Q255:T255)</x:f>
        <x:v>54</x:v>
      </x:c>
      <x:c r="C255" s="17" t="str">
        <x:f>IF(B255&gt;=93,"A — Highest authority",IF(B255&gt;=85,"B — Very strong",IF(B255&gt;=75,"C — Strong",IF(B255&gt;=65,"D — Useful with context","E — Supporting / lower weight"))))</x:f>
        <x:v>E — Supporting / lower weight</x:v>
      </x:c>
      <x:c r="D255" s="14" t="str">
        <x:v>China places 14 EU entities on its export control list, barring dual-use exports with immediate effect — including Rheinmetall (DE), Vigo Photonics (PL), Tatra Trucks (CZ), IHC (NL) and Lafert (IT), plus several technology and research organisations</x:v>
      </x:c>
      <x:c r="E255" s="20" t="n">
        <x:v>46227</x:v>
      </x:c>
      <x:c r="F255" s="17" t="str">
        <x:v>C</x:v>
      </x:c>
      <x:c r="G255" s="14" t="str">
        <x:v>South China Morning Post / corroborated current-event reporting</x:v>
      </x:c>
      <x:c r="H255" s="14" t="str"/>
      <x:c r="I255" s="14" t="str">
        <x:v>Not stated in radar metadata</x:v>
      </x:c>
      <x:c r="J255" s="14" t="str">
        <x:v>Current-event / signal source. Useful for fast-moving signals; usually secondary or event-based rather than full research evidence.</x:v>
      </x:c>
      <x:c r="K255" s="14" t="str">
        <x:v>Worth watching because it may change Europe’s capabilities, dependencies, investment environment or security.</x:v>
      </x:c>
      <x:c r="L255" s="14" t="str">
        <x:v>Fast-moving EU-relevant signal</x:v>
      </x:c>
      <x:c r="M255" s="14" t="str">
        <x:v>Current-event/signal evidence</x:v>
      </x:c>
      <x:c r="N255" s="14" t="str">
        <x:v>Not coded</x:v>
      </x:c>
      <x:c r="O255" s="14" t="str">
        <x:v>https://www.scmp.com/economy/global-economy/article/3361732/china-adds-eu-entities-export-control-list</x:v>
      </x:c>
      <x:c r="P255" s="14" t="str"/>
      <x:c r="Q255" s="16" t="n">
        <x:v>25</x:v>
      </x:c>
      <x:c r="R255" s="16" t="n">
        <x:v>18</x:v>
      </x:c>
      <x:c r="S255" s="16" t="n">
        <x:v>9</x:v>
      </x:c>
      <x:c r="T255" s="16" t="n">
        <x:v>2</x:v>
      </x:c>
    </x:row>
    <x:row r="256" ht="48" customHeight="1">
      <x:c r="A256" s="16" t="n">
        <x:f>ROW()-1</x:f>
        <x:v>255</x:v>
      </x:c>
      <x:c r="B256" s="16" t="n">
        <x:f>SUM(Q256:T256)</x:f>
        <x:v>54</x:v>
      </x:c>
      <x:c r="C256" s="17" t="str">
        <x:f>IF(B256&gt;=93,"A — Highest authority",IF(B256&gt;=85,"B — Very strong",IF(B256&gt;=75,"C — Strong",IF(B256&gt;=65,"D — Useful with context","E — Supporting / lower weight"))))</x:f>
        <x:v>E — Supporting / lower weight</x:v>
      </x:c>
      <x:c r="D256" s="14" t="str">
        <x:v>Helsing and Quantum Systems raise $1.8bn and $1.2bn mega-rounds to scale European defence AI and autonomous systems</x:v>
      </x:c>
      <x:c r="E256" s="20" t="n">
        <x:v>46216</x:v>
      </x:c>
      <x:c r="F256" s="17" t="str">
        <x:v>C</x:v>
      </x:c>
      <x:c r="G256" s="14" t="str">
        <x:v>Defense News / Helsing / Quantum Systems</x:v>
      </x:c>
      <x:c r="H256" s="14" t="str"/>
      <x:c r="I256" s="14" t="str">
        <x:v>Not stated in radar metadata</x:v>
      </x:c>
      <x:c r="J256" s="14" t="str">
        <x:v>Current-event / signal source. Useful for fast-moving signals; usually secondary or event-based rather than full research evidence.</x:v>
      </x:c>
      <x:c r="K256" s="14" t="str">
        <x:v>Worth watching because it may change Europe’s capabilities, dependencies, investment environment or security.</x:v>
      </x:c>
      <x:c r="L256" s="14" t="str">
        <x:v>Fast-moving EU-relevant signal</x:v>
      </x:c>
      <x:c r="M256" s="14" t="str">
        <x:v>Current-event/signal evidence</x:v>
      </x:c>
      <x:c r="N256" s="14" t="str">
        <x:v>Not coded</x:v>
      </x:c>
      <x:c r="O256" s="14" t="str">
        <x:v>https://helsing.ai/newsroom/helsing-raises-1-8bn-in-series-e</x:v>
      </x:c>
      <x:c r="P256" s="14" t="str"/>
      <x:c r="Q256" s="16" t="n">
        <x:v>25</x:v>
      </x:c>
      <x:c r="R256" s="16" t="n">
        <x:v>18</x:v>
      </x:c>
      <x:c r="S256" s="16" t="n">
        <x:v>9</x:v>
      </x:c>
      <x:c r="T256" s="16" t="n">
        <x:v>2</x:v>
      </x:c>
    </x:row>
  </x:sheetData>
  <x:conditionalFormatting sqref="B2:B256">
    <x:cfRule type="colorScale" priority="1">
      <x:colorScale>
        <x:cfvo type="min"/>
        <x:cfvo type="percentile" val="50"/>
        <x:cfvo type="max"/>
        <x:color rgb="FFFDECEC"/>
        <x:color rgb="FFFFF4CC"/>
        <x:color rgb="FFE6F4EA"/>
      </x:colorScale>
    </x:cfRule>
  </x:conditionalFormatting>
  <x:conditionalFormatting sqref="C2:C256">
    <x:cfRule type="expression" dxfId="0" priority="2">
      <x:formula>LEFT(C2,1)="A"</x:formula>
    </x:cfRule>
    <x:cfRule type="expression" dxfId="1" priority="3">
      <x:formula>LEFT(C2,1)="B"</x:formula>
    </x:cfRule>
    <x:cfRule type="expression" dxfId="2" priority="4">
      <x:formula>LEFT(C2,1)="E"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8cfe163cdc4440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2" hidden="0" customWidth="1"/>
  </x:cols>
  <x:sheetData>
    <x:row r="1" ht="36" customHeight="1">
      <x:c r="A1" s="34" t="str">
        <x:v>SOURCE MERIT RANKING — HOW TO READ IT</x:v>
      </x:c>
      <x:c r="B1" s="34" t="str"/>
    </x:row>
    <x:row r="2" ht="36" customHeight="1">
      <x:c r="A2" s="35" t="str">
        <x:v>Purpose</x:v>
      </x:c>
      <x:c r="B2" s="14" t="str">
        <x:v>A practical ranking for this EU R&amp;I geopolitics radar. It is not a universal academic league table.</x:v>
      </x:c>
    </x:row>
    <x:row r="3" ht="36" customHeight="1">
      <x:c r="A3" s="35" t="str">
        <x:v>Why EU sources come first</x:v>
      </x:c>
      <x:c r="B3" s="14" t="str">
        <x:v>Official EU institutions, agencies and programme sources are deliberately highest because they are primary evidence for EU policy, funding, rules and capability.</x:v>
      </x:c>
    </x:row>
    <x:row r="4" ht="36" customHeight="1">
      <x:c r="A4" s="35" t="str">
        <x:v>Score</x:v>
      </x:c>
      <x:c r="B4" s="14" t="str">
        <x:v>Merit score = source authority + relevance to EU R&amp;I geopolitics + evidence strength + author transparency. Maximum 100.</x:v>
      </x:c>
    </x:row>
    <x:row r="5" ht="36" customHeight="1">
      <x:c r="A5" s="35" t="str">
        <x:v>Authority (max 55)</x:v>
      </x:c>
      <x:c r="B5" s="14" t="str">
        <x:v>EU official/body 55; major public or multilateral body 48; strong European science network or leading peer-reviewed journal 46; leading policy institute 43; established journal/publisher 38; ordinary peer-reviewed journal 32; specialist/current-event source about 25–27; preprint 22.</x:v>
      </x:c>
    </x:row>
    <x:row r="6" ht="36" customHeight="1">
      <x:c r="A6" s="35" t="str">
        <x:v>Relevance (max 25)</x:v>
      </x:c>
      <x:c r="B6" s="14" t="str">
        <x:v>Direct EU relevance 25; material external development 20; relevance by implication/comparison 18.</x:v>
      </x:c>
    </x:row>
    <x:row r="7" ht="36" customHeight="1">
      <x:c r="A7" s="35" t="str">
        <x:v>Evidence (max 15)</x:v>
      </x:c>
      <x:c r="B7" s="14" t="str">
        <x:v>Official or peer-reviewed full source 15; institutional/manual-verified research 13–14; current-event signal 9; preprint or abstract 8.</x:v>
      </x:c>
    </x:row>
    <x:row r="8" ht="36" customHeight="1">
      <x:c r="A8" s="35" t="str">
        <x:v>Author transparency (max 5)</x:v>
      </x:c>
      <x:c r="B8" s="14" t="str">
        <x:v>Named author(s) 5; identifiable institutional author 4; no named author in radar metadata 2.</x:v>
      </x:c>
    </x:row>
    <x:row r="9" ht="36" customHeight="1">
      <x:c r="A9" s="35" t="str">
        <x:v>Merit bands</x:v>
      </x:c>
      <x:c r="B9" s="14" t="str">
        <x:v>A ≥93; B 85–92; C 75–84; D 65–74; E &lt;65.</x:v>
      </x:c>
    </x:row>
    <x:row r="10" ht="36" customHeight="1">
      <x:c r="A10" s="35" t="str">
        <x:v>Important caveat</x:v>
      </x:c>
      <x:c r="B10" s="14" t="str">
        <x:v>A lower score does not mean the item is wrong or useless. It means it should carry less weight than a primary EU source, major public body or stronger peer-reviewed/policy source.</x:v>
      </x:c>
    </x:row>
    <x:row r="11" ht="36" customHeight="1">
      <x:c r="A11" s="35" t="str">
        <x:v>Journal / institution</x:v>
      </x:c>
      <x:c r="B11" s="14" t="str">
        <x:v>Journal articles show the journal/outlet. Reports and policy sources show the institution behind them. Mixed publication series are labelled as clearly as the radar metadata allows.</x:v>
      </x:c>
    </x:row>
    <x:row r="12" ht="36" customHeight="1">
      <x:c r="A12" s="35" t="str">
        <x:v>Reputation checks</x:v>
      </x:c>
      <x:c r="B12" s="14" t="str">
        <x:v>Selected strong journals and institutions were cross-checked against their official/about pages. Other peer-reviewed journals are not given invented prestige claims; they stay in the general peer-reviewed category unless clearly established.</x:v>
      </x:c>
    </x:row>
    <x:row r="13" ht="36" customHeight="1">
      <x:c r="A13" s="35" t="str">
        <x:v>Latest radar used</x:v>
      </x:c>
      <x:c r="B13" s="14" t="str">
        <x:v>2026-08-28T20:50Z · A=224, B=25, C=14</x:v>
      </x:c>
    </x:row>
    <x:row r="14" ht="36" customHeight="1">
      <x:c r="A14" s="14" t="str"/>
      <x:c r="B14" s="14" t="str"/>
    </x:row>
    <x:row r="15" ht="36" customHeight="1">
      <x:c r="A15" s="39" t="str">
        <x:v>SELECTED REPUTATION REFERENCES</x:v>
      </x:c>
      <x:c r="B15" s="39" t="str">
        <x:v>Official/about page</x:v>
      </x:c>
    </x:row>
    <x:row r="16" ht="36" customHeight="1">
      <x:c r="A16" s="14" t="str">
        <x:v>ALLEA</x:v>
      </x:c>
      <x:c r="B16" s="14" t="str">
        <x:v>https://allea.org/</x:v>
      </x:c>
    </x:row>
    <x:row r="17" ht="36" customHeight="1">
      <x:c r="A17" s="14" t="str">
        <x:v>Bruegel</x:v>
      </x:c>
      <x:c r="B17" s="14" t="str">
        <x:v>https://www.bruegel.org/</x:v>
      </x:c>
    </x:row>
    <x:row r="18" ht="36" customHeight="1">
      <x:c r="A18" s="14" t="str">
        <x:v>CEPS</x:v>
      </x:c>
      <x:c r="B18" s="14" t="str">
        <x:v>https://www.ceps.eu/about-ceps/</x:v>
      </x:c>
    </x:row>
    <x:row r="19" ht="36" customHeight="1">
      <x:c r="A19" s="14" t="str">
        <x:v>European Policy Centre</x:v>
      </x:c>
      <x:c r="B19" s="14" t="str">
        <x:v>https://epc.eu/about/</x:v>
      </x:c>
    </x:row>
    <x:row r="20" ht="36" customHeight="1">
      <x:c r="A20" s="14" t="str">
        <x:v>MERICS</x:v>
      </x:c>
      <x:c r="B20" s="14" t="str">
        <x:v>https://merics.org/en/about</x:v>
      </x:c>
    </x:row>
    <x:row r="21" ht="36" customHeight="1">
      <x:c r="A21" s="14" t="str">
        <x:v>FIIA</x:v>
      </x:c>
      <x:c r="B21" s="14" t="str">
        <x:v>https://fiia.fi/en/institute/the-institute</x:v>
      </x:c>
    </x:row>
    <x:row r="22" ht="36" customHeight="1">
      <x:c r="A22" s="14" t="str">
        <x:v>SIPRI</x:v>
      </x:c>
      <x:c r="B22" s="14" t="str">
        <x:v>https://www.sipri.org/about/organization</x:v>
      </x:c>
    </x:row>
    <x:row r="23" ht="36" customHeight="1">
      <x:c r="A23" s="14" t="str">
        <x:v>OECD</x:v>
      </x:c>
      <x:c r="B23" s="14" t="str">
        <x:v>https://www.oecd.org/en/about.html</x:v>
      </x:c>
    </x:row>
    <x:row r="24" ht="36" customHeight="1">
      <x:c r="A24" s="14" t="str">
        <x:v>International Telecommunication Union</x:v>
      </x:c>
      <x:c r="B24" s="14" t="str">
        <x:v>https://www.itu.int/en/about/Pages/default.aspx</x:v>
      </x:c>
    </x:row>
    <x:row r="25" ht="36" customHeight="1">
      <x:c r="A25" s="14" t="str">
        <x:v>Rathenau Instituut</x:v>
      </x:c>
      <x:c r="B25" s="14" t="str">
        <x:v>https://www.rathenau.nl/en/about-us</x:v>
      </x:c>
    </x:row>
    <x:row r="26" ht="36" customHeight="1">
      <x:c r="A26" s="14" t="str">
        <x:v>LERU</x:v>
      </x:c>
      <x:c r="B26" s="14" t="str">
        <x:v>https://www.leru.org/about-leru</x:v>
      </x:c>
    </x:row>
    <x:row r="27" ht="36" customHeight="1">
      <x:c r="A27" s="14" t="str">
        <x:v>Policy and Society</x:v>
      </x:c>
      <x:c r="B27" s="14" t="str">
        <x:v>https://academic.oup.com/policyandsociety/pages/about</x:v>
      </x:c>
    </x:row>
    <x:row r="28" ht="36" customHeight="1">
      <x:c r="A28" s="14" t="str">
        <x:v>Science and Public Policy</x:v>
      </x:c>
      <x:c r="B28" s="14" t="str">
        <x:v>https://academic.oup.com/spp/pages/about</x:v>
      </x:c>
    </x:row>
    <x:row r="29" ht="36" customHeight="1">
      <x:c r="A29" s="14" t="str">
        <x:v>Nature Communications</x:v>
      </x:c>
      <x:c r="B29" s="14" t="str">
        <x:v>https://www.nature.com/ncomms/journal-information</x:v>
      </x:c>
    </x:row>
    <x:row r="30" ht="36" customHeight="1">
      <x:c r="A30" s="14" t="str">
        <x:v>Scientific Reports</x:v>
      </x:c>
      <x:c r="B30" s="14" t="str">
        <x:v>https://www.nature.com/srep/about</x:v>
      </x:c>
    </x:row>
    <x:row r="31" ht="36" customHeight="1">
      <x:c r="A31" s="14" t="str">
        <x:v>JCMS: Journal of Common Market Studies</x:v>
      </x:c>
      <x:c r="B31" s="14" t="str">
        <x:v>https://onlinelibrary.wiley.com/journal/14685965</x:v>
      </x:c>
    </x:row>
    <x:row r="32" ht="36" customHeight="1">
      <x:c r="A32" s="14" t="str">
        <x:v>European Journal of International Relations</x:v>
      </x:c>
      <x:c r="B32" s="14" t="str">
        <x:v>https://journals.sagepub.com/journal/EJT</x:v>
      </x:c>
    </x:row>
    <x:row r="33" ht="36" customHeight="1">
      <x:c r="A33" s="14" t="str">
        <x:v>European Security</x:v>
      </x:c>
      <x:c r="B33" s="14" t="str">
        <x:v>https://www.tandfonline.com/journals/feus20</x:v>
      </x:c>
    </x:row>
    <x:row r="34" ht="36" customHeight="1">
      <x:c r="A34" s="14" t="str">
        <x:v>European Council on Foreign Relations</x:v>
      </x:c>
      <x:c r="B34" s="14" t="str">
        <x:v>https://ecfr.eu/about/</x:v>
      </x:c>
    </x:row>
  </x:sheetData>
  <x:pageMargins left="0.7" right="0.7" top="0.75" bottom="0.75" header="0.3" footer="0.3"/>
</x:worksheet>
</file>