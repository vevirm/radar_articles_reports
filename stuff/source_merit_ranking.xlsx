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ff48f03179a42e8" /></Relationships>
</file>

<file path=xl/workbook.xml><?xml version="1.0" encoding="utf-8"?>
<x:workbook xmlns:x="http://schemas.openxmlformats.org/spreadsheetml/2006/main">
  <x:sheets>
    <x:sheet xmlns:r="http://schemas.openxmlformats.org/officeDocument/2006/relationships" name="Ranked sources" sheetId="1" r:id="Rc162ff4206e64a5c"/>
    <x:sheet xmlns:r="http://schemas.openxmlformats.org/officeDocument/2006/relationships" name="Technical evidence" sheetId="2" r:id="R5d2d5eaf80014d88"/>
    <x:sheet xmlns:r="http://schemas.openxmlformats.org/officeDocument/2006/relationships" name="Method" sheetId="3" r:id="R811af8264942448c"/>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1"/>
      <x:name val="Carlito"/>
    </x:font>
    <x:font>
      <x:b/>
      <x:sz val="11"/>
      <x:color rgb="FFC40018"/>
      <x:name val="Carlito"/>
    </x:font>
  </x:fonts>
  <x:fills count="4">
    <x:fill>
      <x:patternFill patternType="none"/>
    </x:fill>
    <x:fill>
      <x:patternFill patternType="gray125"/>
    </x:fill>
    <x:fill>
      <x:patternFill patternType="solid">
        <x:fgColor rgb="FF111111"/>
      </x:patternFill>
    </x:fill>
    <x:fill>
      <x:patternFill patternType="solid">
        <x:fgColor rgb="FFC40018"/>
      </x:patternFill>
    </x:fill>
  </x:fills>
  <x:borders count="2">
    <x:border/>
    <x:border/>
  </x:borders>
  <x:cellStyleXfs count="1">
    <x:xf numFmtId="0" fontId="0" fillId="0" borderId="0"/>
  </x:cellStyleXfs>
  <x:cellXfs count="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3" borderId="0" xfId="0" applyNumberFormat="1" applyFont="1" applyFill="1" applyBorder="1"/>
    <x:xf numFmtId="0" fontId="1" fillId="3" borderId="0" xfId="0" applyNumberFormat="1" applyFont="1" applyFill="1" applyBorder="1"/>
    <x:xf numFmtId="0" fontId="0" fillId="3" borderId="1" xfId="0" applyNumberFormat="1" applyFont="1" applyFill="1" applyBorder="1"/>
    <x:xf numFmtId="0" fontId="1" fillId="3" borderId="1" xfId="0" applyNumberFormat="1" applyFont="1" applyFill="1" applyBorder="1"/>
    <x:xf numFmtId="0" fontId="2" fillId="0" borderId="0" xfId="0" applyNumberFormat="1" applyFont="1" applyFill="1" applyBorder="1"/>
    <x:xf numFmtId="0" fontId="2" fillId="0" borderId="1" xfId="0" applyNumberFormat="1" applyFont="1" applyFill="1" applyBorder="1"/>
    <x:xf numFmtId="0" fontId="1" fillId="3" borderId="0" xfId="0" applyNumberFormat="1" applyFont="1" applyFill="1" applyBorder="1" applyAlignment="1">
      <x:alignment wrapText="1"/>
    </x:xf>
    <x:xf numFmtId="0" fontId="2" fillId="0" borderId="0" xfId="0" applyNumberFormat="1" applyFont="1" applyFill="1" applyBorder="1" applyAlignment="1">
      <x:alignment wrapText="1"/>
    </x:xf>
    <x:xf numFmtId="0" fontId="0"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horizontal="center" wrapText="1"/>
    </x:xf>
  </x:cellXfs>
  <x:cellStyles count="1">
    <x:cellStyle name="Normal" xfId="0"/>
  </x:cellStyles>
  <x:dxfs count="1">
    <x:dxf>
      <x:font>
        <x:b/>
        <x:color rgb="FFC40018"/>
      </x:font>
    </x:dxf>
  </x:dxfs>
</x:styleSheet>
</file>

<file path=xl/_rels/workbook.xml.rels>&#65279;<?xml version="1.0" encoding="utf-8"?><Relationships xmlns="http://schemas.openxmlformats.org/package/2006/relationships"><Relationship Type="http://schemas.openxmlformats.org/officeDocument/2006/relationships/styles" Target="/xl/styles.xml" Id="R19e4344accd8447a" /><Relationship Type="http://schemas.openxmlformats.org/officeDocument/2006/relationships/theme" Target="/xl/theme/theme1.xml" Id="R44aec4dcdef64b56" /><Relationship Type="http://schemas.openxmlformats.org/officeDocument/2006/relationships/sharedStrings" Target="/xl/sharedStrings.xml" Id="R4e6eac6764e144ed" /><Relationship Type="http://schemas.openxmlformats.org/officeDocument/2006/relationships/worksheet" Target="/xl/worksheets/sheet1.xml" Id="Rc162ff4206e64a5c" /><Relationship Type="http://schemas.openxmlformats.org/officeDocument/2006/relationships/worksheet" Target="/xl/worksheets/sheet2.xml" Id="R5d2d5eaf80014d88" /><Relationship Type="http://schemas.openxmlformats.org/officeDocument/2006/relationships/worksheet" Target="/xl/worksheets/sheet3.xml" Id="R811af8264942448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8" hidden="0" customWidth="1"/>
    <x:col min="2" max="2" width="11" hidden="0" customWidth="1"/>
    <x:col min="3" max="3" width="16" hidden="0" customWidth="1"/>
    <x:col min="4" max="4" width="42" hidden="0" customWidth="1"/>
    <x:col min="5" max="5" width="12" hidden="0" customWidth="1"/>
    <x:col min="6" max="6" width="16" hidden="0" customWidth="1"/>
    <x:col min="7" max="7" width="27" hidden="0" customWidth="1"/>
    <x:col min="8" max="8" width="32" hidden="0" customWidth="1"/>
    <x:col min="9" max="9" width="12" hidden="0" customWidth="1"/>
    <x:col min="10" max="10" width="28" hidden="0" customWidth="1"/>
    <x:col min="11" max="11" width="15" hidden="0" customWidth="1"/>
    <x:col min="12" max="12" width="31" hidden="0" customWidth="1"/>
    <x:col min="13" max="13" width="12" hidden="0" customWidth="1"/>
    <x:col min="14" max="14" width="28" hidden="0" customWidth="1"/>
    <x:col min="15" max="15" width="18" hidden="0" customWidth="1"/>
    <x:col min="16" max="16" width="24" hidden="0" customWidth="1"/>
    <x:col min="17" max="17" width="18" hidden="0" customWidth="1"/>
    <x:col min="18" max="18" width="42" hidden="0" customWidth="1"/>
  </x:cols>
  <x:sheetData>
    <x:row r="1">
      <x:c r="A1" s="5" t="str">
        <x:v>Rank</x:v>
      </x:c>
      <x:c r="B1" s="5" t="str">
        <x:v>Score / 100</x:v>
      </x:c>
      <x:c r="C1" s="5" t="str">
        <x:v>Band</x:v>
      </x:c>
      <x:c r="D1" s="5" t="str">
        <x:v>Title</x:v>
      </x:c>
      <x:c r="E1" s="5" t="str">
        <x:v>Date</x:v>
      </x:c>
      <x:c r="F1" s="5" t="str">
        <x:v>Product</x:v>
      </x:c>
      <x:c r="G1" s="5" t="str">
        <x:v>Source</x:v>
      </x:c>
      <x:c r="H1" s="5" t="str">
        <x:v>Authors</x:v>
      </x:c>
      <x:c r="I1" s="5" t="str">
        <x:v>Authority / 55</x:v>
      </x:c>
      <x:c r="J1" s="5" t="str">
        <x:v>Authority basis</x:v>
      </x:c>
      <x:c r="K1" s="5" t="str">
        <x:v>EU relevance / 25</x:v>
      </x:c>
      <x:c r="L1" s="5" t="str">
        <x:v>EU relevance basis</x:v>
      </x:c>
      <x:c r="M1" s="5" t="str">
        <x:v>Evidence / 15</x:v>
      </x:c>
      <x:c r="N1" s="5" t="str">
        <x:v>Evidence basis</x:v>
      </x:c>
      <x:c r="O1" s="5" t="str">
        <x:v>Author transparency / 5</x:v>
      </x:c>
      <x:c r="P1" s="5" t="str">
        <x:v>Type</x:v>
      </x:c>
      <x:c r="Q1" s="5" t="str">
        <x:v>EU relevance code</x:v>
      </x:c>
      <x:c r="R1" s="5" t="str">
        <x:v>Source link</x:v>
      </x:c>
    </x:row>
    <x:row r="2">
      <x:c r="A2" s="10" t="n">
        <x:f>RANK.EQ(B2,$B$2:$B$446,0)+COUNTIF($B$2:B2,B2)-1</x:f>
        <x:v>1</x:v>
      </x:c>
      <x:c r="B2" s="22" t="n">
        <x:f>I2+K2+M2+O2</x:f>
        <x:v>100</x:v>
      </x:c>
      <x:c r="C2" s="10" t="str">
        <x:f>IF(B2&gt;=93,"A — Highest",IF(B2&gt;=85,"B — Very strong",IF(B2&gt;=75,"C — Strong",IF(B2&gt;=65,"D — Useful","E — Supporting"))))</x:f>
        <x:v>A — Highest</x:v>
      </x:c>
      <x:c r="D2" s="10" t="str">
        <x:v>Artificial Intelligence for Biology: Capabilities, Readiness, and Policy Implications</x:v>
      </x:c>
      <x:c r="E2" s="10" t="str">
        <x:v>2026-09-01</x:v>
      </x:c>
      <x:c r="F2" s="10" t="str">
        <x:v>A</x:v>
      </x:c>
      <x:c r="G2" s="10" t="str">
        <x:v>JRC Publications Repository</x:v>
      </x:c>
      <x:c r="H2" s="10" t="str">
        <x:v>RUIZ, SERRA Victoria, FORTUNA, Paula, CURION, Fabiola, PETRILLO, Mauro, LEONI, Gabriele, BILI, Danai, MELANDRI, Daniela, VANGHELUWE, Nick, COMTE, Valentin, BERTOLINI, AGNOLETTO Lorenzo, COECKE, Sandra, CERESA, Mario, QUERCI, Maddalena, WIESENTHAL, Tobias</x:v>
      </x:c>
      <x:c r="I2" s="10" t="n">
        <x:v>55</x:v>
      </x:c>
      <x:c r="J2" s="10" t="str">
        <x:v>EU official / EU body</x:v>
      </x:c>
      <x:c r="K2" s="10" t="n">
        <x:v>25</x:v>
      </x:c>
      <x:c r="L2" s="10" t="str">
        <x:v>Direct EU relevance</x:v>
      </x:c>
      <x:c r="M2" s="10" t="n">
        <x:v>15</x:v>
      </x:c>
      <x:c r="N2" s="10" t="str">
        <x:v>Primary/official source</x:v>
      </x:c>
      <x:c r="O2" s="10" t="n">
        <x:v>5</x:v>
      </x:c>
      <x:c r="P2" s="10" t="str">
        <x:v>official policy / institutional framework</x:v>
      </x:c>
      <x:c r="Q2" s="10" t="str">
        <x:v>direct</x:v>
      </x:c>
      <x:c r="R2" s="10" t="str">
        <x:v>https://publications.jrc.ec.europa.eu/repository/handle/JRC147549</x:v>
      </x:c>
    </x:row>
    <x:row r="3">
      <x:c r="A3" s="10" t="n">
        <x:f>RANK.EQ(B3,$B$2:$B$446,0)+COUNTIF($B$2:B3,B3)-1</x:f>
        <x:v>2</x:v>
      </x:c>
      <x:c r="B3" s="22" t="n">
        <x:f>I3+K3+M3+O3</x:f>
        <x:v>100</x:v>
      </x:c>
      <x:c r="C3" s="10" t="str">
        <x:f>IF(B3&gt;=93,"A — Highest",IF(B3&gt;=85,"B — Very strong",IF(B3&gt;=75,"C — Strong",IF(B3&gt;=65,"D — Useful","E — Supporting"))))</x:f>
        <x:v>A — Highest</x:v>
      </x:c>
      <x:c r="D3" s="10" t="str">
        <x:v>Four years of JRC Makers-in-Residence Programme</x:v>
      </x:c>
      <x:c r="E3" s="10" t="str">
        <x:v>2026-09-01</x:v>
      </x:c>
      <x:c r="F3" s="10" t="str">
        <x:v>A</x:v>
      </x:c>
      <x:c r="G3" s="10" t="str">
        <x:v>JRC Publications Repository</x:v>
      </x:c>
      <x:c r="H3" s="10" t="str">
        <x:v>ROSA, Paulo, GUIMARAES, PEREIRA Ângela</x:v>
      </x:c>
      <x:c r="I3" s="10" t="n">
        <x:v>55</x:v>
      </x:c>
      <x:c r="J3" s="10" t="str">
        <x:v>EU official / EU body</x:v>
      </x:c>
      <x:c r="K3" s="10" t="n">
        <x:v>25</x:v>
      </x:c>
      <x:c r="L3" s="10" t="str">
        <x:v>Direct EU relevance</x:v>
      </x:c>
      <x:c r="M3" s="10" t="n">
        <x:v>15</x:v>
      </x:c>
      <x:c r="N3" s="10" t="str">
        <x:v>Primary/official source</x:v>
      </x:c>
      <x:c r="O3" s="10" t="n">
        <x:v>5</x:v>
      </x:c>
      <x:c r="P3" s="10" t="str">
        <x:v>official policy / institutional framework</x:v>
      </x:c>
      <x:c r="Q3" s="10" t="str">
        <x:v>direct</x:v>
      </x:c>
      <x:c r="R3" s="10" t="str">
        <x:v>https://publications.jrc.ec.europa.eu/repository/handle/JRC145095</x:v>
      </x:c>
    </x:row>
    <x:row r="4">
      <x:c r="A4" s="10" t="n">
        <x:f>RANK.EQ(B4,$B$2:$B$446,0)+COUNTIF($B$2:B4,B4)-1</x:f>
        <x:v>3</x:v>
      </x:c>
      <x:c r="B4" s="22" t="n">
        <x:f>I4+K4+M4+O4</x:f>
        <x:v>100</x:v>
      </x:c>
      <x:c r="C4" s="10" t="str">
        <x:f>IF(B4&gt;=93,"A — Highest",IF(B4&gt;=85,"B — Very strong",IF(B4&gt;=75,"C — Strong",IF(B4&gt;=65,"D — Useful","E — Supporting"))))</x:f>
        <x:v>A — Highest</x:v>
      </x:c>
      <x:c r="D4" s="10" t="str">
        <x:v>Building Resilient and Robust Clean Energy Supply Chains: Challenges and Opportunities for a Sustainable Energy Transition</x:v>
      </x:c>
      <x:c r="E4" s="10" t="str">
        <x:v>2026-08-31</x:v>
      </x:c>
      <x:c r="F4" s="10" t="str">
        <x:v>A</x:v>
      </x:c>
      <x:c r="G4" s="10" t="str">
        <x:v>JRC Publications Repository</x:v>
      </x:c>
      <x:c r="H4" s="10" t="str">
        <x:v>GEORGAKAKI, Aliki, PIELA, Krzysztof</x:v>
      </x:c>
      <x:c r="I4" s="10" t="n">
        <x:v>55</x:v>
      </x:c>
      <x:c r="J4" s="10" t="str">
        <x:v>EU official / EU body</x:v>
      </x:c>
      <x:c r="K4" s="10" t="n">
        <x:v>25</x:v>
      </x:c>
      <x:c r="L4" s="10" t="str">
        <x:v>Direct EU relevance</x:v>
      </x:c>
      <x:c r="M4" s="10" t="n">
        <x:v>15</x:v>
      </x:c>
      <x:c r="N4" s="10" t="str">
        <x:v>Primary/official source</x:v>
      </x:c>
      <x:c r="O4" s="10" t="n">
        <x:v>5</x:v>
      </x:c>
      <x:c r="P4" s="10" t="str">
        <x:v>research/policy paper</x:v>
      </x:c>
      <x:c r="Q4" s="10" t="str">
        <x:v>direct</x:v>
      </x:c>
      <x:c r="R4" s="10" t="str">
        <x:v>https://publications.jrc.ec.europa.eu/repository/handle/JRC147825</x:v>
      </x:c>
    </x:row>
    <x:row r="5">
      <x:c r="A5" s="10" t="n">
        <x:f>RANK.EQ(B5,$B$2:$B$446,0)+COUNTIF($B$2:B5,B5)-1</x:f>
        <x:v>4</x:v>
      </x:c>
      <x:c r="B5" s="22" t="n">
        <x:f>I5+K5+M5+O5</x:f>
        <x:v>100</x:v>
      </x:c>
      <x:c r="C5" s="10" t="str">
        <x:f>IF(B5&gt;=93,"A — Highest",IF(B5&gt;=85,"B — Very strong",IF(B5&gt;=75,"C — Strong",IF(B5&gt;=65,"D — Useful","E — Supporting"))))</x:f>
        <x:v>A — Highest</x:v>
      </x:c>
      <x:c r="D5" s="10" t="str">
        <x:v>Environmentally Sustainable Digital Sovereignty</x:v>
      </x:c>
      <x:c r="E5" s="10" t="str">
        <x:v>2026-08-31</x:v>
      </x:c>
      <x:c r="F5" s="10" t="str">
        <x:v>A</x:v>
      </x:c>
      <x:c r="G5" s="10" t="str">
        <x:v>JRC Publications Repository</x:v>
      </x:c>
      <x:c r="H5" s="10" t="str">
        <x:v>COLOM, Anna, POHLE, Julia, THABIT, GONZALEZ Sara, BACCO, F. Manlio, DI, MARCO Diletta, MATHIEUX, Fabrice</x:v>
      </x:c>
      <x:c r="I5" s="10" t="n">
        <x:v>55</x:v>
      </x:c>
      <x:c r="J5" s="10" t="str">
        <x:v>EU official / EU body</x:v>
      </x:c>
      <x:c r="K5" s="10" t="n">
        <x:v>25</x:v>
      </x:c>
      <x:c r="L5" s="10" t="str">
        <x:v>Direct EU relevance</x:v>
      </x:c>
      <x:c r="M5" s="10" t="n">
        <x:v>15</x:v>
      </x:c>
      <x:c r="N5" s="10" t="str">
        <x:v>Primary/official source</x:v>
      </x:c>
      <x:c r="O5" s="10" t="n">
        <x:v>5</x:v>
      </x:c>
      <x:c r="P5" s="10" t="str">
        <x:v>research/policy paper</x:v>
      </x:c>
      <x:c r="Q5" s="10" t="str">
        <x:v>direct</x:v>
      </x:c>
      <x:c r="R5" s="10" t="str">
        <x:v>https://publications.jrc.ec.europa.eu/repository/handle/JRC147383</x:v>
      </x:c>
    </x:row>
    <x:row r="6">
      <x:c r="A6" s="10" t="n">
        <x:f>RANK.EQ(B6,$B$2:$B$446,0)+COUNTIF($B$2:B6,B6)-1</x:f>
        <x:v>5</x:v>
      </x:c>
      <x:c r="B6" s="22" t="n">
        <x:f>I6+K6+M6+O6</x:f>
        <x:v>100</x:v>
      </x:c>
      <x:c r="C6" s="10" t="str">
        <x:f>IF(B6&gt;=93,"A — Highest",IF(B6&gt;=85,"B — Very strong",IF(B6&gt;=75,"C — Strong",IF(B6&gt;=65,"D — Useful","E — Supporting"))))</x:f>
        <x:v>A — Highest</x:v>
      </x:c>
      <x:c r="D6" s="10" t="str">
        <x:v>Is Europe losing its startups?</x:v>
      </x:c>
      <x:c r="E6" s="10" t="str">
        <x:v>2026-08-31</x:v>
      </x:c>
      <x:c r="F6" s="10" t="str">
        <x:v>A</x:v>
      </x:c>
      <x:c r="G6" s="10" t="str">
        <x:v>JRC Publications Repository</x:v>
      </x:c>
      <x:c r="H6" s="10" t="str">
        <x:v>DOMNICK, Clemens, COMPANO, Ramon, PONFERRADA, Víctor, TOFAN, Bogdan, COLOMBO, Massimo, QUAS, Anita</x:v>
      </x:c>
      <x:c r="I6" s="10" t="n">
        <x:v>55</x:v>
      </x:c>
      <x:c r="J6" s="10" t="str">
        <x:v>EU official / EU body</x:v>
      </x:c>
      <x:c r="K6" s="10" t="n">
        <x:v>25</x:v>
      </x:c>
      <x:c r="L6" s="10" t="str">
        <x:v>Direct EU relevance</x:v>
      </x:c>
      <x:c r="M6" s="10" t="n">
        <x:v>15</x:v>
      </x:c>
      <x:c r="N6" s="10" t="str">
        <x:v>Primary/official source</x:v>
      </x:c>
      <x:c r="O6" s="10" t="n">
        <x:v>5</x:v>
      </x:c>
      <x:c r="P6" s="10" t="str">
        <x:v>research/policy paper</x:v>
      </x:c>
      <x:c r="Q6" s="10" t="str">
        <x:v>direct</x:v>
      </x:c>
      <x:c r="R6" s="10" t="str">
        <x:v>https://publications.jrc.ec.europa.eu/repository/handle/JRC146239</x:v>
      </x:c>
    </x:row>
    <x:row r="7">
      <x:c r="A7" s="10" t="n">
        <x:f>RANK.EQ(B7,$B$2:$B$446,0)+COUNTIF($B$2:B7,B7)-1</x:f>
        <x:v>6</x:v>
      </x:c>
      <x:c r="B7" s="22" t="n">
        <x:f>I7+K7+M7+O7</x:f>
        <x:v>100</x:v>
      </x:c>
      <x:c r="C7" s="10" t="str">
        <x:f>IF(B7&gt;=93,"A — Highest",IF(B7&gt;=85,"B — Very strong",IF(B7&gt;=75,"C — Strong",IF(B7&gt;=65,"D — Useful","E — Supporting"))))</x:f>
        <x:v>A — Highest</x:v>
      </x:c>
      <x:c r="D7" s="10" t="str">
        <x:v>LUCAS Topsoil Survey for the Western Balkans</x:v>
      </x:c>
      <x:c r="E7" s="10" t="str">
        <x:v>2026-08-31</x:v>
      </x:c>
      <x:c r="F7" s="10" t="str">
        <x:v>A</x:v>
      </x:c>
      <x:c r="G7" s="10" t="str">
        <x:v>JRC Publications Repository</x:v>
      </x:c>
      <x:c r="H7" s="10" t="str">
        <x:v>ARIAS, NAVARRO Cristina, VIDOJEVIĆ, Dragana, ZDRULI, P., ISLAMAJ, Bexhet, SCARPA, Simone, YUNTA, Felipe, WOJDA, Piotr, JONES, Arwyn</x:v>
      </x:c>
      <x:c r="I7" s="10" t="n">
        <x:v>55</x:v>
      </x:c>
      <x:c r="J7" s="10" t="str">
        <x:v>EU official / EU body</x:v>
      </x:c>
      <x:c r="K7" s="10" t="n">
        <x:v>25</x:v>
      </x:c>
      <x:c r="L7" s="10" t="str">
        <x:v>Direct EU relevance</x:v>
      </x:c>
      <x:c r="M7" s="10" t="n">
        <x:v>15</x:v>
      </x:c>
      <x:c r="N7" s="10" t="str">
        <x:v>Primary/official source</x:v>
      </x:c>
      <x:c r="O7" s="10" t="n">
        <x:v>5</x:v>
      </x:c>
      <x:c r="P7" s="10" t="str">
        <x:v>research/policy paper</x:v>
      </x:c>
      <x:c r="Q7" s="10" t="str">
        <x:v>direct</x:v>
      </x:c>
      <x:c r="R7" s="10" t="str">
        <x:v>https://publications.jrc.ec.europa.eu/repository/handle/JRC142550</x:v>
      </x:c>
    </x:row>
    <x:row r="8">
      <x:c r="A8" s="10" t="n">
        <x:f>RANK.EQ(B8,$B$2:$B$446,0)+COUNTIF($B$2:B8,B8)-1</x:f>
        <x:v>7</x:v>
      </x:c>
      <x:c r="B8" s="22" t="n">
        <x:f>I8+K8+M8+O8</x:f>
        <x:v>100</x:v>
      </x:c>
      <x:c r="C8" s="10" t="str">
        <x:f>IF(B8&gt;=93,"A — Highest",IF(B8&gt;=85,"B — Very strong",IF(B8&gt;=75,"C — Strong",IF(B8&gt;=65,"D — Useful","E — Supporting"))))</x:f>
        <x:v>A — Highest</x:v>
      </x:c>
      <x:c r="D8" s="10" t="str">
        <x:v>Overall Strategic Analysis of Clean Energy Technology in the European Union</x:v>
      </x:c>
      <x:c r="E8" s="10" t="str">
        <x:v>2026-08-31</x:v>
      </x:c>
      <x:c r="F8" s="10" t="str">
        <x:v>A</x:v>
      </x:c>
      <x:c r="G8" s="10" t="str">
        <x:v>JRC Publications Repository</x:v>
      </x:c>
      <x:c r="H8" s="10" t="str">
        <x:v>GEORGAKAKI, Aliki, PIELA, Krzysztof, DELGADO, CALLICÓ Laia, FINCK, Rafael, GRABOWSKA, Marcelina, INCE, Ela, MILETIC, Marija, MOUNTRAKI, Aikaterini, NOHL, Lucy, TAYLOR, Nigel, TERÇA, Gonçalo</x:v>
      </x:c>
      <x:c r="I8" s="10" t="n">
        <x:v>55</x:v>
      </x:c>
      <x:c r="J8" s="10" t="str">
        <x:v>EU official / EU body</x:v>
      </x:c>
      <x:c r="K8" s="10" t="n">
        <x:v>25</x:v>
      </x:c>
      <x:c r="L8" s="10" t="str">
        <x:v>Direct EU relevance</x:v>
      </x:c>
      <x:c r="M8" s="10" t="n">
        <x:v>15</x:v>
      </x:c>
      <x:c r="N8" s="10" t="str">
        <x:v>Primary/official source</x:v>
      </x:c>
      <x:c r="O8" s="10" t="n">
        <x:v>5</x:v>
      </x:c>
      <x:c r="P8" s="10" t="str">
        <x:v>research/policy paper</x:v>
      </x:c>
      <x:c r="Q8" s="10" t="str">
        <x:v>direct</x:v>
      </x:c>
      <x:c r="R8" s="10" t="str">
        <x:v>https://publications.jrc.ec.europa.eu/repository/handle/JRC146873</x:v>
      </x:c>
    </x:row>
    <x:row r="9">
      <x:c r="A9" s="10" t="n">
        <x:f>RANK.EQ(B9,$B$2:$B$446,0)+COUNTIF($B$2:B9,B9)-1</x:f>
        <x:v>8</x:v>
      </x:c>
      <x:c r="B9" s="22" t="n">
        <x:f>I9+K9+M9+O9</x:f>
        <x:v>100</x:v>
      </x:c>
      <x:c r="C9" s="10" t="str">
        <x:f>IF(B9&gt;=93,"A — Highest",IF(B9&gt;=85,"B — Very strong",IF(B9&gt;=75,"C — Strong",IF(B9&gt;=65,"D — Useful","E — Supporting"))))</x:f>
        <x:v>A — Highest</x:v>
      </x:c>
      <x:c r="D9" s="10" t="str">
        <x:v>Territories: Competitiveness, defence and preparedness</x:v>
      </x:c>
      <x:c r="E9" s="10" t="str">
        <x:v>2026-08-31</x:v>
      </x:c>
      <x:c r="F9" s="10" t="str">
        <x:v>A</x:v>
      </x:c>
      <x:c r="G9" s="10" t="str">
        <x:v>JRC Publications Repository</x:v>
      </x:c>
      <x:c r="H9" s="10" t="str">
        <x:v>SILLERO, ILLANES Carmen</x:v>
      </x:c>
      <x:c r="I9" s="10" t="n">
        <x:v>55</x:v>
      </x:c>
      <x:c r="J9" s="10" t="str">
        <x:v>EU official / EU body</x:v>
      </x:c>
      <x:c r="K9" s="10" t="n">
        <x:v>25</x:v>
      </x:c>
      <x:c r="L9" s="10" t="str">
        <x:v>Direct EU relevance</x:v>
      </x:c>
      <x:c r="M9" s="10" t="n">
        <x:v>15</x:v>
      </x:c>
      <x:c r="N9" s="10" t="str">
        <x:v>Primary/official source</x:v>
      </x:c>
      <x:c r="O9" s="10" t="n">
        <x:v>5</x:v>
      </x:c>
      <x:c r="P9" s="10" t="str">
        <x:v>research/policy paper</x:v>
      </x:c>
      <x:c r="Q9" s="10" t="str">
        <x:v>direct</x:v>
      </x:c>
      <x:c r="R9" s="10" t="str">
        <x:v>https://publications.jrc.ec.europa.eu/repository/handle/JRC147349</x:v>
      </x:c>
    </x:row>
    <x:row r="10">
      <x:c r="A10" s="10" t="n">
        <x:f>RANK.EQ(B10,$B$2:$B$446,0)+COUNTIF($B$2:B10,B10)-1</x:f>
        <x:v>9</x:v>
      </x:c>
      <x:c r="B10" s="22" t="n">
        <x:f>I10+K10+M10+O10</x:f>
        <x:v>100</x:v>
      </x:c>
      <x:c r="C10" s="10" t="str">
        <x:f>IF(B10&gt;=93,"A — Highest",IF(B10&gt;=85,"B — Very strong",IF(B10&gt;=75,"C — Strong",IF(B10&gt;=65,"D — Useful","E — Supporting"))))</x:f>
        <x:v>A — Highest</x:v>
      </x:c>
      <x:c r="D10" s="10" t="str">
        <x:v>JRC Security Research and Innovation Campus</x:v>
      </x:c>
      <x:c r="E10" s="10" t="str">
        <x:v>2026-08-26</x:v>
      </x:c>
      <x:c r="F10" s="10" t="str">
        <x:v>A</x:v>
      </x:c>
      <x:c r="G10" s="10" t="str">
        <x:v>JRC Publications Repository</x:v>
      </x:c>
      <x:c r="H10" s="10" t="str">
        <x:v>DOHERTY, Brian, CEGLIA, Andrea</x:v>
      </x:c>
      <x:c r="I10" s="10" t="n">
        <x:v>55</x:v>
      </x:c>
      <x:c r="J10" s="10" t="str">
        <x:v>EU official / EU body</x:v>
      </x:c>
      <x:c r="K10" s="10" t="n">
        <x:v>25</x:v>
      </x:c>
      <x:c r="L10" s="10" t="str">
        <x:v>Direct EU relevance</x:v>
      </x:c>
      <x:c r="M10" s="10" t="n">
        <x:v>15</x:v>
      </x:c>
      <x:c r="N10" s="10" t="str">
        <x:v>Primary/official source</x:v>
      </x:c>
      <x:c r="O10" s="10" t="n">
        <x:v>5</x:v>
      </x:c>
      <x:c r="P10" s="10" t="str">
        <x:v>formal study / report</x:v>
      </x:c>
      <x:c r="Q10" s="10" t="str">
        <x:v>direct</x:v>
      </x:c>
      <x:c r="R10" s="10" t="str">
        <x:v>https://publications.jrc.ec.europa.eu/repository/handle/JRC146102</x:v>
      </x:c>
    </x:row>
    <x:row r="11">
      <x:c r="A11" s="10" t="n">
        <x:f>RANK.EQ(B11,$B$2:$B$446,0)+COUNTIF($B$2:B11,B11)-1</x:f>
        <x:v>10</x:v>
      </x:c>
      <x:c r="B11" s="22" t="n">
        <x:f>I11+K11+M11+O11</x:f>
        <x:v>100</x:v>
      </x:c>
      <x:c r="C11" s="10" t="str">
        <x:f>IF(B11&gt;=93,"A — Highest",IF(B11&gt;=85,"B — Very strong",IF(B11&gt;=75,"C — Strong",IF(B11&gt;=65,"D — Useful","E — Supporting"))))</x:f>
        <x:v>A — Highest</x:v>
      </x:c>
      <x:c r="D11" s="10" t="str">
        <x:v>Proposing an EU Earth Observation science service</x:v>
      </x:c>
      <x:c r="E11" s="10" t="str">
        <x:v>2026-08-20</x:v>
      </x:c>
      <x:c r="F11" s="10" t="str">
        <x:v>A</x:v>
      </x:c>
      <x:c r="G11" s="10" t="str">
        <x:v>JRC Publications Repository</x:v>
      </x:c>
      <x:c r="H11" s="10" t="str">
        <x:v>VALLEJO, ORTI Miguel, LAHSAINI, Meriam, VANCUTSEM, Christelle, JEAN, Dussart, DOWELL, Mark</x:v>
      </x:c>
      <x:c r="I11" s="10" t="n">
        <x:v>55</x:v>
      </x:c>
      <x:c r="J11" s="10" t="str">
        <x:v>EU official / EU body</x:v>
      </x:c>
      <x:c r="K11" s="10" t="n">
        <x:v>25</x:v>
      </x:c>
      <x:c r="L11" s="10" t="str">
        <x:v>Direct EU relevance</x:v>
      </x:c>
      <x:c r="M11" s="10" t="n">
        <x:v>15</x:v>
      </x:c>
      <x:c r="N11" s="10" t="str">
        <x:v>Primary/official source</x:v>
      </x:c>
      <x:c r="O11" s="10" t="n">
        <x:v>5</x:v>
      </x:c>
      <x:c r="P11" s="10" t="str">
        <x:v>formal study / report</x:v>
      </x:c>
      <x:c r="Q11" s="10" t="str">
        <x:v>direct</x:v>
      </x:c>
      <x:c r="R11" s="10" t="str">
        <x:v>https://publications.jrc.ec.europa.eu/repository/handle/JRC147680</x:v>
      </x:c>
    </x:row>
    <x:row r="12">
      <x:c r="A12" s="10" t="n">
        <x:f>RANK.EQ(B12,$B$2:$B$446,0)+COUNTIF($B$2:B12,B12)-1</x:f>
        <x:v>11</x:v>
      </x:c>
      <x:c r="B12" s="22" t="n">
        <x:f>I12+K12+M12+O12</x:f>
        <x:v>100</x:v>
      </x:c>
      <x:c r="C12" s="10" t="str">
        <x:f>IF(B12&gt;=93,"A — Highest",IF(B12&gt;=85,"B — Very strong",IF(B12&gt;=75,"C — Strong",IF(B12&gt;=65,"D — Useful","E — Supporting"))))</x:f>
        <x:v>A — Highest</x:v>
      </x:c>
      <x:c r="D12" s="10" t="str">
        <x:v>Systemic intermediation for transformative research and innovation policy: intermediation activities and networks enabled through a portfolio approach</x:v>
      </x:c>
      <x:c r="E12" s="10" t="str">
        <x:v>2026-08-19</x:v>
      </x:c>
      <x:c r="F12" s="10" t="str">
        <x:v>A</x:v>
      </x:c>
      <x:c r="G12" s="10" t="str">
        <x:v>JRC Publications Repository</x:v>
      </x:c>
      <x:c r="H12" s="10" t="str">
        <x:v>BRODNICK, Christoph, MATTI, Cristian, ROMERO, GOYENECHE Oscar</x:v>
      </x:c>
      <x:c r="I12" s="10" t="n">
        <x:v>55</x:v>
      </x:c>
      <x:c r="J12" s="10" t="str">
        <x:v>EU official / EU body</x:v>
      </x:c>
      <x:c r="K12" s="10" t="n">
        <x:v>25</x:v>
      </x:c>
      <x:c r="L12" s="10" t="str">
        <x:v>Direct EU relevance</x:v>
      </x:c>
      <x:c r="M12" s="10" t="n">
        <x:v>15</x:v>
      </x:c>
      <x:c r="N12" s="10" t="str">
        <x:v>Primary/official source</x:v>
      </x:c>
      <x:c r="O12" s="10" t="n">
        <x:v>5</x:v>
      </x:c>
      <x:c r="P12" s="10" t="str">
        <x:v>formal study / report</x:v>
      </x:c>
      <x:c r="Q12" s="10" t="str">
        <x:v>direct</x:v>
      </x:c>
      <x:c r="R12" s="10" t="str">
        <x:v>https://publications.jrc.ec.europa.eu/repository/handle/JRC140783</x:v>
      </x:c>
    </x:row>
    <x:row r="13">
      <x:c r="A13" s="10" t="n">
        <x:f>RANK.EQ(B13,$B$2:$B$446,0)+COUNTIF($B$2:B13,B13)-1</x:f>
        <x:v>12</x:v>
      </x:c>
      <x:c r="B13" s="22" t="n">
        <x:f>I13+K13+M13+O13</x:f>
        <x:v>100</x:v>
      </x:c>
      <x:c r="C13" s="10" t="str">
        <x:f>IF(B13&gt;=93,"A — Highest",IF(B13&gt;=85,"B — Very strong",IF(B13&gt;=75,"C — Strong",IF(B13&gt;=65,"D — Useful","E — Supporting"))))</x:f>
        <x:v>A — Highest</x:v>
      </x:c>
      <x:c r="D13" s="10" t="str">
        <x:v>Sustainable productivity growth in agriculture: The role of shifts in R&amp;D investments and technology</x:v>
      </x:c>
      <x:c r="E13" s="10" t="str">
        <x:v>2026-08-14</x:v>
      </x:c>
      <x:c r="F13" s="10" t="str">
        <x:v>A</x:v>
      </x:c>
      <x:c r="G13" s="10" t="str">
        <x:v>JRC Publications Repository</x:v>
      </x:c>
      <x:c r="H13" s="10" t="str">
        <x:v>SMEETS, KRISTKOVA Zuzana, VAN, DIJK Michiel, M'BAREK, Robert, VAN, MEIJL Hans, RATINGER, Tomas</x:v>
      </x:c>
      <x:c r="I13" s="10" t="n">
        <x:v>55</x:v>
      </x:c>
      <x:c r="J13" s="10" t="str">
        <x:v>EU official / EU body</x:v>
      </x:c>
      <x:c r="K13" s="10" t="n">
        <x:v>25</x:v>
      </x:c>
      <x:c r="L13" s="10" t="str">
        <x:v>Direct EU relevance</x:v>
      </x:c>
      <x:c r="M13" s="10" t="n">
        <x:v>15</x:v>
      </x:c>
      <x:c r="N13" s="10" t="str">
        <x:v>Primary/official source</x:v>
      </x:c>
      <x:c r="O13" s="10" t="n">
        <x:v>5</x:v>
      </x:c>
      <x:c r="P13" s="10" t="str">
        <x:v>formal study / report</x:v>
      </x:c>
      <x:c r="Q13" s="10" t="str">
        <x:v>direct</x:v>
      </x:c>
      <x:c r="R13" s="10" t="str">
        <x:v>https://publications.jrc.ec.europa.eu/repository/handle/JRC142267</x:v>
      </x:c>
    </x:row>
    <x:row r="14">
      <x:c r="A14" s="10" t="n">
        <x:f>RANK.EQ(B14,$B$2:$B$446,0)+COUNTIF($B$2:B14,B14)-1</x:f>
        <x:v>13</x:v>
      </x:c>
      <x:c r="B14" s="22" t="n">
        <x:f>I14+K14+M14+O14</x:f>
        <x:v>100</x:v>
      </x:c>
      <x:c r="C14" s="10" t="str">
        <x:f>IF(B14&gt;=93,"A — Highest",IF(B14&gt;=85,"B — Very strong",IF(B14&gt;=75,"C — Strong",IF(B14&gt;=65,"D — Useful","E — Supporting"))))</x:f>
        <x:v>A — Highest</x:v>
      </x:c>
      <x:c r="D14" s="10" t="str">
        <x:v>Study on Cloud and AI Development in the EU</x:v>
      </x:c>
      <x:c r="E14" s="10" t="str">
        <x:v>2026-08-11</x:v>
      </x:c>
      <x:c r="F14" s="10" t="str">
        <x:v>A</x:v>
      </x:c>
      <x:c r="G14" s="10" t="str">
        <x:v>European Commission — Digital Strategy</x:v>
      </x:c>
      <x:c r="H14" s="10" t="str">
        <x:v>Technopolis; Wavestone; STL Partners; Kappa Research; Timelex; Open Forum Europe</x:v>
      </x:c>
      <x:c r="I14" s="10" t="n">
        <x:v>55</x:v>
      </x:c>
      <x:c r="J14" s="10" t="str">
        <x:v>EU official / EU body</x:v>
      </x:c>
      <x:c r="K14" s="10" t="n">
        <x:v>25</x:v>
      </x:c>
      <x:c r="L14" s="10" t="str">
        <x:v>Direct EU relevance</x:v>
      </x:c>
      <x:c r="M14" s="10" t="n">
        <x:v>15</x:v>
      </x:c>
      <x:c r="N14" s="10" t="str">
        <x:v>Primary/official source</x:v>
      </x:c>
      <x:c r="O14" s="10" t="n">
        <x:v>5</x:v>
      </x:c>
      <x:c r="P14" s="10" t="str">
        <x:v>formal study / report</x:v>
      </x:c>
      <x:c r="Q14" s="10" t="str">
        <x:v>direct</x:v>
      </x:c>
      <x:c r="R14" s="10" t="str">
        <x:v>https://digital-strategy.ec.europa.eu/en/library/study-cloud-and-ai-development-eu</x:v>
      </x:c>
    </x:row>
    <x:row r="15">
      <x:c r="A15" s="10" t="n">
        <x:f>RANK.EQ(B15,$B$2:$B$446,0)+COUNTIF($B$2:B15,B15)-1</x:f>
        <x:v>14</x:v>
      </x:c>
      <x:c r="B15" s="22" t="n">
        <x:f>I15+K15+M15+O15</x:f>
        <x:v>100</x:v>
      </x:c>
      <x:c r="C15" s="10" t="str">
        <x:f>IF(B15&gt;=93,"A — Highest",IF(B15&gt;=85,"B — Very strong",IF(B15&gt;=75,"C — Strong",IF(B15&gt;=65,"D — Useful","E — Supporting"))))</x:f>
        <x:v>A — Highest</x:v>
      </x:c>
      <x:c r="D15" s="10" t="str">
        <x:v>Choose Europe for Science</x:v>
      </x:c>
      <x:c r="E15" s="10" t="str">
        <x:v>2026-08-10</x:v>
      </x:c>
      <x:c r="F15" s="10" t="str">
        <x:v>A</x:v>
      </x:c>
      <x:c r="G15" s="10" t="str">
        <x:v>Marie Skłodowska-Curie Actions</x:v>
      </x:c>
      <x:c r="H15" s="10" t="str">
        <x:v>Marie Skłodowska-Curie Actions</x:v>
      </x:c>
      <x:c r="I15" s="10" t="n">
        <x:v>55</x:v>
      </x:c>
      <x:c r="J15" s="10" t="str">
        <x:v>EU official / EU body</x:v>
      </x:c>
      <x:c r="K15" s="10" t="n">
        <x:v>25</x:v>
      </x:c>
      <x:c r="L15" s="10" t="str">
        <x:v>Direct EU relevance</x:v>
      </x:c>
      <x:c r="M15" s="10" t="n">
        <x:v>15</x:v>
      </x:c>
      <x:c r="N15" s="10" t="str">
        <x:v>Primary/official source</x:v>
      </x:c>
      <x:c r="O15" s="10" t="n">
        <x:v>5</x:v>
      </x:c>
      <x:c r="P15" s="10" t="str">
        <x:v>research/policy paper</x:v>
      </x:c>
      <x:c r="Q15" s="10" t="str">
        <x:v>direct</x:v>
      </x:c>
      <x:c r="R15" s="10" t="str">
        <x:v>https://marie-sklodowska-curie-actions.ec.europa.eu/actions/choose-europe-for-science</x:v>
      </x:c>
    </x:row>
    <x:row r="16">
      <x:c r="A16" s="10" t="n">
        <x:f>RANK.EQ(B16,$B$2:$B$446,0)+COUNTIF($B$2:B16,B16)-1</x:f>
        <x:v>15</x:v>
      </x:c>
      <x:c r="B16" s="22" t="n">
        <x:f>I16+K16+M16+O16</x:f>
        <x:v>100</x:v>
      </x:c>
      <x:c r="C16" s="10" t="str">
        <x:f>IF(B16&gt;=93,"A — Highest",IF(B16&gt;=85,"B — Very strong",IF(B16&gt;=75,"C — Strong",IF(B16&gt;=65,"D — Useful","E — Supporting"))))</x:f>
        <x:v>A — Highest</x:v>
      </x:c>
      <x:c r="D16" s="10" t="str">
        <x:v>Ready4EIC: new training programme for innovative SMEs in EU enlargement countries</x:v>
      </x:c>
      <x:c r="E16" s="10" t="str">
        <x:v>2026-08-07</x:v>
      </x:c>
      <x:c r="F16" s="10" t="str">
        <x:v>A</x:v>
      </x:c>
      <x:c r="G16" s="10" t="str">
        <x:v>European Commission — Research &amp; Innovation</x:v>
      </x:c>
      <x:c r="H16" s="10" t="str">
        <x:v>Directorate-General for Research and Innovation</x:v>
      </x:c>
      <x:c r="I16" s="10" t="n">
        <x:v>55</x:v>
      </x:c>
      <x:c r="J16" s="10" t="str">
        <x:v>EU official / EU body</x:v>
      </x:c>
      <x:c r="K16" s="10" t="n">
        <x:v>25</x:v>
      </x:c>
      <x:c r="L16" s="10" t="str">
        <x:v>Direct EU relevance</x:v>
      </x:c>
      <x:c r="M16" s="10" t="n">
        <x:v>15</x:v>
      </x:c>
      <x:c r="N16" s="10" t="str">
        <x:v>Primary/official source</x:v>
      </x:c>
      <x:c r="O16" s="10" t="n">
        <x:v>5</x:v>
      </x:c>
      <x:c r="P16" s="10" t="str">
        <x:v>official notice / primary source</x:v>
      </x:c>
      <x:c r="Q16" s="10" t="str">
        <x:v>direct</x:v>
      </x:c>
      <x:c r="R16" s="10" t="str">
        <x:v>https://research-and-innovation.ec.europa.eu/news/all-research-and-innovation-news/ready4eic-new-training-programme-innovative-smes-eu-enlargement-countries-2026-08-07_en</x:v>
      </x:c>
    </x:row>
    <x:row r="17">
      <x:c r="A17" s="10" t="n">
        <x:f>RANK.EQ(B17,$B$2:$B$446,0)+COUNTIF($B$2:B17,B17)-1</x:f>
        <x:v>16</x:v>
      </x:c>
      <x:c r="B17" s="22" t="n">
        <x:f>I17+K17+M17+O17</x:f>
        <x:v>100</x:v>
      </x:c>
      <x:c r="C17" s="10" t="str">
        <x:f>IF(B17&gt;=93,"A — Highest",IF(B17&gt;=85,"B — Very strong",IF(B17&gt;=75,"C — Strong",IF(B17&gt;=65,"D — Useful","E — Supporting"))))</x:f>
        <x:v>A — Highest</x:v>
      </x:c>
      <x:c r="D17" s="10" t="str">
        <x:v>Europe’s venture capital gap and the financing of high-growth firms</x:v>
      </x:c>
      <x:c r="E17" s="10" t="str">
        <x:v>2026-08-04</x:v>
      </x:c>
      <x:c r="F17" s="10" t="str">
        <x:v>A</x:v>
      </x:c>
      <x:c r="G17" s="10" t="str">
        <x:v>European Central Bank</x:v>
      </x:c>
      <x:c r="H17" s="10" t="str">
        <x:v>Adam Baumann; Zakaria Gati; Francesca Vinci; Gerome Wolf</x:v>
      </x:c>
      <x:c r="I17" s="10" t="n">
        <x:v>55</x:v>
      </x:c>
      <x:c r="J17" s="10" t="str">
        <x:v>EU official / EU body</x:v>
      </x:c>
      <x:c r="K17" s="10" t="n">
        <x:v>25</x:v>
      </x:c>
      <x:c r="L17" s="10" t="str">
        <x:v>Direct EU relevance</x:v>
      </x:c>
      <x:c r="M17" s="10" t="n">
        <x:v>15</x:v>
      </x:c>
      <x:c r="N17" s="10" t="str">
        <x:v>Primary/official source</x:v>
      </x:c>
      <x:c r="O17" s="10" t="n">
        <x:v>5</x:v>
      </x:c>
      <x:c r="P17" s="10" t="str">
        <x:v>manual-verified scholarly/policy source</x:v>
      </x:c>
      <x:c r="Q17" s="10" t="str">
        <x:v>direct</x:v>
      </x:c>
      <x:c r="R17" s="10" t="str">
        <x:v>https://www.ecb.europa.eu/press/economic-bulletin/focus/2026/html/ecb.ebbox202605_01~4453cc2a34.en.html</x:v>
      </x:c>
    </x:row>
    <x:row r="18">
      <x:c r="A18" s="10" t="n">
        <x:f>RANK.EQ(B18,$B$2:$B$446,0)+COUNTIF($B$2:B18,B18)-1</x:f>
        <x:v>17</x:v>
      </x:c>
      <x:c r="B18" s="22" t="n">
        <x:f>I18+K18+M18+O18</x:f>
        <x:v>100</x:v>
      </x:c>
      <x:c r="C18" s="10" t="str">
        <x:f>IF(B18&gt;=93,"A — Highest",IF(B18&gt;=85,"B — Very strong",IF(B18&gt;=75,"C — Strong",IF(B18&gt;=65,"D — Useful","E — Supporting"))))</x:f>
        <x:v>A — Highest</x:v>
      </x:c>
      <x:c r="D18" s="10" t="str">
        <x:v>JRC Global Biodiversity Data Services (GBDS): Data Distribution Architecture, REST API and Query Builder</x:v>
      </x:c>
      <x:c r="E18" s="10" t="str">
        <x:v>2026-07-30</x:v>
      </x:c>
      <x:c r="F18" s="10" t="str">
        <x:v>A</x:v>
      </x:c>
      <x:c r="G18" s="10" t="str">
        <x:v>JRC Publications Repository</x:v>
      </x:c>
      <x:c r="H18" s="10" t="str">
        <x:v>LAZARO, Cristina, GOUTIS, Dimitrios, MANDRICI, Andrea, DELLI, Giacomo, DUBOIS, Gregoire</x:v>
      </x:c>
      <x:c r="I18" s="10" t="n">
        <x:v>55</x:v>
      </x:c>
      <x:c r="J18" s="10" t="str">
        <x:v>EU official / EU body</x:v>
      </x:c>
      <x:c r="K18" s="10" t="n">
        <x:v>25</x:v>
      </x:c>
      <x:c r="L18" s="10" t="str">
        <x:v>Direct EU relevance</x:v>
      </x:c>
      <x:c r="M18" s="10" t="n">
        <x:v>15</x:v>
      </x:c>
      <x:c r="N18" s="10" t="str">
        <x:v>Primary/official source</x:v>
      </x:c>
      <x:c r="O18" s="10" t="n">
        <x:v>5</x:v>
      </x:c>
      <x:c r="P18" s="10" t="str">
        <x:v>formal study / report</x:v>
      </x:c>
      <x:c r="Q18" s="10" t="str">
        <x:v>direct</x:v>
      </x:c>
      <x:c r="R18" s="10" t="str">
        <x:v>https://publications.jrc.ec.europa.eu/repository/handle/JRC147250</x:v>
      </x:c>
    </x:row>
    <x:row r="19">
      <x:c r="A19" s="10" t="n">
        <x:f>RANK.EQ(B19,$B$2:$B$446,0)+COUNTIF($B$2:B19,B19)-1</x:f>
        <x:v>18</x:v>
      </x:c>
      <x:c r="B19" s="22" t="n">
        <x:f>I19+K19+M19+O19</x:f>
        <x:v>100</x:v>
      </x:c>
      <x:c r="C19" s="10" t="str">
        <x:f>IF(B19&gt;=93,"A — Highest",IF(B19&gt;=85,"B — Very strong",IF(B19&gt;=75,"C — Strong",IF(B19&gt;=65,"D — Useful","E — Supporting"))))</x:f>
        <x:v>A — Highest</x:v>
      </x:c>
      <x:c r="D19" s="10" t="str">
        <x:v>Environmental Biotechnology for a Sustainable and Competitive EU</x:v>
      </x:c>
      <x:c r="E19" s="10" t="str">
        <x:v>2026-07-29</x:v>
      </x:c>
      <x:c r="F19" s="10" t="str">
        <x:v>A</x:v>
      </x:c>
      <x:c r="G19" s="10" t="str">
        <x:v>JRC Publications Repository</x:v>
      </x:c>
      <x:c r="H19" s="10" t="str">
        <x:v>CARLOTTI, Monica, SALA, Serenella, LETTIERI, Teresa</x:v>
      </x:c>
      <x:c r="I19" s="10" t="n">
        <x:v>55</x:v>
      </x:c>
      <x:c r="J19" s="10" t="str">
        <x:v>EU official / EU body</x:v>
      </x:c>
      <x:c r="K19" s="10" t="n">
        <x:v>25</x:v>
      </x:c>
      <x:c r="L19" s="10" t="str">
        <x:v>Direct EU relevance</x:v>
      </x:c>
      <x:c r="M19" s="10" t="n">
        <x:v>15</x:v>
      </x:c>
      <x:c r="N19" s="10" t="str">
        <x:v>Primary/official source</x:v>
      </x:c>
      <x:c r="O19" s="10" t="n">
        <x:v>5</x:v>
      </x:c>
      <x:c r="P19" s="10" t="str">
        <x:v>formal study / report</x:v>
      </x:c>
      <x:c r="Q19" s="10" t="str">
        <x:v>direct</x:v>
      </x:c>
      <x:c r="R19" s="10" t="str">
        <x:v>https://publications.jrc.ec.europa.eu/repository/handle/JRC147778</x:v>
      </x:c>
    </x:row>
    <x:row r="20">
      <x:c r="A20" s="10" t="n">
        <x:f>RANK.EQ(B20,$B$2:$B$446,0)+COUNTIF($B$2:B20,B20)-1</x:f>
        <x:v>19</x:v>
      </x:c>
      <x:c r="B20" s="22" t="n">
        <x:f>I20+K20+M20+O20</x:f>
        <x:v>100</x:v>
      </x:c>
      <x:c r="C20" s="10" t="str">
        <x:f>IF(B20&gt;=93,"A — Highest",IF(B20&gt;=85,"B — Very strong",IF(B20&gt;=75,"C — Strong",IF(B20&gt;=65,"D — Useful","E — Supporting"))))</x:f>
        <x:v>A — Highest</x:v>
      </x:c>
      <x:c r="D20" s="10" t="str">
        <x:v>Research and innovation projects supporting the upcoming Circular Economy Act</x:v>
      </x:c>
      <x:c r="E20" s="10" t="str">
        <x:v>2026-07-28</x:v>
      </x:c>
      <x:c r="F20" s="10" t="str">
        <x:v>A</x:v>
      </x:c>
      <x:c r="G20" s="10" t="str">
        <x:v>European Commission — Research &amp; Innovation</x:v>
      </x:c>
      <x:c r="H20" s="10" t="str">
        <x:v>Directorate-General for Research and Innovation</x:v>
      </x:c>
      <x:c r="I20" s="10" t="n">
        <x:v>55</x:v>
      </x:c>
      <x:c r="J20" s="10" t="str">
        <x:v>EU official / EU body</x:v>
      </x:c>
      <x:c r="K20" s="10" t="n">
        <x:v>25</x:v>
      </x:c>
      <x:c r="L20" s="10" t="str">
        <x:v>Direct EU relevance</x:v>
      </x:c>
      <x:c r="M20" s="10" t="n">
        <x:v>15</x:v>
      </x:c>
      <x:c r="N20" s="10" t="str">
        <x:v>Primary/official source</x:v>
      </x:c>
      <x:c r="O20" s="10" t="n">
        <x:v>5</x:v>
      </x:c>
      <x:c r="P20" s="10" t="str">
        <x:v>official notice / primary source</x:v>
      </x:c>
      <x:c r="Q20" s="10" t="str">
        <x:v>direct</x:v>
      </x:c>
      <x:c r="R20" s="10" t="str">
        <x:v>https://research-and-innovation.ec.europa.eu/news/all-research-and-innovation-news/research-and-innovation-projects-supporting-upcoming-circular-economy-act-2026-07-28_en</x:v>
      </x:c>
    </x:row>
    <x:row r="21">
      <x:c r="A21" s="10" t="n">
        <x:f>RANK.EQ(B21,$B$2:$B$446,0)+COUNTIF($B$2:B21,B21)-1</x:f>
        <x:v>20</x:v>
      </x:c>
      <x:c r="B21" s="22" t="n">
        <x:f>I21+K21+M21+O21</x:f>
        <x:v>100</x:v>
      </x:c>
      <x:c r="C21" s="10" t="str">
        <x:f>IF(B21&gt;=93,"A — Highest",IF(B21&gt;=85,"B — Very strong",IF(B21&gt;=75,"C — Strong",IF(B21&gt;=65,"D — Useful","E — Supporting"))))</x:f>
        <x:v>A — Highest</x:v>
      </x:c>
      <x:c r="D21" s="10" t="str">
        <x:v>Autonomy through partnerships: Charting the EU's global digital engagement</x:v>
      </x:c>
      <x:c r="E21" s="10" t="str">
        <x:v>2026-07-27</x:v>
      </x:c>
      <x:c r="F21" s="10" t="str">
        <x:v>A</x:v>
      </x:c>
      <x:c r="G21" s="10" t="str">
        <x:v>EUISS</x:v>
      </x:c>
      <x:c r="H21" s="10" t="str">
        <x:v>EUISS</x:v>
      </x:c>
      <x:c r="I21" s="10" t="n">
        <x:v>55</x:v>
      </x:c>
      <x:c r="J21" s="10" t="str">
        <x:v>EU official / EU body</x:v>
      </x:c>
      <x:c r="K21" s="10" t="n">
        <x:v>25</x:v>
      </x:c>
      <x:c r="L21" s="10" t="str">
        <x:v>Direct EU relevance</x:v>
      </x:c>
      <x:c r="M21" s="10" t="n">
        <x:v>15</x:v>
      </x:c>
      <x:c r="N21" s="10" t="str">
        <x:v>Primary/official source</x:v>
      </x:c>
      <x:c r="O21" s="10" t="n">
        <x:v>5</x:v>
      </x:c>
      <x:c r="P21" s="10" t="str">
        <x:v>institutional report</x:v>
      </x:c>
      <x:c r="Q21" s="10" t="str">
        <x:v>direct</x:v>
      </x:c>
      <x:c r="R21" s="10" t="str">
        <x:v>https://www.iss.europa.eu/sites/default/files/2026-07/2026-07%20Autonomy%20through%20partnerships.pdf</x:v>
      </x:c>
    </x:row>
    <x:row r="22">
      <x:c r="A22" s="10" t="n">
        <x:f>RANK.EQ(B22,$B$2:$B$446,0)+COUNTIF($B$2:B22,B22)-1</x:f>
        <x:v>21</x:v>
      </x:c>
      <x:c r="B22" s="22" t="n">
        <x:f>I22+K22+M22+O22</x:f>
        <x:v>100</x:v>
      </x:c>
      <x:c r="C22" s="10" t="str">
        <x:f>IF(B22&gt;=93,"A — Highest",IF(B22&gt;=85,"B — Very strong",IF(B22&gt;=75,"C — Strong",IF(B22&gt;=65,"D — Useful","E — Supporting"))))</x:f>
        <x:v>A — Highest</x:v>
      </x:c>
      <x:c r="D22" s="10" t="str">
        <x:v>Changes in soil health in the EU</x:v>
      </x:c>
      <x:c r="E22" s="10" t="str">
        <x:v>2026-07-24</x:v>
      </x:c>
      <x:c r="F22" s="10" t="str">
        <x:v>A</x:v>
      </x:c>
      <x:c r="G22" s="10" t="str">
        <x:v>JRC Publications Repository</x:v>
      </x:c>
      <x:c r="H22" s="10" t="str">
        <x:v>BROOTHAERTS, Nils, EFTHIMIOU, Nikolaos, FENDRICH, Arthur, JONES, Arwyn, PANAGOS, Panos</x:v>
      </x:c>
      <x:c r="I22" s="10" t="n">
        <x:v>55</x:v>
      </x:c>
      <x:c r="J22" s="10" t="str">
        <x:v>EU official / EU body</x:v>
      </x:c>
      <x:c r="K22" s="10" t="n">
        <x:v>25</x:v>
      </x:c>
      <x:c r="L22" s="10" t="str">
        <x:v>Direct EU relevance</x:v>
      </x:c>
      <x:c r="M22" s="10" t="n">
        <x:v>15</x:v>
      </x:c>
      <x:c r="N22" s="10" t="str">
        <x:v>Primary/official source</x:v>
      </x:c>
      <x:c r="O22" s="10" t="n">
        <x:v>5</x:v>
      </x:c>
      <x:c r="P22" s="10" t="str">
        <x:v>formal study / report</x:v>
      </x:c>
      <x:c r="Q22" s="10" t="str">
        <x:v>direct</x:v>
      </x:c>
      <x:c r="R22" s="10" t="str">
        <x:v>https://publications.jrc.ec.europa.eu/repository/handle/JRC143225</x:v>
      </x:c>
    </x:row>
    <x:row r="23">
      <x:c r="A23" s="10" t="n">
        <x:f>RANK.EQ(B23,$B$2:$B$446,0)+COUNTIF($B$2:B23,B23)-1</x:f>
        <x:v>22</x:v>
      </x:c>
      <x:c r="B23" s="22" t="n">
        <x:f>I23+K23+M23+O23</x:f>
        <x:v>100</x:v>
      </x:c>
      <x:c r="C23" s="10" t="str">
        <x:f>IF(B23&gt;=93,"A — Highest",IF(B23&gt;=85,"B — Very strong",IF(B23&gt;=75,"C — Strong",IF(B23&gt;=65,"D — Useful","E — Supporting"))))</x:f>
        <x:v>A — Highest</x:v>
      </x:c>
      <x:c r="D23" s="10" t="str">
        <x:v>Multi-level governance for improving air quality in cities in the UNECE region: a science policy perspective</x:v>
      </x:c>
      <x:c r="E23" s="10" t="str">
        <x:v>2026-07-23</x:v>
      </x:c>
      <x:c r="F23" s="10" t="str">
        <x:v>A</x:v>
      </x:c>
      <x:c r="G23" s="10" t="str">
        <x:v>JRC Publications Repository</x:v>
      </x:c>
      <x:c r="H23" s="10" t="str">
        <x:v>VELDERS, Guus, EISOLD, A, THUNIS, Philippe, KIESEWETTER, Gregor, LUTZ, Martin, MAAS, Rob, LAMMERTS-HUITEMA, Maaike, OUWERSLOOT, Martine</x:v>
      </x:c>
      <x:c r="I23" s="10" t="n">
        <x:v>55</x:v>
      </x:c>
      <x:c r="J23" s="10" t="str">
        <x:v>EU official / EU body</x:v>
      </x:c>
      <x:c r="K23" s="10" t="n">
        <x:v>25</x:v>
      </x:c>
      <x:c r="L23" s="10" t="str">
        <x:v>Direct EU relevance</x:v>
      </x:c>
      <x:c r="M23" s="10" t="n">
        <x:v>15</x:v>
      </x:c>
      <x:c r="N23" s="10" t="str">
        <x:v>Primary/official source</x:v>
      </x:c>
      <x:c r="O23" s="10" t="n">
        <x:v>5</x:v>
      </x:c>
      <x:c r="P23" s="10" t="str">
        <x:v>formal study / report</x:v>
      </x:c>
      <x:c r="Q23" s="10" t="str">
        <x:v>direct</x:v>
      </x:c>
      <x:c r="R23" s="10" t="str">
        <x:v>https://publications.jrc.ec.europa.eu/repository/handle/JRC146654</x:v>
      </x:c>
    </x:row>
    <x:row r="24">
      <x:c r="A24" s="10" t="n">
        <x:f>RANK.EQ(B24,$B$2:$B$446,0)+COUNTIF($B$2:B24,B24)-1</x:f>
        <x:v>23</x:v>
      </x:c>
      <x:c r="B24" s="22" t="n">
        <x:f>I24+K24+M24+O24</x:f>
        <x:v>100</x:v>
      </x:c>
      <x:c r="C24" s="10" t="str">
        <x:f>IF(B24&gt;=93,"A — Highest",IF(B24&gt;=85,"B — Very strong",IF(B24&gt;=75,"C — Strong",IF(B24&gt;=65,"D — Useful","E — Supporting"))))</x:f>
        <x:v>A — Highest</x:v>
      </x:c>
      <x:c r="D24" s="10" t="str">
        <x:v>New Twinning Learning Programme cohort brings together sixteen Mission cities and their twin partners</x:v>
      </x:c>
      <x:c r="E24" s="10" t="str">
        <x:v>2026-07-20</x:v>
      </x:c>
      <x:c r="F24" s="10" t="str">
        <x:v>A</x:v>
      </x:c>
      <x:c r="G24" s="10" t="str">
        <x:v>European Commission — Research &amp; Innovation</x:v>
      </x:c>
      <x:c r="H24" s="10" t="str">
        <x:v>Directorate-General for Research and Innovation</x:v>
      </x:c>
      <x:c r="I24" s="10" t="n">
        <x:v>55</x:v>
      </x:c>
      <x:c r="J24" s="10" t="str">
        <x:v>EU official / EU body</x:v>
      </x:c>
      <x:c r="K24" s="10" t="n">
        <x:v>25</x:v>
      </x:c>
      <x:c r="L24" s="10" t="str">
        <x:v>Direct EU relevance</x:v>
      </x:c>
      <x:c r="M24" s="10" t="n">
        <x:v>15</x:v>
      </x:c>
      <x:c r="N24" s="10" t="str">
        <x:v>Primary/official source</x:v>
      </x:c>
      <x:c r="O24" s="10" t="n">
        <x:v>5</x:v>
      </x:c>
      <x:c r="P24" s="10" t="str">
        <x:v>official notice / primary source</x:v>
      </x:c>
      <x:c r="Q24" s="10" t="str">
        <x:v>direct</x:v>
      </x:c>
      <x:c r="R24" s="10" t="str">
        <x:v>https://research-and-innovation.ec.europa.eu/news/all-research-and-innovation-news/new-twinning-learning-programme-cohort-brings-together-sixteen-mission-cities-and-their-twin-2026-07-20_en</x:v>
      </x:c>
    </x:row>
    <x:row r="25">
      <x:c r="A25" s="10" t="n">
        <x:f>RANK.EQ(B25,$B$2:$B$446,0)+COUNTIF($B$2:B25,B25)-1</x:f>
        <x:v>24</x:v>
      </x:c>
      <x:c r="B25" s="22" t="n">
        <x:f>I25+K25+M25+O25</x:f>
        <x:v>100</x:v>
      </x:c>
      <x:c r="C25" s="10" t="str">
        <x:f>IF(B25&gt;=93,"A — Highest",IF(B25&gt;=85,"B — Very strong",IF(B25&gt;=75,"C — Strong",IF(B25&gt;=65,"D — Useful","E — Supporting"))))</x:f>
        <x:v>A — Highest</x:v>
      </x:c>
      <x:c r="D25" s="10" t="str">
        <x:v>EU and Portugal team up to keep brightest tech talents at home</x:v>
      </x:c>
      <x:c r="E25" s="10" t="str">
        <x:v>2026-07-17</x:v>
      </x:c>
      <x:c r="F25" s="10" t="str">
        <x:v>A</x:v>
      </x:c>
      <x:c r="G25" s="10" t="str">
        <x:v>European Commission — Research &amp; Innovation</x:v>
      </x:c>
      <x:c r="H25" s="10" t="str">
        <x:v>Directorate-General for Research and Innovation</x:v>
      </x:c>
      <x:c r="I25" s="10" t="n">
        <x:v>55</x:v>
      </x:c>
      <x:c r="J25" s="10" t="str">
        <x:v>EU official / EU body</x:v>
      </x:c>
      <x:c r="K25" s="10" t="n">
        <x:v>25</x:v>
      </x:c>
      <x:c r="L25" s="10" t="str">
        <x:v>Direct EU relevance</x:v>
      </x:c>
      <x:c r="M25" s="10" t="n">
        <x:v>15</x:v>
      </x:c>
      <x:c r="N25" s="10" t="str">
        <x:v>Primary/official source</x:v>
      </x:c>
      <x:c r="O25" s="10" t="n">
        <x:v>5</x:v>
      </x:c>
      <x:c r="P25" s="10" t="str">
        <x:v>official notice / primary source</x:v>
      </x:c>
      <x:c r="Q25" s="10" t="str">
        <x:v>direct</x:v>
      </x:c>
      <x:c r="R25" s="10" t="str">
        <x:v>https://research-and-innovation.ec.europa.eu/news/all-research-and-innovation-news/eu-and-portugal-team-keep-brightest-tech-talents-home-2026-07-17_en</x:v>
      </x:c>
    </x:row>
    <x:row r="26">
      <x:c r="A26" s="10" t="n">
        <x:f>RANK.EQ(B26,$B$2:$B$446,0)+COUNTIF($B$2:B26,B26)-1</x:f>
        <x:v>25</x:v>
      </x:c>
      <x:c r="B26" s="22" t="n">
        <x:f>I26+K26+M26+O26</x:f>
        <x:v>100</x:v>
      </x:c>
      <x:c r="C26" s="10" t="str">
        <x:f>IF(B26&gt;=93,"A — Highest",IF(B26&gt;=85,"B — Very strong",IF(B26&gt;=75,"C — Strong",IF(B26&gt;=65,"D — Useful","E — Supporting"))))</x:f>
        <x:v>A — Highest</x:v>
      </x:c>
      <x:c r="D26" s="10" t="str">
        <x:v>The causal effects of R&amp;D grants: Evidence from a regression discontinuity</x:v>
      </x:c>
      <x:c r="E26" s="10" t="str">
        <x:v>2026-07-14</x:v>
      </x:c>
      <x:c r="F26" s="10" t="str">
        <x:v>A</x:v>
      </x:c>
      <x:c r="G26" s="10" t="str">
        <x:v>JRC Publications Repository</x:v>
      </x:c>
      <x:c r="H26" s="10" t="str">
        <x:v>SANTOLERI, Pietro, MINA, Andrea, DI, MININ Alberto, MARTELLI, Irene</x:v>
      </x:c>
      <x:c r="I26" s="10" t="n">
        <x:v>55</x:v>
      </x:c>
      <x:c r="J26" s="10" t="str">
        <x:v>EU official / EU body</x:v>
      </x:c>
      <x:c r="K26" s="10" t="n">
        <x:v>25</x:v>
      </x:c>
      <x:c r="L26" s="10" t="str">
        <x:v>Direct EU relevance</x:v>
      </x:c>
      <x:c r="M26" s="10" t="n">
        <x:v>15</x:v>
      </x:c>
      <x:c r="N26" s="10" t="str">
        <x:v>Primary/official source</x:v>
      </x:c>
      <x:c r="O26" s="10" t="n">
        <x:v>5</x:v>
      </x:c>
      <x:c r="P26" s="10" t="str">
        <x:v>formal study / report</x:v>
      </x:c>
      <x:c r="Q26" s="10" t="str">
        <x:v>direct</x:v>
      </x:c>
      <x:c r="R26" s="10" t="str">
        <x:v>https://publications.jrc.ec.europa.eu/repository/handle/JRC130713</x:v>
      </x:c>
    </x:row>
    <x:row r="27">
      <x:c r="A27" s="10" t="n">
        <x:f>RANK.EQ(B27,$B$2:$B$446,0)+COUNTIF($B$2:B27,B27)-1</x:f>
        <x:v>26</x:v>
      </x:c>
      <x:c r="B27" s="22" t="n">
        <x:f>I27+K27+M27+O27</x:f>
        <x:v>100</x:v>
      </x:c>
      <x:c r="C27" s="10" t="str">
        <x:f>IF(B27&gt;=93,"A — Highest",IF(B27&gt;=85,"B — Very strong",IF(B27&gt;=75,"C — Strong",IF(B27&gt;=65,"D — Useful","E — Supporting"))))</x:f>
        <x:v>A — Highest</x:v>
      </x:c>
      <x:c r="D27" s="10" t="str">
        <x:v>New report published: Building Food 2040: stakeholder input for the new EU Strategic Research &amp; Innovation Agenda for Food Systems</x:v>
      </x:c>
      <x:c r="E27" s="10" t="str">
        <x:v>2026-07-13</x:v>
      </x:c>
      <x:c r="F27" s="10" t="str">
        <x:v>A</x:v>
      </x:c>
      <x:c r="G27" s="10" t="str">
        <x:v>European Commission — Research &amp; Innovation</x:v>
      </x:c>
      <x:c r="H27" s="10" t="str">
        <x:v>Directorate-General for Research and Innovation</x:v>
      </x:c>
      <x:c r="I27" s="10" t="n">
        <x:v>55</x:v>
      </x:c>
      <x:c r="J27" s="10" t="str">
        <x:v>EU official / EU body</x:v>
      </x:c>
      <x:c r="K27" s="10" t="n">
        <x:v>25</x:v>
      </x:c>
      <x:c r="L27" s="10" t="str">
        <x:v>Direct EU relevance</x:v>
      </x:c>
      <x:c r="M27" s="10" t="n">
        <x:v>15</x:v>
      </x:c>
      <x:c r="N27" s="10" t="str">
        <x:v>Primary/official source</x:v>
      </x:c>
      <x:c r="O27" s="10" t="n">
        <x:v>5</x:v>
      </x:c>
      <x:c r="P27" s="10" t="str">
        <x:v>official notice / primary source</x:v>
      </x:c>
      <x:c r="Q27" s="10" t="str">
        <x:v>direct</x:v>
      </x:c>
      <x:c r="R27" s="10" t="str">
        <x:v>https://research-and-innovation.ec.europa.eu/news/all-research-and-innovation-news/new-report-published-building-food-2040-stakeholder-input-new-eu-strategic-research-innovation-2026-07-13_en</x:v>
      </x:c>
    </x:row>
    <x:row r="28">
      <x:c r="A28" s="10" t="n">
        <x:f>RANK.EQ(B28,$B$2:$B$446,0)+COUNTIF($B$2:B28,B28)-1</x:f>
        <x:v>27</x:v>
      </x:c>
      <x:c r="B28" s="22" t="n">
        <x:f>I28+K28+M28+O28</x:f>
        <x:v>100</x:v>
      </x:c>
      <x:c r="C28" s="10" t="str">
        <x:f>IF(B28&gt;=93,"A — Highest",IF(B28&gt;=85,"B — Very strong",IF(B28&gt;=75,"C — Strong",IF(B28&gt;=65,"D — Useful","E — Supporting"))))</x:f>
        <x:v>A — Highest</x:v>
      </x:c>
      <x:c r="D28" s="10" t="str">
        <x:v>European innovation scoreboard 2026</x:v>
      </x:c>
      <x:c r="E28" s="10" t="str">
        <x:v>2026-07-09</x:v>
      </x:c>
      <x:c r="F28" s="10" t="str">
        <x:v>A</x:v>
      </x:c>
      <x:c r="G28" s="10" t="str">
        <x:v>European Commission — Research &amp; Innovation</x:v>
      </x:c>
      <x:c r="H28" s="10" t="str">
        <x:v>Directorate-General for Research and Innovation</x:v>
      </x:c>
      <x:c r="I28" s="10" t="n">
        <x:v>55</x:v>
      </x:c>
      <x:c r="J28" s="10" t="str">
        <x:v>EU official / EU body</x:v>
      </x:c>
      <x:c r="K28" s="10" t="n">
        <x:v>25</x:v>
      </x:c>
      <x:c r="L28" s="10" t="str">
        <x:v>Direct EU relevance</x:v>
      </x:c>
      <x:c r="M28" s="10" t="n">
        <x:v>15</x:v>
      </x:c>
      <x:c r="N28" s="10" t="str">
        <x:v>Primary/official source</x:v>
      </x:c>
      <x:c r="O28" s="10" t="n">
        <x:v>5</x:v>
      </x:c>
      <x:c r="P28" s="10" t="str">
        <x:v>research/policy paper</x:v>
      </x:c>
      <x:c r="Q28" s="10" t="str">
        <x:v>direct</x:v>
      </x:c>
      <x:c r="R28" s="10" t="str">
        <x:v>https://research-and-innovation.ec.europa.eu/knowledge-publications-tools-and-data/publications/all-publications/european-innovation-scoreboard-2026_en</x:v>
      </x:c>
    </x:row>
    <x:row r="29">
      <x:c r="A29" s="10" t="n">
        <x:f>RANK.EQ(B29,$B$2:$B$446,0)+COUNTIF($B$2:B29,B29)-1</x:f>
        <x:v>28</x:v>
      </x:c>
      <x:c r="B29" s="22" t="n">
        <x:f>I29+K29+M29+O29</x:f>
        <x:v>100</x:v>
      </x:c>
      <x:c r="C29" s="10" t="str">
        <x:f>IF(B29&gt;=93,"A — Highest",IF(B29&gt;=85,"B — Very strong",IF(B29&gt;=75,"C — Strong",IF(B29&gt;=65,"D — Useful","E — Supporting"))))</x:f>
        <x:v>A — Highest</x:v>
      </x:c>
      <x:c r="D29" s="10" t="str">
        <x:v>2025 EFSA Annual Report Emerging Risks and Horizon Scanning Activities</x:v>
      </x:c>
      <x:c r="E29" s="10" t="str">
        <x:v>2026-07-01</x:v>
      </x:c>
      <x:c r="F29" s="10" t="str">
        <x:v>A</x:v>
      </x:c>
      <x:c r="G29" s="10" t="str">
        <x:v>EFSA Supporting Publications</x:v>
      </x:c>
      <x:c r="H29" s="10" t="str">
        <x:v>Milen Georgiev, Georgi Chobanov, Raquel Garcia Matas, Georgia Gkrintzali, Angelo Maggiore, Carlos Gonçalo das Neves, Sara Tramontini, et al.</x:v>
      </x:c>
      <x:c r="I29" s="10" t="n">
        <x:v>55</x:v>
      </x:c>
      <x:c r="J29" s="10" t="str">
        <x:v>EU official / EU body</x:v>
      </x:c>
      <x:c r="K29" s="10" t="n">
        <x:v>25</x:v>
      </x:c>
      <x:c r="L29" s="10" t="str">
        <x:v>Direct EU relevance</x:v>
      </x:c>
      <x:c r="M29" s="10" t="n">
        <x:v>15</x:v>
      </x:c>
      <x:c r="N29" s="10" t="str">
        <x:v>Primary/official source</x:v>
      </x:c>
      <x:c r="O29" s="10" t="n">
        <x:v>5</x:v>
      </x:c>
      <x:c r="P29" s="10" t="str">
        <x:v>peer-reviewed article</x:v>
      </x:c>
      <x:c r="Q29" s="10" t="str">
        <x:v>direct</x:v>
      </x:c>
      <x:c r="R29" s="10" t="str">
        <x:v>https://doi.org/10.2903/sp.efsa.2026.en-10262</x:v>
      </x:c>
    </x:row>
    <x:row r="30">
      <x:c r="A30" s="10" t="n">
        <x:f>RANK.EQ(B30,$B$2:$B$446,0)+COUNTIF($B$2:B30,B30)-1</x:f>
        <x:v>29</x:v>
      </x:c>
      <x:c r="B30" s="22" t="n">
        <x:f>I30+K30+M30+O30</x:f>
        <x:v>100</x:v>
      </x:c>
      <x:c r="C30" s="10" t="str">
        <x:f>IF(B30&gt;=93,"A — Highest",IF(B30&gt;=85,"B — Very strong",IF(B30&gt;=75,"C — Strong",IF(B30&gt;=65,"D — Useful","E — Supporting"))))</x:f>
        <x:v>A — Highest</x:v>
      </x:c>
      <x:c r="D30" s="10" t="str">
        <x:v>First European research network on antisemitism and Jewish life officially launched</x:v>
      </x:c>
      <x:c r="E30" s="10" t="str">
        <x:v>2026-06-30</x:v>
      </x:c>
      <x:c r="F30" s="10" t="str">
        <x:v>A</x:v>
      </x:c>
      <x:c r="G30" s="10" t="str">
        <x:v>European Commission — Research &amp; Innovation</x:v>
      </x:c>
      <x:c r="H30" s="10" t="str">
        <x:v>Directorate-General for Research and Innovation</x:v>
      </x:c>
      <x:c r="I30" s="10" t="n">
        <x:v>55</x:v>
      </x:c>
      <x:c r="J30" s="10" t="str">
        <x:v>EU official / EU body</x:v>
      </x:c>
      <x:c r="K30" s="10" t="n">
        <x:v>25</x:v>
      </x:c>
      <x:c r="L30" s="10" t="str">
        <x:v>Direct EU relevance</x:v>
      </x:c>
      <x:c r="M30" s="10" t="n">
        <x:v>15</x:v>
      </x:c>
      <x:c r="N30" s="10" t="str">
        <x:v>Primary/official source</x:v>
      </x:c>
      <x:c r="O30" s="10" t="n">
        <x:v>5</x:v>
      </x:c>
      <x:c r="P30" s="10" t="str">
        <x:v>official notice / primary source</x:v>
      </x:c>
      <x:c r="Q30" s="10" t="str">
        <x:v>direct</x:v>
      </x:c>
      <x:c r="R30" s="10" t="str">
        <x:v>https://research-and-innovation.ec.europa.eu/news/all-research-and-innovation-news/first-european-research-network-antisemitism-and-jewish-life-officially-launched-2026-06-30_en</x:v>
      </x:c>
    </x:row>
    <x:row r="31">
      <x:c r="A31" s="10" t="n">
        <x:f>RANK.EQ(B31,$B$2:$B$446,0)+COUNTIF($B$2:B31,B31)-1</x:f>
        <x:v>30</x:v>
      </x:c>
      <x:c r="B31" s="22" t="n">
        <x:f>I31+K31+M31+O31</x:f>
        <x:v>100</x:v>
      </x:c>
      <x:c r="C31" s="10" t="str">
        <x:f>IF(B31&gt;=93,"A — Highest",IF(B31&gt;=85,"B — Very strong",IF(B31&gt;=75,"C — Strong",IF(B31&gt;=65,"D — Useful","E — Supporting"))))</x:f>
        <x:v>A — Highest</x:v>
      </x:c>
      <x:c r="D31" s="10" t="str">
        <x:v>EU and Egypt strengthen research and innovation partnership following Horizon Europe association</x:v>
      </x:c>
      <x:c r="E31" s="10" t="str">
        <x:v>2026-06-25</x:v>
      </x:c>
      <x:c r="F31" s="10" t="str">
        <x:v>A</x:v>
      </x:c>
      <x:c r="G31" s="10" t="str">
        <x:v>European Commission — Research &amp; Innovation</x:v>
      </x:c>
      <x:c r="H31" s="10" t="str">
        <x:v>Directorate-General for Research and Innovation</x:v>
      </x:c>
      <x:c r="I31" s="10" t="n">
        <x:v>55</x:v>
      </x:c>
      <x:c r="J31" s="10" t="str">
        <x:v>EU official / EU body</x:v>
      </x:c>
      <x:c r="K31" s="10" t="n">
        <x:v>25</x:v>
      </x:c>
      <x:c r="L31" s="10" t="str">
        <x:v>Direct EU relevance</x:v>
      </x:c>
      <x:c r="M31" s="10" t="n">
        <x:v>15</x:v>
      </x:c>
      <x:c r="N31" s="10" t="str">
        <x:v>Primary/official source</x:v>
      </x:c>
      <x:c r="O31" s="10" t="n">
        <x:v>5</x:v>
      </x:c>
      <x:c r="P31" s="10" t="str">
        <x:v>official notice / primary source</x:v>
      </x:c>
      <x:c r="Q31" s="10" t="str">
        <x:v>direct</x:v>
      </x:c>
      <x:c r="R31" s="10" t="str">
        <x:v>https://research-and-innovation.ec.europa.eu/news/all-research-and-innovation-news/eu-and-egypt-strengthen-research-and-innovation-partnership-following-horizon-europe-association-2026-06-25_en</x:v>
      </x:c>
    </x:row>
    <x:row r="32">
      <x:c r="A32" s="10" t="n">
        <x:f>RANK.EQ(B32,$B$2:$B$446,0)+COUNTIF($B$2:B32,B32)-1</x:f>
        <x:v>31</x:v>
      </x:c>
      <x:c r="B32" s="22" t="n">
        <x:f>I32+K32+M32+O32</x:f>
        <x:v>100</x:v>
      </x:c>
      <x:c r="C32" s="10" t="str">
        <x:f>IF(B32&gt;=93,"A — Highest",IF(B32&gt;=85,"B — Very strong",IF(B32&gt;=75,"C — Strong",IF(B32&gt;=65,"D — Useful","E — Supporting"))))</x:f>
        <x:v>A — Highest</x:v>
      </x:c>
      <x:c r="D32" s="10" t="str">
        <x:v>New study assesses progress in reforming research assessment</x:v>
      </x:c>
      <x:c r="E32" s="10" t="str">
        <x:v>2026-06-25</x:v>
      </x:c>
      <x:c r="F32" s="10" t="str">
        <x:v>A</x:v>
      </x:c>
      <x:c r="G32" s="10" t="str">
        <x:v>European Commission — Research &amp; Innovation</x:v>
      </x:c>
      <x:c r="H32" s="10" t="str">
        <x:v>Directorate-General for Research and Innovation</x:v>
      </x:c>
      <x:c r="I32" s="10" t="n">
        <x:v>55</x:v>
      </x:c>
      <x:c r="J32" s="10" t="str">
        <x:v>EU official / EU body</x:v>
      </x:c>
      <x:c r="K32" s="10" t="n">
        <x:v>25</x:v>
      </x:c>
      <x:c r="L32" s="10" t="str">
        <x:v>Direct EU relevance</x:v>
      </x:c>
      <x:c r="M32" s="10" t="n">
        <x:v>15</x:v>
      </x:c>
      <x:c r="N32" s="10" t="str">
        <x:v>Primary/official source</x:v>
      </x:c>
      <x:c r="O32" s="10" t="n">
        <x:v>5</x:v>
      </x:c>
      <x:c r="P32" s="10" t="str">
        <x:v>official notice / primary source</x:v>
      </x:c>
      <x:c r="Q32" s="10" t="str">
        <x:v>direct</x:v>
      </x:c>
      <x:c r="R32" s="10" t="str">
        <x:v>https://research-and-innovation.ec.europa.eu/news/all-research-and-innovation-news/new-study-assesses-progress-reforming-research-assessment-2026-06-25_en</x:v>
      </x:c>
    </x:row>
    <x:row r="33">
      <x:c r="A33" s="10" t="n">
        <x:f>RANK.EQ(B33,$B$2:$B$446,0)+COUNTIF($B$2:B33,B33)-1</x:f>
        <x:v>32</x:v>
      </x:c>
      <x:c r="B33" s="22" t="n">
        <x:f>I33+K33+M33+O33</x:f>
        <x:v>100</x:v>
      </x:c>
      <x:c r="C33" s="10" t="str">
        <x:f>IF(B33&gt;=93,"A — Highest",IF(B33&gt;=85,"B — Very strong",IF(B33&gt;=75,"C — Strong",IF(B33&gt;=65,"D — Useful","E — Supporting"))))</x:f>
        <x:v>A — Highest</x:v>
      </x:c>
      <x:c r="D33" s="10" t="str">
        <x:v>Open access to JRC Research Infrastructures</x:v>
      </x:c>
      <x:c r="E33" s="10" t="str">
        <x:v>2026-06-25</x:v>
      </x:c>
      <x:c r="F33" s="10" t="str">
        <x:v>A</x:v>
      </x:c>
      <x:c r="G33" s="10" t="str">
        <x:v>Joint Research Centre</x:v>
      </x:c>
      <x:c r="H33" s="10" t="str">
        <x:v>Joint Research Centre</x:v>
      </x:c>
      <x:c r="I33" s="10" t="n">
        <x:v>55</x:v>
      </x:c>
      <x:c r="J33" s="10" t="str">
        <x:v>EU official / EU body</x:v>
      </x:c>
      <x:c r="K33" s="10" t="n">
        <x:v>25</x:v>
      </x:c>
      <x:c r="L33" s="10" t="str">
        <x:v>Direct EU relevance</x:v>
      </x:c>
      <x:c r="M33" s="10" t="n">
        <x:v>15</x:v>
      </x:c>
      <x:c r="N33" s="10" t="str">
        <x:v>Primary/official source</x:v>
      </x:c>
      <x:c r="O33" s="10" t="n">
        <x:v>5</x:v>
      </x:c>
      <x:c r="P33" s="10" t="str">
        <x:v>research/policy paper</x:v>
      </x:c>
      <x:c r="Q33" s="10" t="str">
        <x:v>direct</x:v>
      </x:c>
      <x:c r="R33" s="10" t="str">
        <x:v>https://joint-research-centre.ec.europa.eu/work-us/open-access-jrc-research-infrastructures_en</x:v>
      </x:c>
    </x:row>
    <x:row r="34">
      <x:c r="A34" s="10" t="n">
        <x:f>RANK.EQ(B34,$B$2:$B$446,0)+COUNTIF($B$2:B34,B34)-1</x:f>
        <x:v>33</x:v>
      </x:c>
      <x:c r="B34" s="22" t="n">
        <x:f>I34+K34+M34+O34</x:f>
        <x:v>100</x:v>
      </x:c>
      <x:c r="C34" s="10" t="str">
        <x:f>IF(B34&gt;=93,"A — Highest",IF(B34&gt;=85,"B — Very strong",IF(B34&gt;=75,"C — Strong",IF(B34&gt;=65,"D — Useful","E — Supporting"))))</x:f>
        <x:v>A — Highest</x:v>
      </x:c>
      <x:c r="D34" s="10" t="str">
        <x:v>Strengthening European Union’s Future Disaster Resilience</x:v>
      </x:c>
      <x:c r="E34" s="10" t="str">
        <x:v>2026-06-25</x:v>
      </x:c>
      <x:c r="F34" s="10" t="str">
        <x:v>A</x:v>
      </x:c>
      <x:c r="G34" s="10" t="str">
        <x:v>JRC Publications Repository</x:v>
      </x:c>
      <x:c r="H34" s="10" t="str">
        <x:v>TASOULAS, Vasileios, SKIADARESIS, Giannis, DE, MALEVILLE Alexandra, FAVINO, Rosella, REDECKER, Christine, SANGIORGI, Marco, SFALAGKIARIS, Christos Emmanouil, PUIE, Marian, MONTALTI, Eugenio, TRIPENI, Michele, GALARIOTIS, Ioannis</x:v>
      </x:c>
      <x:c r="I34" s="10" t="n">
        <x:v>55</x:v>
      </x:c>
      <x:c r="J34" s="10" t="str">
        <x:v>EU official / EU body</x:v>
      </x:c>
      <x:c r="K34" s="10" t="n">
        <x:v>25</x:v>
      </x:c>
      <x:c r="L34" s="10" t="str">
        <x:v>Direct EU relevance</x:v>
      </x:c>
      <x:c r="M34" s="10" t="n">
        <x:v>15</x:v>
      </x:c>
      <x:c r="N34" s="10" t="str">
        <x:v>Primary/official source</x:v>
      </x:c>
      <x:c r="O34" s="10" t="n">
        <x:v>5</x:v>
      </x:c>
      <x:c r="P34" s="10" t="str">
        <x:v>formal study / report</x:v>
      </x:c>
      <x:c r="Q34" s="10" t="str">
        <x:v>direct</x:v>
      </x:c>
      <x:c r="R34" s="10" t="str">
        <x:v>https://publications.jrc.ec.europa.eu/repository/handle/JRC144571</x:v>
      </x:c>
    </x:row>
    <x:row r="35">
      <x:c r="A35" s="10" t="n">
        <x:f>RANK.EQ(B35,$B$2:$B$446,0)+COUNTIF($B$2:B35,B35)-1</x:f>
        <x:v>34</x:v>
      </x:c>
      <x:c r="B35" s="22" t="n">
        <x:f>I35+K35+M35+O35</x:f>
        <x:v>100</x:v>
      </x:c>
      <x:c r="C35" s="10" t="str">
        <x:f>IF(B35&gt;=93,"A — Highest",IF(B35&gt;=85,"B — Very strong",IF(B35&gt;=75,"C — Strong",IF(B35&gt;=65,"D — Useful","E — Supporting"))))</x:f>
        <x:v>A — Highest</x:v>
      </x:c>
      <x:c r="D35" s="10" t="str">
        <x:v>Drivers of competitiveness</x:v>
      </x:c>
      <x:c r="E35" s="10" t="str">
        <x:v>2026-06-17</x:v>
      </x:c>
      <x:c r="F35" s="10" t="str">
        <x:v>A</x:v>
      </x:c>
      <x:c r="G35" s="10" t="str">
        <x:v>Joint Research Centre</x:v>
      </x:c>
      <x:c r="H35" s="10" t="str">
        <x:v>Joint Research Centre</x:v>
      </x:c>
      <x:c r="I35" s="10" t="n">
        <x:v>55</x:v>
      </x:c>
      <x:c r="J35" s="10" t="str">
        <x:v>EU official / EU body</x:v>
      </x:c>
      <x:c r="K35" s="10" t="n">
        <x:v>25</x:v>
      </x:c>
      <x:c r="L35" s="10" t="str">
        <x:v>Direct EU relevance</x:v>
      </x:c>
      <x:c r="M35" s="10" t="n">
        <x:v>15</x:v>
      </x:c>
      <x:c r="N35" s="10" t="str">
        <x:v>Primary/official source</x:v>
      </x:c>
      <x:c r="O35" s="10" t="n">
        <x:v>5</x:v>
      </x:c>
      <x:c r="P35" s="10" t="str">
        <x:v>research/policy paper</x:v>
      </x:c>
      <x:c r="Q35" s="10" t="str">
        <x:v>direct</x:v>
      </x:c>
      <x:c r="R35" s="10" t="str">
        <x:v>https://joint-research-centre.ec.europa.eu/what-we-do/scientific-portfolios/drivers-competitiveness_en</x:v>
      </x:c>
    </x:row>
    <x:row r="36">
      <x:c r="A36" s="10" t="n">
        <x:f>RANK.EQ(B36,$B$2:$B$446,0)+COUNTIF($B$2:B36,B36)-1</x:f>
        <x:v>35</x:v>
      </x:c>
      <x:c r="B36" s="22" t="n">
        <x:f>I36+K36+M36+O36</x:f>
        <x:v>100</x:v>
      </x:c>
      <x:c r="C36" s="10" t="str">
        <x:f>IF(B36&gt;=93,"A — Highest",IF(B36&gt;=85,"B — Very strong",IF(B36&gt;=75,"C — Strong",IF(B36&gt;=65,"D — Useful","E — Supporting"))))</x:f>
        <x:v>A — Highest</x:v>
      </x:c>
      <x:c r="D36" s="10" t="str">
        <x:v>Second meeting of the Talent for Innovation Attraction Platform</x:v>
      </x:c>
      <x:c r="E36" s="10" t="str">
        <x:v>2026-06-17</x:v>
      </x:c>
      <x:c r="F36" s="10" t="str">
        <x:v>A</x:v>
      </x:c>
      <x:c r="G36" s="10" t="str">
        <x:v>European Commission — Migration and Home Affairs</x:v>
      </x:c>
      <x:c r="H36" s="10" t="str">
        <x:v>Directorate-General for Migration and Home Affairs</x:v>
      </x:c>
      <x:c r="I36" s="10" t="n">
        <x:v>55</x:v>
      </x:c>
      <x:c r="J36" s="10" t="str">
        <x:v>EU official / EU body</x:v>
      </x:c>
      <x:c r="K36" s="10" t="n">
        <x:v>25</x:v>
      </x:c>
      <x:c r="L36" s="10" t="str">
        <x:v>Direct EU relevance</x:v>
      </x:c>
      <x:c r="M36" s="10" t="n">
        <x:v>15</x:v>
      </x:c>
      <x:c r="N36" s="10" t="str">
        <x:v>Primary/official source</x:v>
      </x:c>
      <x:c r="O36" s="10" t="n">
        <x:v>5</x:v>
      </x:c>
      <x:c r="P36" s="10" t="str">
        <x:v>institutional policy update</x:v>
      </x:c>
      <x:c r="Q36" s="10" t="str">
        <x:v>direct</x:v>
      </x:c>
      <x:c r="R36" s="10" t="str">
        <x:v>https://home-affairs.ec.europa.eu/news/second-meeting-talent-innovation-attraction-platform-2026-06-17_en</x:v>
      </x:c>
    </x:row>
    <x:row r="37">
      <x:c r="A37" s="10" t="n">
        <x:f>RANK.EQ(B37,$B$2:$B$446,0)+COUNTIF($B$2:B37,B37)-1</x:f>
        <x:v>36</x:v>
      </x:c>
      <x:c r="B37" s="22" t="n">
        <x:f>I37+K37+M37+O37</x:f>
        <x:v>100</x:v>
      </x:c>
      <x:c r="C37" s="10" t="str">
        <x:f>IF(B37&gt;=93,"A — Highest",IF(B37&gt;=85,"B — Very strong",IF(B37&gt;=75,"C — Strong",IF(B37&gt;=65,"D — Useful","E — Supporting"))))</x:f>
        <x:v>A — Highest</x:v>
      </x:c>
      <x:c r="D37" s="10" t="str">
        <x:v>The European Union and Australia successfully conclude Horizon Europe negotiations</x:v>
      </x:c>
      <x:c r="E37" s="10" t="str">
        <x:v>2026-06-09</x:v>
      </x:c>
      <x:c r="F37" s="10" t="str">
        <x:v>A</x:v>
      </x:c>
      <x:c r="G37" s="10" t="str">
        <x:v>European Commission — Research &amp; Innovation</x:v>
      </x:c>
      <x:c r="H37" s="10" t="str">
        <x:v>Directorate-General for Research and Innovation</x:v>
      </x:c>
      <x:c r="I37" s="10" t="n">
        <x:v>55</x:v>
      </x:c>
      <x:c r="J37" s="10" t="str">
        <x:v>EU official / EU body</x:v>
      </x:c>
      <x:c r="K37" s="10" t="n">
        <x:v>25</x:v>
      </x:c>
      <x:c r="L37" s="10" t="str">
        <x:v>Direct EU relevance</x:v>
      </x:c>
      <x:c r="M37" s="10" t="n">
        <x:v>15</x:v>
      </x:c>
      <x:c r="N37" s="10" t="str">
        <x:v>Primary/official source</x:v>
      </x:c>
      <x:c r="O37" s="10" t="n">
        <x:v>5</x:v>
      </x:c>
      <x:c r="P37" s="10" t="str">
        <x:v>official notice / primary source</x:v>
      </x:c>
      <x:c r="Q37" s="10" t="str">
        <x:v>direct</x:v>
      </x:c>
      <x:c r="R37" s="10" t="str">
        <x:v>https://research-and-innovation.ec.europa.eu/news/all-research-and-innovation-news/european-union-and-australia-successfully-conclude-horizon-europe-negotiations-2026-06-09_en</x:v>
      </x:c>
    </x:row>
    <x:row r="38">
      <x:c r="A38" s="10" t="n">
        <x:f>RANK.EQ(B38,$B$2:$B$446,0)+COUNTIF($B$2:B38,B38)-1</x:f>
        <x:v>37</x:v>
      </x:c>
      <x:c r="B38" s="22" t="n">
        <x:f>I38+K38+M38+O38</x:f>
        <x:v>100</x:v>
      </x:c>
      <x:c r="C38" s="10" t="str">
        <x:f>IF(B38&gt;=93,"A — Highest",IF(B38&gt;=85,"B — Very strong",IF(B38&gt;=75,"C — Strong",IF(B38&gt;=65,"D — Useful","E — Supporting"))))</x:f>
        <x:v>A — Highest</x:v>
      </x:c>
      <x:c r="D38" s="10" t="str">
        <x:v>Beijing’s critical raw material weapon – and how to dismantle it</x:v>
      </x:c>
      <x:c r="E38" s="10" t="str">
        <x:v>2026-06-03</x:v>
      </x:c>
      <x:c r="F38" s="10" t="str">
        <x:v>A</x:v>
      </x:c>
      <x:c r="G38" s="10" t="str">
        <x:v>European Union Institute for Security Studies (EUISS)</x:v>
      </x:c>
      <x:c r="H38" s="10" t="str">
        <x:v>Joris Teer</x:v>
      </x:c>
      <x:c r="I38" s="10" t="n">
        <x:v>55</x:v>
      </x:c>
      <x:c r="J38" s="10" t="str">
        <x:v>EU official / EU body</x:v>
      </x:c>
      <x:c r="K38" s="10" t="n">
        <x:v>25</x:v>
      </x:c>
      <x:c r="L38" s="10" t="str">
        <x:v>Direct EU relevance</x:v>
      </x:c>
      <x:c r="M38" s="10" t="n">
        <x:v>15</x:v>
      </x:c>
      <x:c r="N38" s="10" t="str">
        <x:v>Primary/official source</x:v>
      </x:c>
      <x:c r="O38" s="10" t="n">
        <x:v>5</x:v>
      </x:c>
      <x:c r="P38" s="10" t="str">
        <x:v>manual-verified scholarly/policy source</x:v>
      </x:c>
      <x:c r="Q38" s="10" t="str">
        <x:v>direct</x:v>
      </x:c>
      <x:c r="R38" s="10" t="str">
        <x:v>https://op.europa.eu/en/publication-detail/-/publication/8c81d298-6560-11f1-9b18-01aa75ed71a1/language-en</x:v>
      </x:c>
    </x:row>
    <x:row r="39">
      <x:c r="A39" s="10" t="n">
        <x:f>RANK.EQ(B39,$B$2:$B$446,0)+COUNTIF($B$2:B39,B39)-1</x:f>
        <x:v>38</x:v>
      </x:c>
      <x:c r="B39" s="22" t="n">
        <x:f>I39+K39+M39+O39</x:f>
        <x:v>100</x:v>
      </x:c>
      <x:c r="C39" s="10" t="str">
        <x:f>IF(B39&gt;=93,"A — Highest",IF(B39&gt;=85,"B — Very strong",IF(B39&gt;=75,"C — Strong",IF(B39&gt;=65,"D — Useful","E — Supporting"))))</x:f>
        <x:v>A — Highest</x:v>
      </x:c>
      <x:c r="D39" s="10" t="str">
        <x:v>Council adopts first ever EU framework for science diplomacy</x:v>
      </x:c>
      <x:c r="E39" s="10" t="str">
        <x:v>2026-05-29</x:v>
      </x:c>
      <x:c r="F39" s="10" t="str">
        <x:v>A</x:v>
      </x:c>
      <x:c r="G39" s="10" t="str">
        <x:v>European Commission — Research &amp; Innovation</x:v>
      </x:c>
      <x:c r="H39" s="10" t="str">
        <x:v>Directorate-General for Research and Innovation</x:v>
      </x:c>
      <x:c r="I39" s="10" t="n">
        <x:v>55</x:v>
      </x:c>
      <x:c r="J39" s="10" t="str">
        <x:v>EU official / EU body</x:v>
      </x:c>
      <x:c r="K39" s="10" t="n">
        <x:v>25</x:v>
      </x:c>
      <x:c r="L39" s="10" t="str">
        <x:v>Direct EU relevance</x:v>
      </x:c>
      <x:c r="M39" s="10" t="n">
        <x:v>15</x:v>
      </x:c>
      <x:c r="N39" s="10" t="str">
        <x:v>Primary/official source</x:v>
      </x:c>
      <x:c r="O39" s="10" t="n">
        <x:v>5</x:v>
      </x:c>
      <x:c r="P39" s="10" t="str">
        <x:v>official notice / primary source</x:v>
      </x:c>
      <x:c r="Q39" s="10" t="str">
        <x:v>direct</x:v>
      </x:c>
      <x:c r="R39" s="10" t="str">
        <x:v>https://research-and-innovation.ec.europa.eu/news/all-research-and-innovation-news/council-adopts-first-ever-eu-framework-science-diplomacy-2026-05-29_en</x:v>
      </x:c>
    </x:row>
    <x:row r="40">
      <x:c r="A40" s="10" t="n">
        <x:f>RANK.EQ(B40,$B$2:$B$446,0)+COUNTIF($B$2:B40,B40)-1</x:f>
        <x:v>39</x:v>
      </x:c>
      <x:c r="B40" s="22" t="n">
        <x:f>I40+K40+M40+O40</x:f>
        <x:v>100</x:v>
      </x:c>
      <x:c r="C40" s="10" t="str">
        <x:f>IF(B40&gt;=93,"A — Highest",IF(B40&gt;=85,"B — Very strong",IF(B40&gt;=75,"C — Strong",IF(B40&gt;=65,"D — Useful","E — Supporting"))))</x:f>
        <x:v>A — Highest</x:v>
      </x:c>
      <x:c r="D40" s="10" t="str">
        <x:v>EU and Vietnam deepen partnership in science, technology and innovation</x:v>
      </x:c>
      <x:c r="E40" s="10" t="str">
        <x:v>2026-05-27</x:v>
      </x:c>
      <x:c r="F40" s="10" t="str">
        <x:v>A</x:v>
      </x:c>
      <x:c r="G40" s="10" t="str">
        <x:v>European Commission — Research &amp; Innovation</x:v>
      </x:c>
      <x:c r="H40" s="10" t="str">
        <x:v>Directorate-General for Research and Innovation</x:v>
      </x:c>
      <x:c r="I40" s="10" t="n">
        <x:v>55</x:v>
      </x:c>
      <x:c r="J40" s="10" t="str">
        <x:v>EU official / EU body</x:v>
      </x:c>
      <x:c r="K40" s="10" t="n">
        <x:v>25</x:v>
      </x:c>
      <x:c r="L40" s="10" t="str">
        <x:v>Direct EU relevance</x:v>
      </x:c>
      <x:c r="M40" s="10" t="n">
        <x:v>15</x:v>
      </x:c>
      <x:c r="N40" s="10" t="str">
        <x:v>Primary/official source</x:v>
      </x:c>
      <x:c r="O40" s="10" t="n">
        <x:v>5</x:v>
      </x:c>
      <x:c r="P40" s="10" t="str">
        <x:v>official notice / primary source</x:v>
      </x:c>
      <x:c r="Q40" s="10" t="str">
        <x:v>direct</x:v>
      </x:c>
      <x:c r="R40" s="10" t="str">
        <x:v>https://research-and-innovation.ec.europa.eu/news/all-research-and-innovation-news/eu-and-vietnam-deepen-partnership-science-technology-and-innovation-2026-05-27_en</x:v>
      </x:c>
    </x:row>
    <x:row r="41">
      <x:c r="A41" s="10" t="n">
        <x:f>RANK.EQ(B41,$B$2:$B$446,0)+COUNTIF($B$2:B41,B41)-1</x:f>
        <x:v>40</x:v>
      </x:c>
      <x:c r="B41" s="22" t="n">
        <x:f>I41+K41+M41+O41</x:f>
        <x:v>100</x:v>
      </x:c>
      <x:c r="C41" s="10" t="str">
        <x:f>IF(B41&gt;=93,"A — Highest",IF(B41&gt;=85,"B — Very strong",IF(B41&gt;=75,"C — Strong",IF(B41&gt;=65,"D — Useful","E — Supporting"))))</x:f>
        <x:v>A — Highest</x:v>
      </x:c>
      <x:c r="D41" s="10" t="str">
        <x:v>Commission Staff Working Document accompanying the proposal for a European Biotech Act (C(2026) 3375 final)</x:v>
      </x:c>
      <x:c r="E41" s="10" t="str">
        <x:v>2026-05-26</x:v>
      </x:c>
      <x:c r="F41" s="10" t="str">
        <x:v>A</x:v>
      </x:c>
      <x:c r="G41" s="10" t="str">
        <x:v>European Commission — Health and Food Safety</x:v>
      </x:c>
      <x:c r="H41" s="10" t="str">
        <x:v>Directorate-General for Health and Food Safety</x:v>
      </x:c>
      <x:c r="I41" s="10" t="n">
        <x:v>55</x:v>
      </x:c>
      <x:c r="J41" s="10" t="str">
        <x:v>EU official / EU body</x:v>
      </x:c>
      <x:c r="K41" s="10" t="n">
        <x:v>25</x:v>
      </x:c>
      <x:c r="L41" s="10" t="str">
        <x:v>Direct EU relevance</x:v>
      </x:c>
      <x:c r="M41" s="10" t="n">
        <x:v>15</x:v>
      </x:c>
      <x:c r="N41" s="10" t="str">
        <x:v>Primary/official source</x:v>
      </x:c>
      <x:c r="O41" s="10" t="n">
        <x:v>5</x:v>
      </x:c>
      <x:c r="P41" s="10" t="str">
        <x:v>official policy / institutional framework</x:v>
      </x:c>
      <x:c r="Q41" s="10" t="str">
        <x:v>direct</x:v>
      </x:c>
      <x:c r="R41" s="10" t="str">
        <x:v>https://health.ec.europa.eu/document/download/48009973-efbb-4101-ae8f-e81a34764e39_en?filename=biotechnology_C2026-3375-1_en.pdf</x:v>
      </x:c>
    </x:row>
    <x:row r="42">
      <x:c r="A42" s="10" t="n">
        <x:f>RANK.EQ(B42,$B$2:$B$446,0)+COUNTIF($B$2:B42,B42)-1</x:f>
        <x:v>41</x:v>
      </x:c>
      <x:c r="B42" s="22" t="n">
        <x:f>I42+K42+M42+O42</x:f>
        <x:v>100</x:v>
      </x:c>
      <x:c r="C42" s="10" t="str">
        <x:f>IF(B42&gt;=93,"A — Highest",IF(B42&gt;=85,"B — Very strong",IF(B42&gt;=75,"C — Strong",IF(B42&gt;=65,"D — Useful","E — Supporting"))))</x:f>
        <x:v>A — Highest</x:v>
      </x:c>
      <x:c r="D42" s="10" t="str">
        <x:v>Wide participation at RIMA meeting strengthens EU Research and innovation coordination</x:v>
      </x:c>
      <x:c r="E42" s="10" t="str">
        <x:v>2026-05-21</x:v>
      </x:c>
      <x:c r="F42" s="10" t="str">
        <x:v>A</x:v>
      </x:c>
      <x:c r="G42" s="10" t="str">
        <x:v>European Commission — Research &amp; Innovation</x:v>
      </x:c>
      <x:c r="H42" s="10" t="str">
        <x:v>Directorate-General for Research and Innovation</x:v>
      </x:c>
      <x:c r="I42" s="10" t="n">
        <x:v>55</x:v>
      </x:c>
      <x:c r="J42" s="10" t="str">
        <x:v>EU official / EU body</x:v>
      </x:c>
      <x:c r="K42" s="10" t="n">
        <x:v>25</x:v>
      </x:c>
      <x:c r="L42" s="10" t="str">
        <x:v>Direct EU relevance</x:v>
      </x:c>
      <x:c r="M42" s="10" t="n">
        <x:v>15</x:v>
      </x:c>
      <x:c r="N42" s="10" t="str">
        <x:v>Primary/official source</x:v>
      </x:c>
      <x:c r="O42" s="10" t="n">
        <x:v>5</x:v>
      </x:c>
      <x:c r="P42" s="10" t="str">
        <x:v>official notice / primary source</x:v>
      </x:c>
      <x:c r="Q42" s="10" t="str">
        <x:v>direct</x:v>
      </x:c>
      <x:c r="R42" s="10" t="str">
        <x:v>https://research-and-innovation.ec.europa.eu/news/all-research-and-innovation-news/wide-participation-rima-meeting-strengthens-eu-research-and-innovation-coordination-2026-05-21_en</x:v>
      </x:c>
    </x:row>
    <x:row r="43">
      <x:c r="A43" s="10" t="n">
        <x:f>RANK.EQ(B43,$B$2:$B$446,0)+COUNTIF($B$2:B43,B43)-1</x:f>
        <x:v>42</x:v>
      </x:c>
      <x:c r="B43" s="22" t="n">
        <x:f>I43+K43+M43+O43</x:f>
        <x:v>100</x:v>
      </x:c>
      <x:c r="C43" s="10" t="str">
        <x:f>IF(B43&gt;=93,"A — Highest",IF(B43&gt;=85,"B — Very strong",IF(B43&gt;=75,"C — Strong",IF(B43&gt;=65,"D — Useful","E — Supporting"))))</x:f>
        <x:v>A — Highest</x:v>
      </x:c>
      <x:c r="D43" s="10" t="str">
        <x:v>Exploring the investor landscape for venture capital</x:v>
      </x:c>
      <x:c r="E43" s="10" t="str">
        <x:v>2026-05-07</x:v>
      </x:c>
      <x:c r="F43" s="10" t="str">
        <x:v>A</x:v>
      </x:c>
      <x:c r="G43" s="10" t="str">
        <x:v>European Central Bank</x:v>
      </x:c>
      <x:c r="H43" s="10" t="str">
        <x:v>Elena Banu; Tanja Derin; Johanne Evrard; Claudia Lambert; Daniel Legran; Wagner Eduardo Schuster</x:v>
      </x:c>
      <x:c r="I43" s="10" t="n">
        <x:v>55</x:v>
      </x:c>
      <x:c r="J43" s="10" t="str">
        <x:v>EU official / EU body</x:v>
      </x:c>
      <x:c r="K43" s="10" t="n">
        <x:v>25</x:v>
      </x:c>
      <x:c r="L43" s="10" t="str">
        <x:v>Direct EU relevance</x:v>
      </x:c>
      <x:c r="M43" s="10" t="n">
        <x:v>15</x:v>
      </x:c>
      <x:c r="N43" s="10" t="str">
        <x:v>Primary/official source</x:v>
      </x:c>
      <x:c r="O43" s="10" t="n">
        <x:v>5</x:v>
      </x:c>
      <x:c r="P43" s="10" t="str">
        <x:v>manual-verified scholarly/policy source</x:v>
      </x:c>
      <x:c r="Q43" s="10" t="str">
        <x:v>direct</x:v>
      </x:c>
      <x:c r="R43" s="10" t="str">
        <x:v>https://www.ecb.europa.eu/press/fie/box/html/ecb.fiebox202605_04.en.html</x:v>
      </x:c>
    </x:row>
    <x:row r="44">
      <x:c r="A44" s="10" t="n">
        <x:f>RANK.EQ(B44,$B$2:$B$446,0)+COUNTIF($B$2:B44,B44)-1</x:f>
        <x:v>43</x:v>
      </x:c>
      <x:c r="B44" s="22" t="n">
        <x:f>I44+K44+M44+O44</x:f>
        <x:v>100</x:v>
      </x:c>
      <x:c r="C44" s="10" t="str">
        <x:f>IF(B44&gt;=93,"A — Highest",IF(B44&gt;=85,"B — Very strong",IF(B44&gt;=75,"C — Strong",IF(B44&gt;=65,"D — Useful","E — Supporting"))))</x:f>
        <x:v>A — Highest</x:v>
      </x:c>
      <x:c r="D44" s="10" t="str">
        <x:v>Local roots, European reach: New strategy sets direction for research and technology infrastructures</x:v>
      </x:c>
      <x:c r="E44" s="10" t="str">
        <x:v>2026-05-06</x:v>
      </x:c>
      <x:c r="F44" s="10" t="str">
        <x:v>A</x:v>
      </x:c>
      <x:c r="G44" s="10" t="str">
        <x:v>European Commission — Research &amp; Innovation</x:v>
      </x:c>
      <x:c r="H44" s="10" t="str">
        <x:v>Directorate-General for Research and Innovation</x:v>
      </x:c>
      <x:c r="I44" s="10" t="n">
        <x:v>55</x:v>
      </x:c>
      <x:c r="J44" s="10" t="str">
        <x:v>EU official / EU body</x:v>
      </x:c>
      <x:c r="K44" s="10" t="n">
        <x:v>25</x:v>
      </x:c>
      <x:c r="L44" s="10" t="str">
        <x:v>Direct EU relevance</x:v>
      </x:c>
      <x:c r="M44" s="10" t="n">
        <x:v>15</x:v>
      </x:c>
      <x:c r="N44" s="10" t="str">
        <x:v>Primary/official source</x:v>
      </x:c>
      <x:c r="O44" s="10" t="n">
        <x:v>5</x:v>
      </x:c>
      <x:c r="P44" s="10" t="str">
        <x:v>official notice / primary source</x:v>
      </x:c>
      <x:c r="Q44" s="10" t="str">
        <x:v>direct</x:v>
      </x:c>
      <x:c r="R44" s="10" t="str">
        <x:v>https://research-and-innovation.ec.europa.eu/news/all-research-and-innovation-news/local-roots-european-reach-new-strategy-sets-direction-research-and-technology-infrastructures-2026-05-06_en</x:v>
      </x:c>
    </x:row>
    <x:row r="45">
      <x:c r="A45" s="10" t="n">
        <x:f>RANK.EQ(B45,$B$2:$B$446,0)+COUNTIF($B$2:B45,B45)-1</x:f>
        <x:v>44</x:v>
      </x:c>
      <x:c r="B45" s="22" t="n">
        <x:f>I45+K45+M45+O45</x:f>
        <x:v>100</x:v>
      </x:c>
      <x:c r="C45" s="10" t="str">
        <x:f>IF(B45&gt;=93,"A — Highest",IF(B45&gt;=85,"B — Very strong",IF(B45&gt;=75,"C — Strong",IF(B45&gt;=65,"D — Useful","E — Supporting"))))</x:f>
        <x:v>A — Highest</x:v>
      </x:c>
      <x:c r="D45" s="10" t="str">
        <x:v>Boosting knowledge circulation: new study on economic impact of possible measures</x:v>
      </x:c>
      <x:c r="E45" s="10" t="str">
        <x:v>2026-04-30</x:v>
      </x:c>
      <x:c r="F45" s="10" t="str">
        <x:v>A</x:v>
      </x:c>
      <x:c r="G45" s="10" t="str">
        <x:v>European Commission — Research &amp; Innovation</x:v>
      </x:c>
      <x:c r="H45" s="10" t="str">
        <x:v>Directorate-General for Research and Innovation</x:v>
      </x:c>
      <x:c r="I45" s="10" t="n">
        <x:v>55</x:v>
      </x:c>
      <x:c r="J45" s="10" t="str">
        <x:v>EU official / EU body</x:v>
      </x:c>
      <x:c r="K45" s="10" t="n">
        <x:v>25</x:v>
      </x:c>
      <x:c r="L45" s="10" t="str">
        <x:v>Direct EU relevance</x:v>
      </x:c>
      <x:c r="M45" s="10" t="n">
        <x:v>15</x:v>
      </x:c>
      <x:c r="N45" s="10" t="str">
        <x:v>Primary/official source</x:v>
      </x:c>
      <x:c r="O45" s="10" t="n">
        <x:v>5</x:v>
      </x:c>
      <x:c r="P45" s="10" t="str">
        <x:v>official notice / primary source</x:v>
      </x:c>
      <x:c r="Q45" s="10" t="str">
        <x:v>direct</x:v>
      </x:c>
      <x:c r="R45" s="10" t="str">
        <x:v>https://research-and-innovation.ec.europa.eu/news/all-research-and-innovation-news/boosting-knowledge-circulation-new-study-economic-impact-possible-measures-2026-04-30_en</x:v>
      </x:c>
    </x:row>
    <x:row r="46">
      <x:c r="A46" s="10" t="n">
        <x:f>RANK.EQ(B46,$B$2:$B$446,0)+COUNTIF($B$2:B46,B46)-1</x:f>
        <x:v>45</x:v>
      </x:c>
      <x:c r="B46" s="22" t="n">
        <x:f>I46+K46+M46+O46</x:f>
        <x:v>100</x:v>
      </x:c>
      <x:c r="C46" s="10" t="str">
        <x:f>IF(B46&gt;=93,"A — Highest",IF(B46&gt;=85,"B — Very strong",IF(B46&gt;=75,"C — Strong",IF(B46&gt;=65,"D — Useful","E — Supporting"))))</x:f>
        <x:v>A — Highest</x:v>
      </x:c>
      <x:c r="D46" s="10" t="str">
        <x:v>First meeting of the Talent for Innovation Attraction Platform</x:v>
      </x:c>
      <x:c r="E46" s="10" t="str">
        <x:v>2026-04-14</x:v>
      </x:c>
      <x:c r="F46" s="10" t="str">
        <x:v>A</x:v>
      </x:c>
      <x:c r="G46" s="10" t="str">
        <x:v>European Commission — Migration and Home Affairs</x:v>
      </x:c>
      <x:c r="H46" s="10" t="str">
        <x:v>Directorate-General for Migration and Home Affairs</x:v>
      </x:c>
      <x:c r="I46" s="10" t="n">
        <x:v>55</x:v>
      </x:c>
      <x:c r="J46" s="10" t="str">
        <x:v>EU official / EU body</x:v>
      </x:c>
      <x:c r="K46" s="10" t="n">
        <x:v>25</x:v>
      </x:c>
      <x:c r="L46" s="10" t="str">
        <x:v>Direct EU relevance</x:v>
      </x:c>
      <x:c r="M46" s="10" t="n">
        <x:v>15</x:v>
      </x:c>
      <x:c r="N46" s="10" t="str">
        <x:v>Primary/official source</x:v>
      </x:c>
      <x:c r="O46" s="10" t="n">
        <x:v>5</x:v>
      </x:c>
      <x:c r="P46" s="10" t="str">
        <x:v>official notice / primary source</x:v>
      </x:c>
      <x:c r="Q46" s="10" t="str">
        <x:v>direct</x:v>
      </x:c>
      <x:c r="R46" s="10" t="str">
        <x:v>https://home-affairs.ec.europa.eu/news/first-meeting-talent-innovation-attraction-platform-2026-04-14_en</x:v>
      </x:c>
    </x:row>
    <x:row r="47">
      <x:c r="A47" s="10" t="n">
        <x:f>RANK.EQ(B47,$B$2:$B$446,0)+COUNTIF($B$2:B47,B47)-1</x:f>
        <x:v>46</x:v>
      </x:c>
      <x:c r="B47" s="22" t="n">
        <x:f>I47+K47+M47+O47</x:f>
        <x:v>100</x:v>
      </x:c>
      <x:c r="C47" s="10" t="str">
        <x:f>IF(B47&gt;=93,"A — Highest",IF(B47&gt;=85,"B — Very strong",IF(B47&gt;=75,"C — Strong",IF(B47&gt;=65,"D — Useful","E — Supporting"))))</x:f>
        <x:v>A — Highest</x:v>
      </x:c>
      <x:c r="D47" s="10" t="str">
        <x:v>Fourth EU-Albania Horizon Europe Joint Research and Innovation Committee meeting</x:v>
      </x:c>
      <x:c r="E47" s="10" t="str">
        <x:v>2026-04-13</x:v>
      </x:c>
      <x:c r="F47" s="10" t="str">
        <x:v>A</x:v>
      </x:c>
      <x:c r="G47" s="10" t="str">
        <x:v>European Commission — Research &amp; Innovation</x:v>
      </x:c>
      <x:c r="H47" s="10" t="str">
        <x:v>Directorate-General for Research and Innovation</x:v>
      </x:c>
      <x:c r="I47" s="10" t="n">
        <x:v>55</x:v>
      </x:c>
      <x:c r="J47" s="10" t="str">
        <x:v>EU official / EU body</x:v>
      </x:c>
      <x:c r="K47" s="10" t="n">
        <x:v>25</x:v>
      </x:c>
      <x:c r="L47" s="10" t="str">
        <x:v>Direct EU relevance</x:v>
      </x:c>
      <x:c r="M47" s="10" t="n">
        <x:v>15</x:v>
      </x:c>
      <x:c r="N47" s="10" t="str">
        <x:v>Primary/official source</x:v>
      </x:c>
      <x:c r="O47" s="10" t="n">
        <x:v>5</x:v>
      </x:c>
      <x:c r="P47" s="10" t="str">
        <x:v>official notice / primary source</x:v>
      </x:c>
      <x:c r="Q47" s="10" t="str">
        <x:v>direct</x:v>
      </x:c>
      <x:c r="R47" s="10" t="str">
        <x:v>https://research-and-innovation.ec.europa.eu/news/all-research-and-innovation-news/fourth-eu-albania-horizon-europe-joint-research-and-innovation-committee-meeting-2026-04-13_en</x:v>
      </x:c>
    </x:row>
    <x:row r="48">
      <x:c r="A48" s="10" t="n">
        <x:f>RANK.EQ(B48,$B$2:$B$446,0)+COUNTIF($B$2:B48,B48)-1</x:f>
        <x:v>47</x:v>
      </x:c>
      <x:c r="B48" s="22" t="n">
        <x:f>I48+K48+M48+O48</x:f>
        <x:v>100</x:v>
      </x:c>
      <x:c r="C48" s="10" t="str">
        <x:f>IF(B48&gt;=93,"A — Highest",IF(B48&gt;=85,"B — Very strong",IF(B48&gt;=75,"C — Strong",IF(B48&gt;=65,"D — Useful","E — Supporting"))))</x:f>
        <x:v>A — Highest</x:v>
      </x:c>
      <x:c r="D48" s="10" t="str">
        <x:v>2nd Horizon Europe association Joint Committee meeting between Canada and the European Union</x:v>
      </x:c>
      <x:c r="E48" s="10" t="str">
        <x:v>2026-04-07</x:v>
      </x:c>
      <x:c r="F48" s="10" t="str">
        <x:v>A</x:v>
      </x:c>
      <x:c r="G48" s="10" t="str">
        <x:v>European Commission — Research &amp; Innovation</x:v>
      </x:c>
      <x:c r="H48" s="10" t="str">
        <x:v>Directorate-General for Research and Innovation</x:v>
      </x:c>
      <x:c r="I48" s="10" t="n">
        <x:v>55</x:v>
      </x:c>
      <x:c r="J48" s="10" t="str">
        <x:v>EU official / EU body</x:v>
      </x:c>
      <x:c r="K48" s="10" t="n">
        <x:v>25</x:v>
      </x:c>
      <x:c r="L48" s="10" t="str">
        <x:v>Direct EU relevance</x:v>
      </x:c>
      <x:c r="M48" s="10" t="n">
        <x:v>15</x:v>
      </x:c>
      <x:c r="N48" s="10" t="str">
        <x:v>Primary/official source</x:v>
      </x:c>
      <x:c r="O48" s="10" t="n">
        <x:v>5</x:v>
      </x:c>
      <x:c r="P48" s="10" t="str">
        <x:v>official notice / primary source</x:v>
      </x:c>
      <x:c r="Q48" s="10" t="str">
        <x:v>direct</x:v>
      </x:c>
      <x:c r="R48" s="10" t="str">
        <x:v>https://research-and-innovation.ec.europa.eu/news/all-research-and-innovation-news/2nd-horizon-europe-association-joint-committee-meeting-between-canada-and-european-union-2026-04-07_en</x:v>
      </x:c>
    </x:row>
    <x:row r="49">
      <x:c r="A49" s="10" t="n">
        <x:f>RANK.EQ(B49,$B$2:$B$446,0)+COUNTIF($B$2:B49,B49)-1</x:f>
        <x:v>48</x:v>
      </x:c>
      <x:c r="B49" s="22" t="n">
        <x:f>I49+K49+M49+O49</x:f>
        <x:v>100</x:v>
      </x:c>
      <x:c r="C49" s="10" t="str">
        <x:f>IF(B49&gt;=93,"A — Highest",IF(B49&gt;=85,"B — Very strong",IF(B49&gt;=75,"C — Strong",IF(B49&gt;=65,"D — Useful","E — Supporting"))))</x:f>
        <x:v>A — Highest</x:v>
      </x:c>
      <x:c r="D49" s="10" t="str">
        <x:v>EU and Australia formally open negotiations on the association to Horizon Europe</x:v>
      </x:c>
      <x:c r="E49" s="10" t="str">
        <x:v>2026-03-31</x:v>
      </x:c>
      <x:c r="F49" s="10" t="str">
        <x:v>A</x:v>
      </x:c>
      <x:c r="G49" s="10" t="str">
        <x:v>European Commission — Research &amp; Innovation</x:v>
      </x:c>
      <x:c r="H49" s="10" t="str">
        <x:v>Directorate-General for Research and Innovation</x:v>
      </x:c>
      <x:c r="I49" s="10" t="n">
        <x:v>55</x:v>
      </x:c>
      <x:c r="J49" s="10" t="str">
        <x:v>EU official / EU body</x:v>
      </x:c>
      <x:c r="K49" s="10" t="n">
        <x:v>25</x:v>
      </x:c>
      <x:c r="L49" s="10" t="str">
        <x:v>Direct EU relevance</x:v>
      </x:c>
      <x:c r="M49" s="10" t="n">
        <x:v>15</x:v>
      </x:c>
      <x:c r="N49" s="10" t="str">
        <x:v>Primary/official source</x:v>
      </x:c>
      <x:c r="O49" s="10" t="n">
        <x:v>5</x:v>
      </x:c>
      <x:c r="P49" s="10" t="str">
        <x:v>official notice / primary source</x:v>
      </x:c>
      <x:c r="Q49" s="10" t="str">
        <x:v>direct</x:v>
      </x:c>
      <x:c r="R49" s="10" t="str">
        <x:v>https://research-and-innovation.ec.europa.eu/news/all-research-and-innovation-news/eu-and-australia-formally-open-negotiations-association-horizon-europe-2026-03-31_en</x:v>
      </x:c>
    </x:row>
    <x:row r="50">
      <x:c r="A50" s="10" t="n">
        <x:f>RANK.EQ(B50,$B$2:$B$446,0)+COUNTIF($B$2:B50,B50)-1</x:f>
        <x:v>49</x:v>
      </x:c>
      <x:c r="B50" s="22" t="n">
        <x:f>I50+K50+M50+O50</x:f>
        <x:v>100</x:v>
      </x:c>
      <x:c r="C50" s="10" t="str">
        <x:f>IF(B50&gt;=93,"A — Highest",IF(B50&gt;=85,"B — Very strong",IF(B50&gt;=75,"C — Strong",IF(B50&gt;=65,"D — Useful","E — Supporting"))))</x:f>
        <x:v>A — Highest</x:v>
      </x:c>
      <x:c r="D50" s="10" t="str">
        <x:v>Management plan 2026 – Communications Networks, Content and Technology</x:v>
      </x:c>
      <x:c r="E50" s="10" t="str">
        <x:v>2026-03-19</x:v>
      </x:c>
      <x:c r="F50" s="10" t="str">
        <x:v>A</x:v>
      </x:c>
      <x:c r="G50" s="10" t="str">
        <x:v>European Commission</x:v>
      </x:c>
      <x:c r="H50" s="10" t="str">
        <x:v>Directorate-General for Communications Networks, Content and Technology</x:v>
      </x:c>
      <x:c r="I50" s="10" t="n">
        <x:v>55</x:v>
      </x:c>
      <x:c r="J50" s="10" t="str">
        <x:v>EU official / EU body</x:v>
      </x:c>
      <x:c r="K50" s="10" t="n">
        <x:v>25</x:v>
      </x:c>
      <x:c r="L50" s="10" t="str">
        <x:v>Direct EU relevance</x:v>
      </x:c>
      <x:c r="M50" s="10" t="n">
        <x:v>15</x:v>
      </x:c>
      <x:c r="N50" s="10" t="str">
        <x:v>Primary/official source</x:v>
      </x:c>
      <x:c r="O50" s="10" t="n">
        <x:v>5</x:v>
      </x:c>
      <x:c r="P50" s="10" t="str">
        <x:v>institutional report</x:v>
      </x:c>
      <x:c r="Q50" s="10" t="str">
        <x:v>direct</x:v>
      </x:c>
      <x:c r="R50" s="10" t="str">
        <x:v>https://commission.europa.eu/document/download/825108b9-0e08-4efb-8723-042a9776d4db_en?filename=cnect_mp_2026_en.pdf</x:v>
      </x:c>
    </x:row>
    <x:row r="51">
      <x:c r="A51" s="10" t="n">
        <x:f>RANK.EQ(B51,$B$2:$B$446,0)+COUNTIF($B$2:B51,B51)-1</x:f>
        <x:v>50</x:v>
      </x:c>
      <x:c r="B51" s="22" t="n">
        <x:f>I51+K51+M51+O51</x:f>
        <x:v>100</x:v>
      </x:c>
      <x:c r="C51" s="10" t="str">
        <x:f>IF(B51&gt;=93,"A — Highest",IF(B51&gt;=85,"B — Very strong",IF(B51&gt;=75,"C — Strong",IF(B51&gt;=65,"D — Useful","E — Supporting"))))</x:f>
        <x:v>A — Highest</x:v>
      </x:c>
      <x:c r="D51" s="10" t="str">
        <x:v>Management plan 2026 – Research and Innovation</x:v>
      </x:c>
      <x:c r="E51" s="10" t="str">
        <x:v>2026-03-19</x:v>
      </x:c>
      <x:c r="F51" s="10" t="str">
        <x:v>A</x:v>
      </x:c>
      <x:c r="G51" s="10" t="str">
        <x:v>European Commission</x:v>
      </x:c>
      <x:c r="H51" s="10" t="str">
        <x:v>Directorate-General for Research and Innovation</x:v>
      </x:c>
      <x:c r="I51" s="10" t="n">
        <x:v>55</x:v>
      </x:c>
      <x:c r="J51" s="10" t="str">
        <x:v>EU official / EU body</x:v>
      </x:c>
      <x:c r="K51" s="10" t="n">
        <x:v>25</x:v>
      </x:c>
      <x:c r="L51" s="10" t="str">
        <x:v>Direct EU relevance</x:v>
      </x:c>
      <x:c r="M51" s="10" t="n">
        <x:v>15</x:v>
      </x:c>
      <x:c r="N51" s="10" t="str">
        <x:v>Primary/official source</x:v>
      </x:c>
      <x:c r="O51" s="10" t="n">
        <x:v>5</x:v>
      </x:c>
      <x:c r="P51" s="10" t="str">
        <x:v>institutional report</x:v>
      </x:c>
      <x:c r="Q51" s="10" t="str">
        <x:v>direct</x:v>
      </x:c>
      <x:c r="R51" s="10" t="str">
        <x:v>https://commission.europa.eu/document/download/11c2eb97-6820-4a07-94c6-db3d684cefb8_en?filename=rtd_mp_2026_en.pdf</x:v>
      </x:c>
    </x:row>
    <x:row r="52">
      <x:c r="A52" s="10" t="n">
        <x:f>RANK.EQ(B52,$B$2:$B$446,0)+COUNTIF($B$2:B52,B52)-1</x:f>
        <x:v>51</x:v>
      </x:c>
      <x:c r="B52" s="22" t="n">
        <x:f>I52+K52+M52+O52</x:f>
        <x:v>99</x:v>
      </x:c>
      <x:c r="C52" s="10" t="str">
        <x:f>IF(B52&gt;=93,"A — Highest",IF(B52&gt;=85,"B — Very strong",IF(B52&gt;=75,"C — Strong",IF(B52&gt;=65,"D — Useful","E — Supporting"))))</x:f>
        <x:v>A — Highest</x:v>
      </x:c>
      <x:c r="D52" s="10" t="str">
        <x:v>Research and innovation</x:v>
      </x:c>
      <x:c r="E52" s="10" t="str">
        <x:v>2026-09-01</x:v>
      </x:c>
      <x:c r="F52" s="10" t="str">
        <x:v>A</x:v>
      </x:c>
      <x:c r="G52" s="10" t="str">
        <x:v>European Commission</x:v>
      </x:c>
      <x:c r="H52" s="10" t="str">
        <x:v>European Commission</x:v>
      </x:c>
      <x:c r="I52" s="10" t="n">
        <x:v>55</x:v>
      </x:c>
      <x:c r="J52" s="10" t="str">
        <x:v>EU official / EU body</x:v>
      </x:c>
      <x:c r="K52" s="10" t="n">
        <x:v>25</x:v>
      </x:c>
      <x:c r="L52" s="10" t="str">
        <x:v>Direct EU relevance</x:v>
      </x:c>
      <x:c r="M52" s="10" t="n">
        <x:v>15</x:v>
      </x:c>
      <x:c r="N52" s="10" t="str">
        <x:v>Primary/official source</x:v>
      </x:c>
      <x:c r="O52" s="10" t="n">
        <x:v>4</x:v>
      </x:c>
      <x:c r="P52" s="10" t="str">
        <x:v>research/policy paper</x:v>
      </x:c>
      <x:c r="Q52" s="10" t="str">
        <x:v>direct</x:v>
      </x:c>
      <x:c r="R52" s="10" t="str">
        <x:v>https://commission.europa.eu/topics/research-and-innovation_en</x:v>
      </x:c>
    </x:row>
    <x:row r="53">
      <x:c r="A53" s="10" t="n">
        <x:f>RANK.EQ(B53,$B$2:$B$446,0)+COUNTIF($B$2:B53,B53)-1</x:f>
        <x:v>52</x:v>
      </x:c>
      <x:c r="B53" s="22" t="n">
        <x:f>I53+K53+M53+O53</x:f>
        <x:v>99</x:v>
      </x:c>
      <x:c r="C53" s="10" t="str">
        <x:f>IF(B53&gt;=93,"A — Highest",IF(B53&gt;=85,"B — Very strong",IF(B53&gt;=75,"C — Strong",IF(B53&gt;=65,"D — Useful","E — Supporting"))))</x:f>
        <x:v>A — Highest</x:v>
      </x:c>
      <x:c r="D53" s="10" t="str">
        <x:v>EuroCC 3 and CASTIEL 3: Further supporting the existing European network of National Competence Centres for HPC (NCCs)</x:v>
      </x:c>
      <x:c r="E53" s="10" t="str">
        <x:v>2026-08-31</x:v>
      </x:c>
      <x:c r="F53" s="10" t="str">
        <x:v>A</x:v>
      </x:c>
      <x:c r="G53" s="10" t="str">
        <x:v>EuroHPC Joint Undertaking</x:v>
      </x:c>
      <x:c r="H53" s="10" t="str">
        <x:v>European High-Performance Computing Joint Undertaking</x:v>
      </x:c>
      <x:c r="I53" s="10" t="n">
        <x:v>55</x:v>
      </x:c>
      <x:c r="J53" s="10" t="str">
        <x:v>EU official / EU body</x:v>
      </x:c>
      <x:c r="K53" s="10" t="n">
        <x:v>25</x:v>
      </x:c>
      <x:c r="L53" s="10" t="str">
        <x:v>Direct EU relevance</x:v>
      </x:c>
      <x:c r="M53" s="10" t="n">
        <x:v>15</x:v>
      </x:c>
      <x:c r="N53" s="10" t="str">
        <x:v>Primary/official source</x:v>
      </x:c>
      <x:c r="O53" s="10" t="n">
        <x:v>4</x:v>
      </x:c>
      <x:c r="P53" s="10" t="str">
        <x:v>official policy / institutional framework</x:v>
      </x:c>
      <x:c r="Q53" s="10" t="str">
        <x:v>direct</x:v>
      </x:c>
      <x:c r="R53" s="10" t="str">
        <x:v>https://www.eurohpc-ju.europa.eu/eurocc-3-and-castiel-3-further-supporting-existing-european-network-national-competence-centres-hpc-2026-08-31_en</x:v>
      </x:c>
    </x:row>
    <x:row r="54">
      <x:c r="A54" s="10" t="n">
        <x:f>RANK.EQ(B54,$B$2:$B$446,0)+COUNTIF($B$2:B54,B54)-1</x:f>
        <x:v>53</x:v>
      </x:c>
      <x:c r="B54" s="22" t="n">
        <x:f>I54+K54+M54+O54</x:f>
        <x:v>99</x:v>
      </x:c>
      <x:c r="C54" s="10" t="str">
        <x:f>IF(B54&gt;=93,"A — Highest",IF(B54&gt;=85,"B — Very strong",IF(B54&gt;=75,"C — Strong",IF(B54&gt;=65,"D — Useful","E — Supporting"))))</x:f>
        <x:v>A — Highest</x:v>
      </x:c>
      <x:c r="D54" s="10" t="str">
        <x:v>European Commission updates EIC Fund Investment Guidelines for the EIC Accelerator and STEP Scaleup</x:v>
      </x:c>
      <x:c r="E54" s="10" t="str">
        <x:v>2026-08-27</x:v>
      </x:c>
      <x:c r="F54" s="10" t="str">
        <x:v>A</x:v>
      </x:c>
      <x:c r="G54" s="10" t="str">
        <x:v>European Innovation Council</x:v>
      </x:c>
      <x:c r="H54" s="10" t="str">
        <x:v>European Innovation Council and SMEs Executive Agency</x:v>
      </x:c>
      <x:c r="I54" s="10" t="n">
        <x:v>55</x:v>
      </x:c>
      <x:c r="J54" s="10" t="str">
        <x:v>EU official / EU body</x:v>
      </x:c>
      <x:c r="K54" s="10" t="n">
        <x:v>25</x:v>
      </x:c>
      <x:c r="L54" s="10" t="str">
        <x:v>Direct EU relevance</x:v>
      </x:c>
      <x:c r="M54" s="10" t="n">
        <x:v>15</x:v>
      </x:c>
      <x:c r="N54" s="10" t="str">
        <x:v>Primary/official source</x:v>
      </x:c>
      <x:c r="O54" s="10" t="n">
        <x:v>4</x:v>
      </x:c>
      <x:c r="P54" s="10" t="str">
        <x:v>institutional report</x:v>
      </x:c>
      <x:c r="Q54" s="10" t="str">
        <x:v>direct</x:v>
      </x:c>
      <x:c r="R54" s="10" t="str">
        <x:v>https://eic.ec.europa.eu/document/download/6df458e7-fa47-4ace-93fa-86099606bdb0_en?filename=EIC_Fund_Investment_2026_guidelines_f.pdf</x:v>
      </x:c>
    </x:row>
    <x:row r="55">
      <x:c r="A55" s="10" t="n">
        <x:f>RANK.EQ(B55,$B$2:$B$446,0)+COUNTIF($B$2:B55,B55)-1</x:f>
        <x:v>54</x:v>
      </x:c>
      <x:c r="B55" s="22" t="n">
        <x:f>I55+K55+M55+O55</x:f>
        <x:v>99</x:v>
      </x:c>
      <x:c r="C55" s="10" t="str">
        <x:f>IF(B55&gt;=93,"A — Highest",IF(B55&gt;=85,"B — Very strong",IF(B55&gt;=75,"C — Strong",IF(B55&gt;=65,"D — Useful","E — Supporting"))))</x:f>
        <x:v>A — Highest</x:v>
      </x:c>
      <x:c r="D55" s="10" t="str">
        <x:v>Six New Quantum Calls Launched by the EuroHPC Joint Undertaking</x:v>
      </x:c>
      <x:c r="E55" s="10" t="str">
        <x:v>2026-08-14</x:v>
      </x:c>
      <x:c r="F55" s="10" t="str">
        <x:v>A</x:v>
      </x:c>
      <x:c r="G55" s="10" t="str">
        <x:v>EuroHPC Joint Undertaking</x:v>
      </x:c>
      <x:c r="H55" s="10" t="str">
        <x:v>European High-Performance Computing Joint Undertaking</x:v>
      </x:c>
      <x:c r="I55" s="10" t="n">
        <x:v>55</x:v>
      </x:c>
      <x:c r="J55" s="10" t="str">
        <x:v>EU official / EU body</x:v>
      </x:c>
      <x:c r="K55" s="10" t="n">
        <x:v>25</x:v>
      </x:c>
      <x:c r="L55" s="10" t="str">
        <x:v>Direct EU relevance</x:v>
      </x:c>
      <x:c r="M55" s="10" t="n">
        <x:v>15</x:v>
      </x:c>
      <x:c r="N55" s="10" t="str">
        <x:v>Primary/official source</x:v>
      </x:c>
      <x:c r="O55" s="10" t="n">
        <x:v>4</x:v>
      </x:c>
      <x:c r="P55" s="10" t="str">
        <x:v>research/policy paper</x:v>
      </x:c>
      <x:c r="Q55" s="10" t="str">
        <x:v>direct</x:v>
      </x:c>
      <x:c r="R55" s="10" t="str">
        <x:v>https://www.eurohpc-ju.europa.eu/six-new-quantum-calls-launched-eurohpc-joint-undertaking-2026-08-14_en</x:v>
      </x:c>
    </x:row>
    <x:row r="56">
      <x:c r="A56" s="10" t="n">
        <x:f>RANK.EQ(B56,$B$2:$B$446,0)+COUNTIF($B$2:B56,B56)-1</x:f>
        <x:v>55</x:v>
      </x:c>
      <x:c r="B56" s="22" t="n">
        <x:f>I56+K56+M56+O56</x:f>
        <x:v>99</x:v>
      </x:c>
      <x:c r="C56" s="10" t="str">
        <x:f>IF(B56&gt;=93,"A — Highest",IF(B56&gt;=85,"B — Very strong",IF(B56&gt;=75,"C — Strong",IF(B56&gt;=65,"D — Useful","E — Supporting"))))</x:f>
        <x:v>A — Highest</x:v>
      </x:c>
      <x:c r="D56" s="10" t="str">
        <x:v>Quantum Experimental Pilot Lines for Quantum Technologies</x:v>
      </x:c>
      <x:c r="E56" s="10" t="str">
        <x:v>2026-08-13</x:v>
      </x:c>
      <x:c r="F56" s="10" t="str">
        <x:v>A</x:v>
      </x:c>
      <x:c r="G56" s="10" t="str">
        <x:v>EuroHPC Joint Undertaking</x:v>
      </x:c>
      <x:c r="H56" s="10" t="str">
        <x:v>EuroHPC Joint Undertaking</x:v>
      </x:c>
      <x:c r="I56" s="10" t="n">
        <x:v>55</x:v>
      </x:c>
      <x:c r="J56" s="10" t="str">
        <x:v>EU official / EU body</x:v>
      </x:c>
      <x:c r="K56" s="10" t="n">
        <x:v>25</x:v>
      </x:c>
      <x:c r="L56" s="10" t="str">
        <x:v>Direct EU relevance</x:v>
      </x:c>
      <x:c r="M56" s="10" t="n">
        <x:v>15</x:v>
      </x:c>
      <x:c r="N56" s="10" t="str">
        <x:v>Primary/official source</x:v>
      </x:c>
      <x:c r="O56" s="10" t="n">
        <x:v>4</x:v>
      </x:c>
      <x:c r="P56" s="10" t="str">
        <x:v>research/policy paper</x:v>
      </x:c>
      <x:c r="Q56" s="10" t="str">
        <x:v>direct</x:v>
      </x:c>
      <x:c r="R56" s="10" t="str">
        <x:v>https://www.eurohpc-ju.europa.eu/quantum-experimental-pilot-lines-quantum-technologies_en</x:v>
      </x:c>
    </x:row>
    <x:row r="57">
      <x:c r="A57" s="10" t="n">
        <x:f>RANK.EQ(B57,$B$2:$B$446,0)+COUNTIF($B$2:B57,B57)-1</x:f>
        <x:v>56</x:v>
      </x:c>
      <x:c r="B57" s="22" t="n">
        <x:f>I57+K57+M57+O57</x:f>
        <x:v>99</x:v>
      </x:c>
      <x:c r="C57" s="10" t="str">
        <x:f>IF(B57&gt;=93,"A — Highest",IF(B57&gt;=85,"B — Very strong",IF(B57&gt;=75,"C — Strong",IF(B57&gt;=65,"D — Useful","E — Supporting"))))</x:f>
        <x:v>A — Highest</x:v>
      </x:c>
      <x:c r="D57" s="10" t="str">
        <x:v>Quantum-Testing Infrastructure for Quantum Technologies</x:v>
      </x:c>
      <x:c r="E57" s="10" t="str">
        <x:v>2026-08-13</x:v>
      </x:c>
      <x:c r="F57" s="10" t="str">
        <x:v>A</x:v>
      </x:c>
      <x:c r="G57" s="10" t="str">
        <x:v>EuroHPC Joint Undertaking</x:v>
      </x:c>
      <x:c r="H57" s="10" t="str">
        <x:v>EuroHPC Joint Undertaking</x:v>
      </x:c>
      <x:c r="I57" s="10" t="n">
        <x:v>55</x:v>
      </x:c>
      <x:c r="J57" s="10" t="str">
        <x:v>EU official / EU body</x:v>
      </x:c>
      <x:c r="K57" s="10" t="n">
        <x:v>25</x:v>
      </x:c>
      <x:c r="L57" s="10" t="str">
        <x:v>Direct EU relevance</x:v>
      </x:c>
      <x:c r="M57" s="10" t="n">
        <x:v>15</x:v>
      </x:c>
      <x:c r="N57" s="10" t="str">
        <x:v>Primary/official source</x:v>
      </x:c>
      <x:c r="O57" s="10" t="n">
        <x:v>4</x:v>
      </x:c>
      <x:c r="P57" s="10" t="str">
        <x:v>research/policy paper</x:v>
      </x:c>
      <x:c r="Q57" s="10" t="str">
        <x:v>direct</x:v>
      </x:c>
      <x:c r="R57" s="10" t="str">
        <x:v>https://www.eurohpc-ju.europa.eu/quantum-testing-infrastructure-quantum-technologies_en</x:v>
      </x:c>
    </x:row>
    <x:row r="58">
      <x:c r="A58" s="10" t="n">
        <x:f>RANK.EQ(B58,$B$2:$B$446,0)+COUNTIF($B$2:B58,B58)-1</x:f>
        <x:v>57</x:v>
      </x:c>
      <x:c r="B58" s="22" t="n">
        <x:f>I58+K58+M58+O58</x:f>
        <x:v>99</x:v>
      </x:c>
      <x:c r="C58" s="10" t="str">
        <x:f>IF(B58&gt;=93,"A — Highest",IF(B58&gt;=85,"B — Very strong",IF(B58&gt;=75,"C — Strong",IF(B58&gt;=65,"D — Useful","E — Supporting"))))</x:f>
        <x:v>A — Highest</x:v>
      </x:c>
      <x:c r="D58" s="10" t="str">
        <x:v>International cooperation in research and innovation</x:v>
      </x:c>
      <x:c r="E58" s="10" t="str">
        <x:v>2026-08-07</x:v>
      </x:c>
      <x:c r="F58" s="10" t="str">
        <x:v>A</x:v>
      </x:c>
      <x:c r="G58" s="10" t="str">
        <x:v>European Commission — Research &amp; Innovation</x:v>
      </x:c>
      <x:c r="H58" s="10" t="str">
        <x:v>European Commission — Research &amp; Innovation</x:v>
      </x:c>
      <x:c r="I58" s="10" t="n">
        <x:v>55</x:v>
      </x:c>
      <x:c r="J58" s="10" t="str">
        <x:v>EU official / EU body</x:v>
      </x:c>
      <x:c r="K58" s="10" t="n">
        <x:v>25</x:v>
      </x:c>
      <x:c r="L58" s="10" t="str">
        <x:v>Direct EU relevance</x:v>
      </x:c>
      <x:c r="M58" s="10" t="n">
        <x:v>15</x:v>
      </x:c>
      <x:c r="N58" s="10" t="str">
        <x:v>Primary/official source</x:v>
      </x:c>
      <x:c r="O58" s="10" t="n">
        <x:v>4</x:v>
      </x:c>
      <x:c r="P58" s="10" t="str">
        <x:v>research/policy paper</x:v>
      </x:c>
      <x:c r="Q58" s="10" t="str">
        <x:v>direct</x:v>
      </x:c>
      <x:c r="R58" s="10" t="str">
        <x:v>https://research-and-innovation.ec.europa.eu/document/download/f3e10727-68a4-42de-8474-7e0d4c445b76_en?filename=Why%20and%20how%20to%20participate%20to%20Horizon%20Europe%20for%20international%20researchers.pdf</x:v>
      </x:c>
    </x:row>
    <x:row r="59">
      <x:c r="A59" s="10" t="n">
        <x:f>RANK.EQ(B59,$B$2:$B$446,0)+COUNTIF($B$2:B59,B59)-1</x:f>
        <x:v>58</x:v>
      </x:c>
      <x:c r="B59" s="22" t="n">
        <x:f>I59+K59+M59+O59</x:f>
        <x:v>99</x:v>
      </x:c>
      <x:c r="C59" s="10" t="str">
        <x:f>IF(B59&gt;=93,"A — Highest",IF(B59&gt;=85,"B — Very strong",IF(B59&gt;=75,"C — Strong",IF(B59&gt;=65,"D — Useful","E — Supporting"))))</x:f>
        <x:v>A — Highest</x:v>
      </x:c>
      <x:c r="D59" s="10" t="str">
        <x:v>Startup Europe - networking for tech start-ups</x:v>
      </x:c>
      <x:c r="E59" s="10" t="str">
        <x:v>2026-08-07</x:v>
      </x:c>
      <x:c r="F59" s="10" t="str">
        <x:v>A</x:v>
      </x:c>
      <x:c r="G59" s="10" t="str">
        <x:v>European Commission — Digital Strategy</x:v>
      </x:c>
      <x:c r="H59" s="10" t="str">
        <x:v>European Commission — Digital Strategy</x:v>
      </x:c>
      <x:c r="I59" s="10" t="n">
        <x:v>55</x:v>
      </x:c>
      <x:c r="J59" s="10" t="str">
        <x:v>EU official / EU body</x:v>
      </x:c>
      <x:c r="K59" s="10" t="n">
        <x:v>25</x:v>
      </x:c>
      <x:c r="L59" s="10" t="str">
        <x:v>Direct EU relevance</x:v>
      </x:c>
      <x:c r="M59" s="10" t="n">
        <x:v>15</x:v>
      </x:c>
      <x:c r="N59" s="10" t="str">
        <x:v>Primary/official source</x:v>
      </x:c>
      <x:c r="O59" s="10" t="n">
        <x:v>4</x:v>
      </x:c>
      <x:c r="P59" s="10" t="str">
        <x:v>official policy / institutional framework</x:v>
      </x:c>
      <x:c r="Q59" s="10" t="str">
        <x:v>direct</x:v>
      </x:c>
      <x:c r="R59" s="10" t="str">
        <x:v>https://digital-strategy.ec.europa.eu/en/policies/startup-europe</x:v>
      </x:c>
    </x:row>
    <x:row r="60">
      <x:c r="A60" s="10" t="n">
        <x:f>RANK.EQ(B60,$B$2:$B$446,0)+COUNTIF($B$2:B60,B60)-1</x:f>
        <x:v>59</x:v>
      </x:c>
      <x:c r="B60" s="22" t="n">
        <x:f>I60+K60+M60+O60</x:f>
        <x:v>99</x:v>
      </x:c>
      <x:c r="C60" s="10" t="str">
        <x:f>IF(B60&gt;=93,"A — Highest",IF(B60&gt;=85,"B — Very strong",IF(B60&gt;=75,"C — Strong",IF(B60&gt;=65,"D — Useful","E — Supporting"))))</x:f>
        <x:v>A — Highest</x:v>
      </x:c>
      <x:c r="D60" s="10" t="str">
        <x:v>Strengthening Europe’s Tech Sovereignty</x:v>
      </x:c>
      <x:c r="E60" s="10" t="str">
        <x:v>2026-08-07</x:v>
      </x:c>
      <x:c r="F60" s="10" t="str">
        <x:v>A</x:v>
      </x:c>
      <x:c r="G60" s="10" t="str">
        <x:v>European Commission — Digital Strategy</x:v>
      </x:c>
      <x:c r="H60" s="10" t="str">
        <x:v>European Commission — Digital Strategy</x:v>
      </x:c>
      <x:c r="I60" s="10" t="n">
        <x:v>55</x:v>
      </x:c>
      <x:c r="J60" s="10" t="str">
        <x:v>EU official / EU body</x:v>
      </x:c>
      <x:c r="K60" s="10" t="n">
        <x:v>25</x:v>
      </x:c>
      <x:c r="L60" s="10" t="str">
        <x:v>Direct EU relevance</x:v>
      </x:c>
      <x:c r="M60" s="10" t="n">
        <x:v>15</x:v>
      </x:c>
      <x:c r="N60" s="10" t="str">
        <x:v>Primary/official source</x:v>
      </x:c>
      <x:c r="O60" s="10" t="n">
        <x:v>4</x:v>
      </x:c>
      <x:c r="P60" s="10" t="str">
        <x:v>research/policy paper</x:v>
      </x:c>
      <x:c r="Q60" s="10" t="str">
        <x:v>direct</x:v>
      </x:c>
      <x:c r="R60" s="10" t="str">
        <x:v>https://digital-strategy.ec.europa.eu/en/policies/eu-tech-sovereignty</x:v>
      </x:c>
    </x:row>
    <x:row r="61">
      <x:c r="A61" s="10" t="n">
        <x:f>RANK.EQ(B61,$B$2:$B$446,0)+COUNTIF($B$2:B61,B61)-1</x:f>
        <x:v>60</x:v>
      </x:c>
      <x:c r="B61" s="22" t="n">
        <x:f>I61+K61+M61+O61</x:f>
        <x:v>99</x:v>
      </x:c>
      <x:c r="C61" s="10" t="str">
        <x:f>IF(B61&gt;=93,"A — Highest",IF(B61&gt;=85,"B — Very strong",IF(B61&gt;=75,"C — Strong",IF(B61&gt;=65,"D — Useful","E — Supporting"))))</x:f>
        <x:v>A — Highest</x:v>
      </x:c>
      <x:c r="D61" s="10" t="str">
        <x:v>EU Startup and Scaleup Strategy</x:v>
      </x:c>
      <x:c r="E61" s="10" t="str">
        <x:v>2026-08-04</x:v>
      </x:c>
      <x:c r="F61" s="10" t="str">
        <x:v>A</x:v>
      </x:c>
      <x:c r="G61" s="10" t="str">
        <x:v>European Commission — Research &amp; Innovation</x:v>
      </x:c>
      <x:c r="H61" s="10" t="str">
        <x:v>European Commission — Research &amp; Innovation</x:v>
      </x:c>
      <x:c r="I61" s="10" t="n">
        <x:v>55</x:v>
      </x:c>
      <x:c r="J61" s="10" t="str">
        <x:v>EU official / EU body</x:v>
      </x:c>
      <x:c r="K61" s="10" t="n">
        <x:v>25</x:v>
      </x:c>
      <x:c r="L61" s="10" t="str">
        <x:v>Direct EU relevance</x:v>
      </x:c>
      <x:c r="M61" s="10" t="n">
        <x:v>15</x:v>
      </x:c>
      <x:c r="N61" s="10" t="str">
        <x:v>Primary/official source</x:v>
      </x:c>
      <x:c r="O61" s="10" t="n">
        <x:v>4</x:v>
      </x:c>
      <x:c r="P61" s="10" t="str">
        <x:v>official policy / institutional framework</x:v>
      </x:c>
      <x:c r="Q61" s="10" t="str">
        <x:v>direct</x:v>
      </x:c>
      <x:c r="R61" s="10" t="str">
        <x:v>https://research-and-innovation.ec.europa.eu/document/download/2f76a0df-b09b-47c2-949c-800c30e4c530_en?filename=ec_rtd_eu-startup-scaleup-strategy-communication.pdf</x:v>
      </x:c>
    </x:row>
    <x:row r="62">
      <x:c r="A62" s="10" t="n">
        <x:f>RANK.EQ(B62,$B$2:$B$446,0)+COUNTIF($B$2:B62,B62)-1</x:f>
        <x:v>61</x:v>
      </x:c>
      <x:c r="B62" s="22" t="n">
        <x:f>I62+K62+M62+O62</x:f>
        <x:v>99</x:v>
      </x:c>
      <x:c r="C62" s="10" t="str">
        <x:f>IF(B62&gt;=93,"A — Highest",IF(B62&gt;=85,"B — Very strong",IF(B62&gt;=75,"C — Strong",IF(B62&gt;=65,"D — Useful","E — Supporting"))))</x:f>
        <x:v>A — Highest</x:v>
      </x:c>
      <x:c r="D62" s="10" t="str">
        <x:v>EU launches AI Gigafactories call to boost Europe's computing capacity and unlock more than €30 billion in investment</x:v>
      </x:c>
      <x:c r="E62" s="10" t="str">
        <x:v>2026-07-30</x:v>
      </x:c>
      <x:c r="F62" s="10" t="str">
        <x:v>A</x:v>
      </x:c>
      <x:c r="G62" s="10" t="str">
        <x:v>European Commission — Digital Strategy</x:v>
      </x:c>
      <x:c r="H62" s="10" t="str">
        <x:v>European Commission — Digital Strategy</x:v>
      </x:c>
      <x:c r="I62" s="10" t="n">
        <x:v>55</x:v>
      </x:c>
      <x:c r="J62" s="10" t="str">
        <x:v>EU official / EU body</x:v>
      </x:c>
      <x:c r="K62" s="10" t="n">
        <x:v>25</x:v>
      </x:c>
      <x:c r="L62" s="10" t="str">
        <x:v>Direct EU relevance</x:v>
      </x:c>
      <x:c r="M62" s="10" t="n">
        <x:v>15</x:v>
      </x:c>
      <x:c r="N62" s="10" t="str">
        <x:v>Primary/official source</x:v>
      </x:c>
      <x:c r="O62" s="10" t="n">
        <x:v>4</x:v>
      </x:c>
      <x:c r="P62" s="10" t="str">
        <x:v>official notice / primary source</x:v>
      </x:c>
      <x:c r="Q62" s="10" t="str">
        <x:v>direct</x:v>
      </x:c>
      <x:c r="R62" s="10" t="str">
        <x:v>https://digital-strategy.ec.europa.eu/en/news/eu-launches-ai-gigafactories-call-boost-europes-computing-capacity-and-unlock-more-eu30-billion</x:v>
      </x:c>
    </x:row>
    <x:row r="63">
      <x:c r="A63" s="10" t="n">
        <x:f>RANK.EQ(B63,$B$2:$B$446,0)+COUNTIF($B$2:B63,B63)-1</x:f>
        <x:v>62</x:v>
      </x:c>
      <x:c r="B63" s="22" t="n">
        <x:f>I63+K63+M63+O63</x:f>
        <x:v>99</x:v>
      </x:c>
      <x:c r="C63" s="10" t="str">
        <x:f>IF(B63&gt;=93,"A — Highest",IF(B63&gt;=85,"B — Very strong",IF(B63&gt;=75,"C — Strong",IF(B63&gt;=65,"D — Useful","E — Supporting"))))</x:f>
        <x:v>A — Highest</x:v>
      </x:c>
      <x:c r="D63" s="10" t="str">
        <x:v>EUMaster4HPC Programme continues advancing HPC Skills in Europe with new phase (2026–2032)</x:v>
      </x:c>
      <x:c r="E63" s="10" t="str">
        <x:v>2026-07-29</x:v>
      </x:c>
      <x:c r="F63" s="10" t="str">
        <x:v>A</x:v>
      </x:c>
      <x:c r="G63" s="10" t="str">
        <x:v>EuroHPC Joint Undertaking</x:v>
      </x:c>
      <x:c r="H63" s="10" t="str">
        <x:v>European High-Performance Computing Joint Undertaking</x:v>
      </x:c>
      <x:c r="I63" s="10" t="n">
        <x:v>55</x:v>
      </x:c>
      <x:c r="J63" s="10" t="str">
        <x:v>EU official / EU body</x:v>
      </x:c>
      <x:c r="K63" s="10" t="n">
        <x:v>25</x:v>
      </x:c>
      <x:c r="L63" s="10" t="str">
        <x:v>Direct EU relevance</x:v>
      </x:c>
      <x:c r="M63" s="10" t="n">
        <x:v>15</x:v>
      </x:c>
      <x:c r="N63" s="10" t="str">
        <x:v>Primary/official source</x:v>
      </x:c>
      <x:c r="O63" s="10" t="n">
        <x:v>4</x:v>
      </x:c>
      <x:c r="P63" s="10" t="str">
        <x:v>official policy / institutional framework</x:v>
      </x:c>
      <x:c r="Q63" s="10" t="str">
        <x:v>direct</x:v>
      </x:c>
      <x:c r="R63" s="10" t="str">
        <x:v>https://www.eurohpc-ju.europa.eu/eumaster4hpc-programme-continues-advancing-hpc-skills-europe-new-phase-2026-2032-2026-07-29_en</x:v>
      </x:c>
    </x:row>
    <x:row r="64">
      <x:c r="A64" s="10" t="n">
        <x:f>RANK.EQ(B64,$B$2:$B$446,0)+COUNTIF($B$2:B64,B64)-1</x:f>
        <x:v>63</x:v>
      </x:c>
      <x:c r="B64" s="22" t="n">
        <x:f>I64+K64+M64+O64</x:f>
        <x:v>99</x:v>
      </x:c>
      <x:c r="C64" s="10" t="str">
        <x:f>IF(B64&gt;=93,"A — Highest",IF(B64&gt;=85,"B — Very strong",IF(B64&gt;=75,"C — Strong",IF(B64&gt;=65,"D — Useful","E — Supporting"))))</x:f>
        <x:v>A — Highest</x:v>
      </x:c>
      <x:c r="D64" s="10" t="str">
        <x:v>Enhanced dialogue with EU countries</x:v>
      </x:c>
      <x:c r="E64" s="10" t="str">
        <x:v>2026-07-28</x:v>
      </x:c>
      <x:c r="F64" s="10" t="str">
        <x:v>A</x:v>
      </x:c>
      <x:c r="G64" s="10" t="str">
        <x:v>European Commission — Research &amp; Innovation</x:v>
      </x:c>
      <x:c r="H64" s="10" t="str">
        <x:v>European Commission — Research &amp; Innovation</x:v>
      </x:c>
      <x:c r="I64" s="10" t="n">
        <x:v>55</x:v>
      </x:c>
      <x:c r="J64" s="10" t="str">
        <x:v>EU official / EU body</x:v>
      </x:c>
      <x:c r="K64" s="10" t="n">
        <x:v>25</x:v>
      </x:c>
      <x:c r="L64" s="10" t="str">
        <x:v>Direct EU relevance</x:v>
      </x:c>
      <x:c r="M64" s="10" t="n">
        <x:v>15</x:v>
      </x:c>
      <x:c r="N64" s="10" t="str">
        <x:v>Primary/official source</x:v>
      </x:c>
      <x:c r="O64" s="10" t="n">
        <x:v>4</x:v>
      </x:c>
      <x:c r="P64" s="10" t="str">
        <x:v>official policy / institutional framework</x:v>
      </x:c>
      <x:c r="Q64" s="10" t="str">
        <x:v>direct</x:v>
      </x:c>
      <x:c r="R64" s="10" t="str">
        <x:v>https://research-and-innovation.ec.europa.eu/strategy/support-policy-making/support-national-research-and-innovation-policy-making/enhanced-dialogue-eu-countries_en</x:v>
      </x:c>
    </x:row>
    <x:row r="65">
      <x:c r="A65" s="10" t="n">
        <x:f>RANK.EQ(B65,$B$2:$B$446,0)+COUNTIF($B$2:B65,B65)-1</x:f>
        <x:v>64</x:v>
      </x:c>
      <x:c r="B65" s="22" t="n">
        <x:f>I65+K65+M65+O65</x:f>
        <x:v>99</x:v>
      </x:c>
      <x:c r="C65" s="10" t="str">
        <x:f>IF(B65&gt;=93,"A — Highest",IF(B65&gt;=85,"B — Very strong",IF(B65&gt;=75,"C — Strong",IF(B65&gt;=65,"D — Useful","E — Supporting"))))</x:f>
        <x:v>A — Highest</x:v>
      </x:c>
      <x:c r="D65" s="10" t="str">
        <x:v>The EIC selects new European scale-ups for STEP Scale Up investments</x:v>
      </x:c>
      <x:c r="E65" s="10" t="str">
        <x:v>2026-07-28</x:v>
      </x:c>
      <x:c r="F65" s="10" t="str">
        <x:v>A</x:v>
      </x:c>
      <x:c r="G65" s="10" t="str">
        <x:v>European Innovation Council</x:v>
      </x:c>
      <x:c r="H65" s="10" t="str">
        <x:v>European Innovation Council and SMEs Executive Agency</x:v>
      </x:c>
      <x:c r="I65" s="10" t="n">
        <x:v>55</x:v>
      </x:c>
      <x:c r="J65" s="10" t="str">
        <x:v>EU official / EU body</x:v>
      </x:c>
      <x:c r="K65" s="10" t="n">
        <x:v>25</x:v>
      </x:c>
      <x:c r="L65" s="10" t="str">
        <x:v>Direct EU relevance</x:v>
      </x:c>
      <x:c r="M65" s="10" t="n">
        <x:v>15</x:v>
      </x:c>
      <x:c r="N65" s="10" t="str">
        <x:v>Primary/official source</x:v>
      </x:c>
      <x:c r="O65" s="10" t="n">
        <x:v>4</x:v>
      </x:c>
      <x:c r="P65" s="10" t="str">
        <x:v>official notice / primary source</x:v>
      </x:c>
      <x:c r="Q65" s="10" t="str">
        <x:v>direct</x:v>
      </x:c>
      <x:c r="R65" s="10" t="str">
        <x:v>https://eic.ec.europa.eu/news/eic-selects-new-european-scale-ups-step-scale-investments-2026-07-28_en</x:v>
      </x:c>
    </x:row>
    <x:row r="66">
      <x:c r="A66" s="10" t="n">
        <x:f>RANK.EQ(B66,$B$2:$B$446,0)+COUNTIF($B$2:B66,B66)-1</x:f>
        <x:v>65</x:v>
      </x:c>
      <x:c r="B66" s="22" t="n">
        <x:f>I66+K66+M66+O66</x:f>
        <x:v>99</x:v>
      </x:c>
      <x:c r="C66" s="10" t="str">
        <x:f>IF(B66&gt;=93,"A — Highest",IF(B66&gt;=85,"B — Very strong",IF(B66&gt;=75,"C — Strong",IF(B66&gt;=65,"D — Useful","E — Supporting"))))</x:f>
        <x:v>A — Highest</x:v>
      </x:c>
      <x:c r="D66" s="10" t="str">
        <x:v>International cooperation with India in research and innovation</x:v>
      </x:c>
      <x:c r="E66" s="10" t="str">
        <x:v>2026-07-15</x:v>
      </x:c>
      <x:c r="F66" s="10" t="str">
        <x:v>A</x:v>
      </x:c>
      <x:c r="G66" s="10" t="str">
        <x:v>European Commission — Research &amp; Innovation</x:v>
      </x:c>
      <x:c r="H66" s="10" t="str">
        <x:v>European Commission — Research &amp; Innovation</x:v>
      </x:c>
      <x:c r="I66" s="10" t="n">
        <x:v>55</x:v>
      </x:c>
      <x:c r="J66" s="10" t="str">
        <x:v>EU official / EU body</x:v>
      </x:c>
      <x:c r="K66" s="10" t="n">
        <x:v>25</x:v>
      </x:c>
      <x:c r="L66" s="10" t="str">
        <x:v>Direct EU relevance</x:v>
      </x:c>
      <x:c r="M66" s="10" t="n">
        <x:v>15</x:v>
      </x:c>
      <x:c r="N66" s="10" t="str">
        <x:v>Primary/official source</x:v>
      </x:c>
      <x:c r="O66" s="10" t="n">
        <x:v>4</x:v>
      </x:c>
      <x:c r="P66" s="10" t="str">
        <x:v>research/policy paper</x:v>
      </x:c>
      <x:c r="Q66" s="10" t="str">
        <x:v>direct</x:v>
      </x:c>
      <x:c r="R66" s="10" t="str">
        <x:v>https://research-and-innovation.ec.europa.eu/strategy/strategy-research-and-innovation/europe-world/international-cooperation/bilateral-cooperation-science-and-technology-agreements-non-eu-countries/india_en</x:v>
      </x:c>
    </x:row>
    <x:row r="67">
      <x:c r="A67" s="10" t="n">
        <x:f>RANK.EQ(B67,$B$2:$B$446,0)+COUNTIF($B$2:B67,B67)-1</x:f>
        <x:v>66</x:v>
      </x:c>
      <x:c r="B67" s="22" t="n">
        <x:f>I67+K67+M67+O67</x:f>
        <x:v>99</x:v>
      </x:c>
      <x:c r="C67" s="10" t="str">
        <x:f>IF(B67&gt;=93,"A — Highest",IF(B67&gt;=85,"B — Very strong",IF(B67&gt;=75,"C — Strong",IF(B67&gt;=65,"D — Useful","E — Supporting"))))</x:f>
        <x:v>A — Highest</x:v>
      </x:c>
      <x:c r="D67" s="10" t="str">
        <x:v>Programme for agile and rapid defence innovation: Council and Parliament reach political agreement</x:v>
      </x:c>
      <x:c r="E67" s="10" t="str">
        <x:v>2026-07-15</x:v>
      </x:c>
      <x:c r="F67" s="10" t="str">
        <x:v>A</x:v>
      </x:c>
      <x:c r="G67" s="10" t="str">
        <x:v>Council of the European Union</x:v>
      </x:c>
      <x:c r="H67" s="10" t="str">
        <x:v>Council of the EU / European Parliament</x:v>
      </x:c>
      <x:c r="I67" s="10" t="n">
        <x:v>55</x:v>
      </x:c>
      <x:c r="J67" s="10" t="str">
        <x:v>EU official / EU body</x:v>
      </x:c>
      <x:c r="K67" s="10" t="n">
        <x:v>25</x:v>
      </x:c>
      <x:c r="L67" s="10" t="str">
        <x:v>Direct EU relevance</x:v>
      </x:c>
      <x:c r="M67" s="10" t="n">
        <x:v>15</x:v>
      </x:c>
      <x:c r="N67" s="10" t="str">
        <x:v>Primary/official source</x:v>
      </x:c>
      <x:c r="O67" s="10" t="n">
        <x:v>4</x:v>
      </x:c>
      <x:c r="P67" s="10" t="str">
        <x:v>manual-verified scholarly/policy source</x:v>
      </x:c>
      <x:c r="Q67" s="10" t="str">
        <x:v>direct</x:v>
      </x:c>
      <x:c r="R67" s="10" t="str">
        <x:v>https://www.consilium.europa.eu/en/press/press-releases/2026/07/15/programme-for-agile-and-rapid-defence-innovation-council-and-parliament-reach-political-agreement/</x:v>
      </x:c>
    </x:row>
    <x:row r="68">
      <x:c r="A68" s="10" t="n">
        <x:f>RANK.EQ(B68,$B$2:$B$446,0)+COUNTIF($B$2:B68,B68)-1</x:f>
        <x:v>67</x:v>
      </x:c>
      <x:c r="B68" s="22" t="n">
        <x:f>I68+K68+M68+O68</x:f>
        <x:v>99</x:v>
      </x:c>
      <x:c r="C68" s="10" t="str">
        <x:f>IF(B68&gt;=93,"A — Highest",IF(B68&gt;=85,"B — Very strong",IF(B68&gt;=75,"C — Strong",IF(B68&gt;=65,"D — Useful","E — Supporting"))))</x:f>
        <x:v>A — Highest</x:v>
      </x:c>
      <x:c r="D68" s="10" t="str">
        <x:v>Big science, fair access</x:v>
      </x:c>
      <x:c r="E68" s="10" t="str">
        <x:v>2026-07-13</x:v>
      </x:c>
      <x:c r="F68" s="10" t="str">
        <x:v>A</x:v>
      </x:c>
      <x:c r="G68" s="10" t="str">
        <x:v>European Research Council</x:v>
      </x:c>
      <x:c r="H68" s="10" t="str">
        <x:v>European Research Council</x:v>
      </x:c>
      <x:c r="I68" s="10" t="n">
        <x:v>55</x:v>
      </x:c>
      <x:c r="J68" s="10" t="str">
        <x:v>EU official / EU body</x:v>
      </x:c>
      <x:c r="K68" s="10" t="n">
        <x:v>25</x:v>
      </x:c>
      <x:c r="L68" s="10" t="str">
        <x:v>Direct EU relevance</x:v>
      </x:c>
      <x:c r="M68" s="10" t="n">
        <x:v>15</x:v>
      </x:c>
      <x:c r="N68" s="10" t="str">
        <x:v>Primary/official source</x:v>
      </x:c>
      <x:c r="O68" s="10" t="n">
        <x:v>4</x:v>
      </x:c>
      <x:c r="P68" s="10" t="str">
        <x:v>research/policy paper</x:v>
      </x:c>
      <x:c r="Q68" s="10" t="str">
        <x:v>direct</x:v>
      </x:c>
      <x:c r="R68" s="10" t="str">
        <x:v>https://erc.europa.eu/news-events/magazine-article/big-science-fair-access</x:v>
      </x:c>
    </x:row>
    <x:row r="69">
      <x:c r="A69" s="10" t="n">
        <x:f>RANK.EQ(B69,$B$2:$B$446,0)+COUNTIF($B$2:B69,B69)-1</x:f>
        <x:v>68</x:v>
      </x:c>
      <x:c r="B69" s="22" t="n">
        <x:f>I69+K69+M69+O69</x:f>
        <x:v>99</x:v>
      </x:c>
      <x:c r="C69" s="10" t="str">
        <x:f>IF(B69&gt;=93,"A — Highest",IF(B69&gt;=85,"B — Very strong",IF(B69&gt;=75,"C — Strong",IF(B69&gt;=65,"D — Useful","E — Supporting"))))</x:f>
        <x:v>A — Highest</x:v>
      </x:c>
      <x:c r="D69" s="10" t="str">
        <x:v>Excellence through equity</x:v>
      </x:c>
      <x:c r="E69" s="10" t="str">
        <x:v>2026-07-13</x:v>
      </x:c>
      <x:c r="F69" s="10" t="str">
        <x:v>A</x:v>
      </x:c>
      <x:c r="G69" s="10" t="str">
        <x:v>European Research Council</x:v>
      </x:c>
      <x:c r="H69" s="10" t="str">
        <x:v>European Research Council</x:v>
      </x:c>
      <x:c r="I69" s="10" t="n">
        <x:v>55</x:v>
      </x:c>
      <x:c r="J69" s="10" t="str">
        <x:v>EU official / EU body</x:v>
      </x:c>
      <x:c r="K69" s="10" t="n">
        <x:v>25</x:v>
      </x:c>
      <x:c r="L69" s="10" t="str">
        <x:v>Direct EU relevance</x:v>
      </x:c>
      <x:c r="M69" s="10" t="n">
        <x:v>15</x:v>
      </x:c>
      <x:c r="N69" s="10" t="str">
        <x:v>Primary/official source</x:v>
      </x:c>
      <x:c r="O69" s="10" t="n">
        <x:v>4</x:v>
      </x:c>
      <x:c r="P69" s="10" t="str">
        <x:v>research/policy paper</x:v>
      </x:c>
      <x:c r="Q69" s="10" t="str">
        <x:v>direct</x:v>
      </x:c>
      <x:c r="R69" s="10" t="str">
        <x:v>https://erc.europa.eu/news-events/magazine-article/excellence-through-equity</x:v>
      </x:c>
    </x:row>
    <x:row r="70">
      <x:c r="A70" s="10" t="n">
        <x:f>RANK.EQ(B70,$B$2:$B$446,0)+COUNTIF($B$2:B70,B70)-1</x:f>
        <x:v>69</x:v>
      </x:c>
      <x:c r="B70" s="22" t="n">
        <x:f>I70+K70+M70+O70</x:f>
        <x:v>99</x:v>
      </x:c>
      <x:c r="C70" s="10" t="str">
        <x:f>IF(B70&gt;=93,"A — Highest",IF(B70&gt;=85,"B — Very strong",IF(B70&gt;=75,"C — Strong",IF(B70&gt;=65,"D — Useful","E — Supporting"))))</x:f>
        <x:v>A — Highest</x:v>
      </x:c>
      <x:c r="D70" s="10" t="str">
        <x:v>Who writes the rules of science?</x:v>
      </x:c>
      <x:c r="E70" s="10" t="str">
        <x:v>2026-07-13</x:v>
      </x:c>
      <x:c r="F70" s="10" t="str">
        <x:v>A</x:v>
      </x:c>
      <x:c r="G70" s="10" t="str">
        <x:v>European Research Council</x:v>
      </x:c>
      <x:c r="H70" s="10" t="str">
        <x:v>European Research Council</x:v>
      </x:c>
      <x:c r="I70" s="10" t="n">
        <x:v>55</x:v>
      </x:c>
      <x:c r="J70" s="10" t="str">
        <x:v>EU official / EU body</x:v>
      </x:c>
      <x:c r="K70" s="10" t="n">
        <x:v>25</x:v>
      </x:c>
      <x:c r="L70" s="10" t="str">
        <x:v>Direct EU relevance</x:v>
      </x:c>
      <x:c r="M70" s="10" t="n">
        <x:v>15</x:v>
      </x:c>
      <x:c r="N70" s="10" t="str">
        <x:v>Primary/official source</x:v>
      </x:c>
      <x:c r="O70" s="10" t="n">
        <x:v>4</x:v>
      </x:c>
      <x:c r="P70" s="10" t="str">
        <x:v>research/policy paper</x:v>
      </x:c>
      <x:c r="Q70" s="10" t="str">
        <x:v>direct</x:v>
      </x:c>
      <x:c r="R70" s="10" t="str">
        <x:v>https://erc.europa.eu/news-events/magazine-article/who-writes-rules-science</x:v>
      </x:c>
    </x:row>
    <x:row r="71">
      <x:c r="A71" s="10" t="n">
        <x:f>RANK.EQ(B71,$B$2:$B$446,0)+COUNTIF($B$2:B71,B71)-1</x:f>
        <x:v>70</x:v>
      </x:c>
      <x:c r="B71" s="22" t="n">
        <x:f>I71+K71+M71+O71</x:f>
        <x:v>99</x:v>
      </x:c>
      <x:c r="C71" s="10" t="str">
        <x:f>IF(B71&gt;=93,"A — Highest",IF(B71&gt;=85,"B — Very strong",IF(B71&gt;=75,"C — Strong",IF(B71&gt;=65,"D — Useful","E — Supporting"))))</x:f>
        <x:v>A — Highest</x:v>
      </x:c>
      <x:c r="D71" s="10" t="str">
        <x:v>Europe launches €80 billion investment alliance to scale up tech leaders</x:v>
      </x:c>
      <x:c r="E71" s="10" t="str">
        <x:v>2026-07-10</x:v>
      </x:c>
      <x:c r="F71" s="10" t="str">
        <x:v>A</x:v>
      </x:c>
      <x:c r="G71" s="10" t="str">
        <x:v>European Investment Bank</x:v>
      </x:c>
      <x:c r="H71" s="10" t="str">
        <x:v>European Investment Bank</x:v>
      </x:c>
      <x:c r="I71" s="10" t="n">
        <x:v>55</x:v>
      </x:c>
      <x:c r="J71" s="10" t="str">
        <x:v>EU official / EU body</x:v>
      </x:c>
      <x:c r="K71" s="10" t="n">
        <x:v>25</x:v>
      </x:c>
      <x:c r="L71" s="10" t="str">
        <x:v>Direct EU relevance</x:v>
      </x:c>
      <x:c r="M71" s="10" t="n">
        <x:v>15</x:v>
      </x:c>
      <x:c r="N71" s="10" t="str">
        <x:v>Primary/official source</x:v>
      </x:c>
      <x:c r="O71" s="10" t="n">
        <x:v>4</x:v>
      </x:c>
      <x:c r="P71" s="10" t="str">
        <x:v>manual-verified scholarly/policy source</x:v>
      </x:c>
      <x:c r="Q71" s="10" t="str">
        <x:v>direct</x:v>
      </x:c>
      <x:c r="R71" s="10" t="str">
        <x:v>https://www.eib.org/en/press/all/2026-244-europe-launches-eur80-billion-investment-alliance-to-scale-up-tech-leaders</x:v>
      </x:c>
    </x:row>
    <x:row r="72">
      <x:c r="A72" s="10" t="n">
        <x:f>RANK.EQ(B72,$B$2:$B$446,0)+COUNTIF($B$2:B72,B72)-1</x:f>
        <x:v>71</x:v>
      </x:c>
      <x:c r="B72" s="22" t="n">
        <x:f>I72+K72+M72+O72</x:f>
        <x:v>99</x:v>
      </x:c>
      <x:c r="C72" s="10" t="str">
        <x:f>IF(B72&gt;=93,"A — Highest",IF(B72&gt;=85,"B — Very strong",IF(B72&gt;=75,"C — Strong",IF(B72&gt;=65,"D — Useful","E — Supporting"))))</x:f>
        <x:v>A — Highest</x:v>
      </x:c>
      <x:c r="D72" s="10" t="str">
        <x:v>How ERC frontier research strengthens Europe’s competitiveness</x:v>
      </x:c>
      <x:c r="E72" s="10" t="str">
        <x:v>2026-06-30</x:v>
      </x:c>
      <x:c r="F72" s="10" t="str">
        <x:v>A</x:v>
      </x:c>
      <x:c r="G72" s="10" t="str">
        <x:v>European Research Council</x:v>
      </x:c>
      <x:c r="H72" s="10" t="str">
        <x:v>European Research Council</x:v>
      </x:c>
      <x:c r="I72" s="10" t="n">
        <x:v>55</x:v>
      </x:c>
      <x:c r="J72" s="10" t="str">
        <x:v>EU official / EU body</x:v>
      </x:c>
      <x:c r="K72" s="10" t="n">
        <x:v>25</x:v>
      </x:c>
      <x:c r="L72" s="10" t="str">
        <x:v>Direct EU relevance</x:v>
      </x:c>
      <x:c r="M72" s="10" t="n">
        <x:v>15</x:v>
      </x:c>
      <x:c r="N72" s="10" t="str">
        <x:v>Primary/official source</x:v>
      </x:c>
      <x:c r="O72" s="10" t="n">
        <x:v>4</x:v>
      </x:c>
      <x:c r="P72" s="10" t="str">
        <x:v>institutional report</x:v>
      </x:c>
      <x:c r="Q72" s="10" t="str">
        <x:v>direct</x:v>
      </x:c>
      <x:c r="R72" s="10" t="str">
        <x:v>https://erc.europa.eu/sites/default/files/2025-06/Exploring-the-innovation-potential-ERC-funded-research.pdf</x:v>
      </x:c>
    </x:row>
    <x:row r="73">
      <x:c r="A73" s="10" t="n">
        <x:f>RANK.EQ(B73,$B$2:$B$446,0)+COUNTIF($B$2:B73,B73)-1</x:f>
        <x:v>72</x:v>
      </x:c>
      <x:c r="B73" s="22" t="n">
        <x:f>I73+K73+M73+O73</x:f>
        <x:v>99</x:v>
      </x:c>
      <x:c r="C73" s="10" t="str">
        <x:f>IF(B73&gt;=93,"A — Highest",IF(B73&gt;=85,"B — Very strong",IF(B73&gt;=75,"C — Strong",IF(B73&gt;=65,"D — Useful","E — Supporting"))))</x:f>
        <x:v>A — Highest</x:v>
      </x:c>
      <x:c r="D73" s="10" t="str">
        <x:v>Research and innovation funding for democracy and governance</x:v>
      </x:c>
      <x:c r="E73" s="10" t="str">
        <x:v>2026-06-30</x:v>
      </x:c>
      <x:c r="F73" s="10" t="str">
        <x:v>A</x:v>
      </x:c>
      <x:c r="G73" s="10" t="str">
        <x:v>European Commission — Research &amp; Innovation</x:v>
      </x:c>
      <x:c r="H73" s="10" t="str">
        <x:v>European Commission — Research &amp; Innovation</x:v>
      </x:c>
      <x:c r="I73" s="10" t="n">
        <x:v>55</x:v>
      </x:c>
      <x:c r="J73" s="10" t="str">
        <x:v>EU official / EU body</x:v>
      </x:c>
      <x:c r="K73" s="10" t="n">
        <x:v>25</x:v>
      </x:c>
      <x:c r="L73" s="10" t="str">
        <x:v>Direct EU relevance</x:v>
      </x:c>
      <x:c r="M73" s="10" t="n">
        <x:v>15</x:v>
      </x:c>
      <x:c r="N73" s="10" t="str">
        <x:v>Primary/official source</x:v>
      </x:c>
      <x:c r="O73" s="10" t="n">
        <x:v>4</x:v>
      </x:c>
      <x:c r="P73" s="10" t="str">
        <x:v>official policy / institutional framework</x:v>
      </x:c>
      <x:c r="Q73" s="10" t="str">
        <x:v>direct</x:v>
      </x:c>
      <x:c r="R73" s="10" t="str">
        <x:v>https://research-and-innovation.ec.europa.eu/research-area/social-sciences-and-humanities/research-and-innovation-funding-democracy-and-governance_en</x:v>
      </x:c>
    </x:row>
    <x:row r="74">
      <x:c r="A74" s="10" t="n">
        <x:f>RANK.EQ(B74,$B$2:$B$446,0)+COUNTIF($B$2:B74,B74)-1</x:f>
        <x:v>73</x:v>
      </x:c>
      <x:c r="B74" s="22" t="n">
        <x:f>I74+K74+M74+O74</x:f>
        <x:v>99</x:v>
      </x:c>
      <x:c r="C74" s="10" t="str">
        <x:f>IF(B74&gt;=93,"A — Highest",IF(B74&gt;=85,"B — Very strong",IF(B74&gt;=75,"C — Strong",IF(B74&gt;=65,"D — Useful","E — Supporting"))))</x:f>
        <x:v>A — Highest</x:v>
      </x:c>
      <x:c r="D74" s="10" t="str">
        <x:v>EuroHPC JU Opens Access to its Quantum Computers</x:v>
      </x:c>
      <x:c r="E74" s="10" t="str">
        <x:v>2026-06-25</x:v>
      </x:c>
      <x:c r="F74" s="10" t="str">
        <x:v>A</x:v>
      </x:c>
      <x:c r="G74" s="10" t="str">
        <x:v>EuroHPC Joint Undertaking</x:v>
      </x:c>
      <x:c r="H74" s="10" t="str">
        <x:v>European High-Performance Computing Joint Undertaking</x:v>
      </x:c>
      <x:c r="I74" s="10" t="n">
        <x:v>55</x:v>
      </x:c>
      <x:c r="J74" s="10" t="str">
        <x:v>EU official / EU body</x:v>
      </x:c>
      <x:c r="K74" s="10" t="n">
        <x:v>25</x:v>
      </x:c>
      <x:c r="L74" s="10" t="str">
        <x:v>Direct EU relevance</x:v>
      </x:c>
      <x:c r="M74" s="10" t="n">
        <x:v>15</x:v>
      </x:c>
      <x:c r="N74" s="10" t="str">
        <x:v>Primary/official source</x:v>
      </x:c>
      <x:c r="O74" s="10" t="n">
        <x:v>4</x:v>
      </x:c>
      <x:c r="P74" s="10" t="str">
        <x:v>research/policy paper</x:v>
      </x:c>
      <x:c r="Q74" s="10" t="str">
        <x:v>direct</x:v>
      </x:c>
      <x:c r="R74" s="10" t="str">
        <x:v>https://www.eurohpc-ju.europa.eu/eurohpc-ju-opens-access-its-quantum-computers-2026-06-25_en</x:v>
      </x:c>
    </x:row>
    <x:row r="75">
      <x:c r="A75" s="10" t="n">
        <x:f>RANK.EQ(B75,$B$2:$B$446,0)+COUNTIF($B$2:B75,B75)-1</x:f>
        <x:v>74</x:v>
      </x:c>
      <x:c r="B75" s="22" t="n">
        <x:f>I75+K75+M75+O75</x:f>
        <x:v>99</x:v>
      </x:c>
      <x:c r="C75" s="10" t="str">
        <x:f>IF(B75&gt;=93,"A — Highest",IF(B75&gt;=85,"B — Very strong",IF(B75&gt;=75,"C — Strong",IF(B75&gt;=65,"D — Useful","E — Supporting"))))</x:f>
        <x:v>A — Highest</x:v>
      </x:c>
      <x:c r="D75" s="10" t="str">
        <x:v>European Research Area</x:v>
      </x:c>
      <x:c r="E75" s="10" t="str">
        <x:v>2026-06-25</x:v>
      </x:c>
      <x:c r="F75" s="10" t="str">
        <x:v>A</x:v>
      </x:c>
      <x:c r="G75" s="10" t="str">
        <x:v>European Commission — Research &amp; Innovation</x:v>
      </x:c>
      <x:c r="H75" s="10" t="str">
        <x:v>European Commission — Research &amp; Innovation</x:v>
      </x:c>
      <x:c r="I75" s="10" t="n">
        <x:v>55</x:v>
      </x:c>
      <x:c r="J75" s="10" t="str">
        <x:v>EU official / EU body</x:v>
      </x:c>
      <x:c r="K75" s="10" t="n">
        <x:v>25</x:v>
      </x:c>
      <x:c r="L75" s="10" t="str">
        <x:v>Direct EU relevance</x:v>
      </x:c>
      <x:c r="M75" s="10" t="n">
        <x:v>15</x:v>
      </x:c>
      <x:c r="N75" s="10" t="str">
        <x:v>Primary/official source</x:v>
      </x:c>
      <x:c r="O75" s="10" t="n">
        <x:v>4</x:v>
      </x:c>
      <x:c r="P75" s="10" t="str">
        <x:v>research/policy paper</x:v>
      </x:c>
      <x:c r="Q75" s="10" t="str">
        <x:v>direct</x:v>
      </x:c>
      <x:c r="R75" s="10" t="str">
        <x:v>https://research-and-innovation.ec.europa.eu/strategy/strategy-research-and-innovation/our-digital-future/european-research-area_en</x:v>
      </x:c>
    </x:row>
    <x:row r="76">
      <x:c r="A76" s="10" t="n">
        <x:f>RANK.EQ(B76,$B$2:$B$446,0)+COUNTIF($B$2:B76,B76)-1</x:f>
        <x:v>75</x:v>
      </x:c>
      <x:c r="B76" s="22" t="n">
        <x:f>I76+K76+M76+O76</x:f>
        <x:v>99</x:v>
      </x:c>
      <x:c r="C76" s="10" t="str">
        <x:f>IF(B76&gt;=93,"A — Highest",IF(B76&gt;=85,"B — Very strong",IF(B76&gt;=75,"C — Strong",IF(B76&gt;=65,"D — Useful","E — Supporting"))))</x:f>
        <x:v>A — Highest</x:v>
      </x:c>
      <x:c r="D76" s="10" t="str">
        <x:v>International cooperation with Serbia in research and innovation</x:v>
      </x:c>
      <x:c r="E76" s="10" t="str">
        <x:v>2026-06-23</x:v>
      </x:c>
      <x:c r="F76" s="10" t="str">
        <x:v>A</x:v>
      </x:c>
      <x:c r="G76" s="10" t="str">
        <x:v>European Commission — Research &amp; Innovation</x:v>
      </x:c>
      <x:c r="H76" s="10" t="str">
        <x:v>European Commission — Research &amp; Innovation</x:v>
      </x:c>
      <x:c r="I76" s="10" t="n">
        <x:v>55</x:v>
      </x:c>
      <x:c r="J76" s="10" t="str">
        <x:v>EU official / EU body</x:v>
      </x:c>
      <x:c r="K76" s="10" t="n">
        <x:v>25</x:v>
      </x:c>
      <x:c r="L76" s="10" t="str">
        <x:v>Direct EU relevance</x:v>
      </x:c>
      <x:c r="M76" s="10" t="n">
        <x:v>15</x:v>
      </x:c>
      <x:c r="N76" s="10" t="str">
        <x:v>Primary/official source</x:v>
      </x:c>
      <x:c r="O76" s="10" t="n">
        <x:v>4</x:v>
      </x:c>
      <x:c r="P76" s="10" t="str">
        <x:v>research/policy paper</x:v>
      </x:c>
      <x:c r="Q76" s="10" t="str">
        <x:v>direct</x:v>
      </x:c>
      <x:c r="R76" s="10" t="str">
        <x:v>https://research-and-innovation.ec.europa.eu/strategy/strategy-research-and-innovation/europe-world/international-cooperation/association-horizon-europe/serbia_en</x:v>
      </x:c>
    </x:row>
    <x:row r="77">
      <x:c r="A77" s="10" t="n">
        <x:f>RANK.EQ(B77,$B$2:$B$446,0)+COUNTIF($B$2:B77,B77)-1</x:f>
        <x:v>76</x:v>
      </x:c>
      <x:c r="B77" s="22" t="n">
        <x:f>I77+K77+M77+O77</x:f>
        <x:v>99</x:v>
      </x:c>
      <x:c r="C77" s="10" t="str">
        <x:f>IF(B77&gt;=93,"A — Highest",IF(B77&gt;=85,"B — Very strong",IF(B77&gt;=75,"C — Strong",IF(B77&gt;=65,"D — Useful","E — Supporting"))))</x:f>
        <x:v>A — Highest</x:v>
      </x:c>
      <x:c r="D77" s="10" t="str">
        <x:v>Two New EuroHPC Systems Join the TOP500 as JUPITER Remains Among the World's Fastest Supercomputers</x:v>
      </x:c>
      <x:c r="E77" s="10" t="str">
        <x:v>2026-06-23</x:v>
      </x:c>
      <x:c r="F77" s="10" t="str">
        <x:v>A</x:v>
      </x:c>
      <x:c r="G77" s="10" t="str">
        <x:v>EuroHPC Joint Undertaking</x:v>
      </x:c>
      <x:c r="H77" s="10" t="str">
        <x:v>European High-Performance Computing Joint Undertaking</x:v>
      </x:c>
      <x:c r="I77" s="10" t="n">
        <x:v>55</x:v>
      </x:c>
      <x:c r="J77" s="10" t="str">
        <x:v>EU official / EU body</x:v>
      </x:c>
      <x:c r="K77" s="10" t="n">
        <x:v>25</x:v>
      </x:c>
      <x:c r="L77" s="10" t="str">
        <x:v>Direct EU relevance</x:v>
      </x:c>
      <x:c r="M77" s="10" t="n">
        <x:v>15</x:v>
      </x:c>
      <x:c r="N77" s="10" t="str">
        <x:v>Primary/official source</x:v>
      </x:c>
      <x:c r="O77" s="10" t="n">
        <x:v>4</x:v>
      </x:c>
      <x:c r="P77" s="10" t="str">
        <x:v>research/policy paper</x:v>
      </x:c>
      <x:c r="Q77" s="10" t="str">
        <x:v>direct</x:v>
      </x:c>
      <x:c r="R77" s="10" t="str">
        <x:v>https://www.eurohpc-ju.europa.eu/two-new-eurohpc-systems-join-top500-jupiter-remains-among-worlds-fastest-supercomputers-2026-06-23_en</x:v>
      </x:c>
    </x:row>
    <x:row r="78">
      <x:c r="A78" s="10" t="n">
        <x:f>RANK.EQ(B78,$B$2:$B$446,0)+COUNTIF($B$2:B78,B78)-1</x:f>
        <x:v>77</x:v>
      </x:c>
      <x:c r="B78" s="22" t="n">
        <x:f>I78+K78+M78+O78</x:f>
        <x:v>99</x:v>
      </x:c>
      <x:c r="C78" s="10" t="str">
        <x:f>IF(B78&gt;=93,"A — Highest",IF(B78&gt;=85,"B — Very strong",IF(B78&gt;=75,"C — Strong",IF(B78&gt;=65,"D — Useful","E — Supporting"))))</x:f>
        <x:v>A — Highest</x:v>
      </x:c>
      <x:c r="D78" s="10" t="str">
        <x:v>International cooperation with Montenegro in research and innovation</x:v>
      </x:c>
      <x:c r="E78" s="10" t="str">
        <x:v>2026-06-22</x:v>
      </x:c>
      <x:c r="F78" s="10" t="str">
        <x:v>A</x:v>
      </x:c>
      <x:c r="G78" s="10" t="str">
        <x:v>European Commission — Research &amp; Innovation</x:v>
      </x:c>
      <x:c r="H78" s="10" t="str">
        <x:v>European Commission — Research &amp; Innovation</x:v>
      </x:c>
      <x:c r="I78" s="10" t="n">
        <x:v>55</x:v>
      </x:c>
      <x:c r="J78" s="10" t="str">
        <x:v>EU official / EU body</x:v>
      </x:c>
      <x:c r="K78" s="10" t="n">
        <x:v>25</x:v>
      </x:c>
      <x:c r="L78" s="10" t="str">
        <x:v>Direct EU relevance</x:v>
      </x:c>
      <x:c r="M78" s="10" t="n">
        <x:v>15</x:v>
      </x:c>
      <x:c r="N78" s="10" t="str">
        <x:v>Primary/official source</x:v>
      </x:c>
      <x:c r="O78" s="10" t="n">
        <x:v>4</x:v>
      </x:c>
      <x:c r="P78" s="10" t="str">
        <x:v>research/policy paper</x:v>
      </x:c>
      <x:c r="Q78" s="10" t="str">
        <x:v>direct</x:v>
      </x:c>
      <x:c r="R78" s="10" t="str">
        <x:v>https://research-and-innovation.ec.europa.eu/strategy/strategy-research-and-innovation/europe-world/international-cooperation/association-horizon-europe/montenegro_en</x:v>
      </x:c>
    </x:row>
    <x:row r="79">
      <x:c r="A79" s="10" t="n">
        <x:f>RANK.EQ(B79,$B$2:$B$446,0)+COUNTIF($B$2:B79,B79)-1</x:f>
        <x:v>78</x:v>
      </x:c>
      <x:c r="B79" s="22" t="n">
        <x:f>I79+K79+M79+O79</x:f>
        <x:v>99</x:v>
      </x:c>
      <x:c r="C79" s="10" t="str">
        <x:f>IF(B79&gt;=93,"A — Highest",IF(B79&gt;=85,"B — Very strong",IF(B79&gt;=75,"C — Strong",IF(B79&gt;=65,"D — Useful","E — Supporting"))))</x:f>
        <x:v>A — Highest</x:v>
      </x:c>
      <x:c r="D79" s="10" t="str">
        <x:v>International cooperation with South Africa in research and innovation</x:v>
      </x:c>
      <x:c r="E79" s="10" t="str">
        <x:v>2026-06-18</x:v>
      </x:c>
      <x:c r="F79" s="10" t="str">
        <x:v>A</x:v>
      </x:c>
      <x:c r="G79" s="10" t="str">
        <x:v>European Commission — Research &amp; Innovation</x:v>
      </x:c>
      <x:c r="H79" s="10" t="str">
        <x:v>European Commission — Research &amp; Innovation</x:v>
      </x:c>
      <x:c r="I79" s="10" t="n">
        <x:v>55</x:v>
      </x:c>
      <x:c r="J79" s="10" t="str">
        <x:v>EU official / EU body</x:v>
      </x:c>
      <x:c r="K79" s="10" t="n">
        <x:v>25</x:v>
      </x:c>
      <x:c r="L79" s="10" t="str">
        <x:v>Direct EU relevance</x:v>
      </x:c>
      <x:c r="M79" s="10" t="n">
        <x:v>15</x:v>
      </x:c>
      <x:c r="N79" s="10" t="str">
        <x:v>Primary/official source</x:v>
      </x:c>
      <x:c r="O79" s="10" t="n">
        <x:v>4</x:v>
      </x:c>
      <x:c r="P79" s="10" t="str">
        <x:v>research/policy paper</x:v>
      </x:c>
      <x:c r="Q79" s="10" t="str">
        <x:v>direct</x:v>
      </x:c>
      <x:c r="R79" s="10" t="str">
        <x:v>https://research-and-innovation.ec.europa.eu/strategy/strategy-research-and-innovation/europe-world/international-cooperation/bilateral-cooperation-science-and-technology-agreements-non-eu-countries/south-africa_en</x:v>
      </x:c>
    </x:row>
    <x:row r="80">
      <x:c r="A80" s="10" t="n">
        <x:f>RANK.EQ(B80,$B$2:$B$446,0)+COUNTIF($B$2:B80,B80)-1</x:f>
        <x:v>79</x:v>
      </x:c>
      <x:c r="B80" s="22" t="n">
        <x:f>I80+K80+M80+O80</x:f>
        <x:v>99</x:v>
      </x:c>
      <x:c r="C80" s="10" t="str">
        <x:f>IF(B80&gt;=93,"A — Highest",IF(B80&gt;=85,"B — Very strong",IF(B80&gt;=75,"C — Strong",IF(B80&gt;=65,"D — Useful","E — Supporting"))))</x:f>
        <x:v>A — Highest</x:v>
      </x:c>
      <x:c r="D80" s="10" t="str">
        <x:v>The European Innovation Council opens to defence and dual-use technologies — amended EIC Work Programme 2026</x:v>
      </x:c>
      <x:c r="E80" s="10" t="str">
        <x:v>2026-06-17</x:v>
      </x:c>
      <x:c r="F80" s="10" t="str">
        <x:v>A</x:v>
      </x:c>
      <x:c r="G80" s="10" t="str">
        <x:v>European Innovation Council / European Commission</x:v>
      </x:c>
      <x:c r="H80" s="10" t="str">
        <x:v>European Innovation Council</x:v>
      </x:c>
      <x:c r="I80" s="10" t="n">
        <x:v>55</x:v>
      </x:c>
      <x:c r="J80" s="10" t="str">
        <x:v>EU official / EU body</x:v>
      </x:c>
      <x:c r="K80" s="10" t="n">
        <x:v>25</x:v>
      </x:c>
      <x:c r="L80" s="10" t="str">
        <x:v>Direct EU relevance</x:v>
      </x:c>
      <x:c r="M80" s="10" t="n">
        <x:v>15</x:v>
      </x:c>
      <x:c r="N80" s="10" t="str">
        <x:v>Primary/official source</x:v>
      </x:c>
      <x:c r="O80" s="10" t="n">
        <x:v>4</x:v>
      </x:c>
      <x:c r="P80" s="10" t="str">
        <x:v>manual-verified scholarly/policy source</x:v>
      </x:c>
      <x:c r="Q80" s="10" t="str">
        <x:v>direct</x:v>
      </x:c>
      <x:c r="R80" s="10" t="str">
        <x:v>https://eic.ec.europa.eu/news/european-innovation-council-opens-defence-and-dual-use-technologies-2026-06-17_en</x:v>
      </x:c>
    </x:row>
    <x:row r="81">
      <x:c r="A81" s="10" t="n">
        <x:f>RANK.EQ(B81,$B$2:$B$446,0)+COUNTIF($B$2:B81,B81)-1</x:f>
        <x:v>80</x:v>
      </x:c>
      <x:c r="B81" s="22" t="n">
        <x:f>I81+K81+M81+O81</x:f>
        <x:v>99</x:v>
      </x:c>
      <x:c r="C81" s="10" t="str">
        <x:f>IF(B81&gt;=93,"A — Highest",IF(B81&gt;=85,"B — Very strong",IF(B81&gt;=75,"C — Strong",IF(B81&gt;=65,"D — Useful","E — Supporting"))))</x:f>
        <x:v>A — Highest</x:v>
      </x:c>
      <x:c r="D81" s="10" t="str">
        <x:v>Gender equality in research and innovation</x:v>
      </x:c>
      <x:c r="E81" s="10" t="str">
        <x:v>2026-06-16</x:v>
      </x:c>
      <x:c r="F81" s="10" t="str">
        <x:v>A</x:v>
      </x:c>
      <x:c r="G81" s="10" t="str">
        <x:v>European Commission — Research &amp; Innovation</x:v>
      </x:c>
      <x:c r="H81" s="10" t="str">
        <x:v>European Commission — Research &amp; Innovation</x:v>
      </x:c>
      <x:c r="I81" s="10" t="n">
        <x:v>55</x:v>
      </x:c>
      <x:c r="J81" s="10" t="str">
        <x:v>EU official / EU body</x:v>
      </x:c>
      <x:c r="K81" s="10" t="n">
        <x:v>25</x:v>
      </x:c>
      <x:c r="L81" s="10" t="str">
        <x:v>Direct EU relevance</x:v>
      </x:c>
      <x:c r="M81" s="10" t="n">
        <x:v>15</x:v>
      </x:c>
      <x:c r="N81" s="10" t="str">
        <x:v>Primary/official source</x:v>
      </x:c>
      <x:c r="O81" s="10" t="n">
        <x:v>4</x:v>
      </x:c>
      <x:c r="P81" s="10" t="str">
        <x:v>research/policy paper</x:v>
      </x:c>
      <x:c r="Q81" s="10" t="str">
        <x:v>direct</x:v>
      </x:c>
      <x:c r="R81" s="10" t="str">
        <x:v>https://research-and-innovation.ec.europa.eu/strategy/strategy-research-and-innovation/democracy-and-rights/gender-equality-research-and-innovation_en</x:v>
      </x:c>
    </x:row>
    <x:row r="82">
      <x:c r="A82" s="10" t="n">
        <x:f>RANK.EQ(B82,$B$2:$B$446,0)+COUNTIF($B$2:B82,B82)-1</x:f>
        <x:v>81</x:v>
      </x:c>
      <x:c r="B82" s="22" t="n">
        <x:f>I82+K82+M82+O82</x:f>
        <x:v>99</x:v>
      </x:c>
      <x:c r="C82" s="10" t="str">
        <x:f>IF(B82&gt;=93,"A — Highest",IF(B82&gt;=85,"B — Very strong",IF(B82&gt;=75,"C — Strong",IF(B82&gt;=65,"D — Useful","E — Supporting"))))</x:f>
        <x:v>A — Highest</x:v>
      </x:c>
      <x:c r="D82" s="10" t="str">
        <x:v>Artificial Intelligence (AI) in Science</x:v>
      </x:c>
      <x:c r="E82" s="10" t="str">
        <x:v>2026-06-15</x:v>
      </x:c>
      <x:c r="F82" s="10" t="str">
        <x:v>A</x:v>
      </x:c>
      <x:c r="G82" s="10" t="str">
        <x:v>European Commission — Research &amp; Innovation</x:v>
      </x:c>
      <x:c r="H82" s="10" t="str">
        <x:v>European Commission — Research &amp; Innovation</x:v>
      </x:c>
      <x:c r="I82" s="10" t="n">
        <x:v>55</x:v>
      </x:c>
      <x:c r="J82" s="10" t="str">
        <x:v>EU official / EU body</x:v>
      </x:c>
      <x:c r="K82" s="10" t="n">
        <x:v>25</x:v>
      </x:c>
      <x:c r="L82" s="10" t="str">
        <x:v>Direct EU relevance</x:v>
      </x:c>
      <x:c r="M82" s="10" t="n">
        <x:v>15</x:v>
      </x:c>
      <x:c r="N82" s="10" t="str">
        <x:v>Primary/official source</x:v>
      </x:c>
      <x:c r="O82" s="10" t="n">
        <x:v>4</x:v>
      </x:c>
      <x:c r="P82" s="10" t="str">
        <x:v>institutional report</x:v>
      </x:c>
      <x:c r="Q82" s="10" t="str">
        <x:v>direct</x:v>
      </x:c>
      <x:c r="R82" s="10" t="str">
        <x:v>https://erc.europa.eu/sites/default/files/2023-12/AI_in_science.pdf</x:v>
      </x:c>
    </x:row>
    <x:row r="83">
      <x:c r="A83" s="10" t="n">
        <x:f>RANK.EQ(B83,$B$2:$B$446,0)+COUNTIF($B$2:B83,B83)-1</x:f>
        <x:v>82</x:v>
      </x:c>
      <x:c r="B83" s="22" t="n">
        <x:f>I83+K83+M83+O83</x:f>
        <x:v>99</x:v>
      </x:c>
      <x:c r="C83" s="10" t="str">
        <x:f>IF(B83&gt;=93,"A — Highest",IF(B83&gt;=85,"B — Very strong",IF(B83&gt;=75,"C — Strong",IF(B83&gt;=65,"D — Useful","E — Supporting"))))</x:f>
        <x:v>A — Highest</x:v>
      </x:c>
      <x:c r="D83" s="10" t="str">
        <x:v>RAISE: Resource for AI Science in Europe</x:v>
      </x:c>
      <x:c r="E83" s="10" t="str">
        <x:v>2026-06-15</x:v>
      </x:c>
      <x:c r="F83" s="10" t="str">
        <x:v>A</x:v>
      </x:c>
      <x:c r="G83" s="10" t="str">
        <x:v>European Commission — Research &amp; Innovation</x:v>
      </x:c>
      <x:c r="H83" s="10" t="str">
        <x:v>European Commission — Research &amp; Innovation</x:v>
      </x:c>
      <x:c r="I83" s="10" t="n">
        <x:v>55</x:v>
      </x:c>
      <x:c r="J83" s="10" t="str">
        <x:v>EU official / EU body</x:v>
      </x:c>
      <x:c r="K83" s="10" t="n">
        <x:v>25</x:v>
      </x:c>
      <x:c r="L83" s="10" t="str">
        <x:v>Direct EU relevance</x:v>
      </x:c>
      <x:c r="M83" s="10" t="n">
        <x:v>15</x:v>
      </x:c>
      <x:c r="N83" s="10" t="str">
        <x:v>Primary/official source</x:v>
      </x:c>
      <x:c r="O83" s="10" t="n">
        <x:v>4</x:v>
      </x:c>
      <x:c r="P83" s="10" t="str">
        <x:v>research/policy paper</x:v>
      </x:c>
      <x:c r="Q83" s="10" t="str">
        <x:v>direct</x:v>
      </x:c>
      <x:c r="R83" s="10" t="str">
        <x:v>https://research-and-innovation.ec.europa.eu/strategy/strategy-research-and-innovation/our-digital-future/european-ai-science-strategy/raise-resource-ai-science-europe_en</x:v>
      </x:c>
    </x:row>
    <x:row r="84">
      <x:c r="A84" s="10" t="n">
        <x:f>RANK.EQ(B84,$B$2:$B$446,0)+COUNTIF($B$2:B84,B84)-1</x:f>
        <x:v>83</x:v>
      </x:c>
      <x:c r="B84" s="22" t="n">
        <x:f>I84+K84+M84+O84</x:f>
        <x:v>99</x:v>
      </x:c>
      <x:c r="C84" s="10" t="str">
        <x:f>IF(B84&gt;=93,"A — Highest",IF(B84&gt;=85,"B — Very strong",IF(B84&gt;=75,"C — Strong",IF(B84&gt;=65,"D — Useful","E — Supporting"))))</x:f>
        <x:v>A — Highest</x:v>
      </x:c>
      <x:c r="D84" s="10" t="str">
        <x:v>Inauguration of SOL, a New Quantum Computer Together with LISA: the Upgrade of the Leonardo Supercomputer</x:v>
      </x:c>
      <x:c r="E84" s="10" t="str">
        <x:v>2026-06-11</x:v>
      </x:c>
      <x:c r="F84" s="10" t="str">
        <x:v>A</x:v>
      </x:c>
      <x:c r="G84" s="10" t="str">
        <x:v>EuroHPC Joint Undertaking</x:v>
      </x:c>
      <x:c r="H84" s="10" t="str">
        <x:v>European High-Performance Computing Joint Undertaking</x:v>
      </x:c>
      <x:c r="I84" s="10" t="n">
        <x:v>55</x:v>
      </x:c>
      <x:c r="J84" s="10" t="str">
        <x:v>EU official / EU body</x:v>
      </x:c>
      <x:c r="K84" s="10" t="n">
        <x:v>25</x:v>
      </x:c>
      <x:c r="L84" s="10" t="str">
        <x:v>Direct EU relevance</x:v>
      </x:c>
      <x:c r="M84" s="10" t="n">
        <x:v>15</x:v>
      </x:c>
      <x:c r="N84" s="10" t="str">
        <x:v>Primary/official source</x:v>
      </x:c>
      <x:c r="O84" s="10" t="n">
        <x:v>4</x:v>
      </x:c>
      <x:c r="P84" s="10" t="str">
        <x:v>research/policy paper</x:v>
      </x:c>
      <x:c r="Q84" s="10" t="str">
        <x:v>direct</x:v>
      </x:c>
      <x:c r="R84" s="10" t="str">
        <x:v>https://www.eurohpc-ju.europa.eu/inauguration-sol-new-quantum-computer-together-lisa-upgrade-leonardo-supercomputer-2026-06-11_en</x:v>
      </x:c>
    </x:row>
    <x:row r="85">
      <x:c r="A85" s="10" t="n">
        <x:f>RANK.EQ(B85,$B$2:$B$446,0)+COUNTIF($B$2:B85,B85)-1</x:f>
        <x:v>84</x:v>
      </x:c>
      <x:c r="B85" s="22" t="n">
        <x:f>I85+K85+M85+O85</x:f>
        <x:v>99</x:v>
      </x:c>
      <x:c r="C85" s="10" t="str">
        <x:f>IF(B85&gt;=93,"A — Highest",IF(B85&gt;=85,"B — Very strong",IF(B85&gt;=75,"C — Strong",IF(B85&gt;=65,"D — Useful","E — Supporting"))))</x:f>
        <x:v>A — Highest</x:v>
      </x:c>
      <x:c r="D85" s="10" t="str">
        <x:v>Cloud and AI Development Act — Council working document ST 10104/26</x:v>
      </x:c>
      <x:c r="E85" s="10" t="str">
        <x:v>2026-06-04</x:v>
      </x:c>
      <x:c r="F85" s="10" t="str">
        <x:v>A</x:v>
      </x:c>
      <x:c r="G85" s="10" t="str">
        <x:v>Council of the European Union</x:v>
      </x:c>
      <x:c r="H85" s="10" t="str">
        <x:v>Council of the European Union</x:v>
      </x:c>
      <x:c r="I85" s="10" t="n">
        <x:v>55</x:v>
      </x:c>
      <x:c r="J85" s="10" t="str">
        <x:v>EU official / EU body</x:v>
      </x:c>
      <x:c r="K85" s="10" t="n">
        <x:v>25</x:v>
      </x:c>
      <x:c r="L85" s="10" t="str">
        <x:v>Direct EU relevance</x:v>
      </x:c>
      <x:c r="M85" s="10" t="n">
        <x:v>15</x:v>
      </x:c>
      <x:c r="N85" s="10" t="str">
        <x:v>Primary/official source</x:v>
      </x:c>
      <x:c r="O85" s="10" t="n">
        <x:v>4</x:v>
      </x:c>
      <x:c r="P85" s="10" t="str">
        <x:v>manual-verified scholarly/policy source</x:v>
      </x:c>
      <x:c r="Q85" s="10" t="str">
        <x:v>direct</x:v>
      </x:c>
      <x:c r="R85" s="10" t="str">
        <x:v>https://data.consilium.europa.eu/doc/document/ST-10104-2026-INIT/en/pdf</x:v>
      </x:c>
    </x:row>
    <x:row r="86">
      <x:c r="A86" s="10" t="n">
        <x:f>RANK.EQ(B86,$B$2:$B$446,0)+COUNTIF($B$2:B86,B86)-1</x:f>
        <x:v>85</x:v>
      </x:c>
      <x:c r="B86" s="22" t="n">
        <x:f>I86+K86+M86+O86</x:f>
        <x:v>99</x:v>
      </x:c>
      <x:c r="C86" s="10" t="str">
        <x:f>IF(B86&gt;=93,"A — Highest",IF(B86&gt;=85,"B — Very strong",IF(B86&gt;=75,"C — Strong",IF(B86&gt;=65,"D — Useful","E — Supporting"))))</x:f>
        <x:v>A — Highest</x:v>
      </x:c>
      <x:c r="D86" s="10" t="str">
        <x:v>EIC Impact Report 2026: Europe strengthens its position as a global deep tech scaling hub</x:v>
      </x:c>
      <x:c r="E86" s="10" t="str">
        <x:v>2026-06-04</x:v>
      </x:c>
      <x:c r="F86" s="10" t="str">
        <x:v>A</x:v>
      </x:c>
      <x:c r="G86" s="10" t="str">
        <x:v>European Innovation Council</x:v>
      </x:c>
      <x:c r="H86" s="10" t="str">
        <x:v>European Innovation Council and SMEs Executive Agency</x:v>
      </x:c>
      <x:c r="I86" s="10" t="n">
        <x:v>55</x:v>
      </x:c>
      <x:c r="J86" s="10" t="str">
        <x:v>EU official / EU body</x:v>
      </x:c>
      <x:c r="K86" s="10" t="n">
        <x:v>25</x:v>
      </x:c>
      <x:c r="L86" s="10" t="str">
        <x:v>Direct EU relevance</x:v>
      </x:c>
      <x:c r="M86" s="10" t="n">
        <x:v>15</x:v>
      </x:c>
      <x:c r="N86" s="10" t="str">
        <x:v>Primary/official source</x:v>
      </x:c>
      <x:c r="O86" s="10" t="n">
        <x:v>4</x:v>
      </x:c>
      <x:c r="P86" s="10" t="str">
        <x:v>official notice / primary source</x:v>
      </x:c>
      <x:c r="Q86" s="10" t="str">
        <x:v>direct</x:v>
      </x:c>
      <x:c r="R86" s="10" t="str">
        <x:v>https://eic.ec.europa.eu/news/eic-impact-report-2026-europe-strengthens-its-position-global-deep-tech-scaling-hub-2026-06-04_en</x:v>
      </x:c>
    </x:row>
    <x:row r="87">
      <x:c r="A87" s="10" t="n">
        <x:f>RANK.EQ(B87,$B$2:$B$446,0)+COUNTIF($B$2:B87,B87)-1</x:f>
        <x:v>86</x:v>
      </x:c>
      <x:c r="B87" s="22" t="n">
        <x:f>I87+K87+M87+O87</x:f>
        <x:v>99</x:v>
      </x:c>
      <x:c r="C87" s="10" t="str">
        <x:f>IF(B87&gt;=93,"A — Highest",IF(B87&gt;=85,"B — Very strong",IF(B87&gt;=75,"C — Strong",IF(B87&gt;=65,"D — Useful","E — Supporting"))))</x:f>
        <x:v>A — Highest</x:v>
      </x:c>
      <x:c r="D87" s="10" t="str">
        <x:v>Commission proposes tech sovereignty package to strengthen Europe's digital autonomy and resilience</x:v>
      </x:c>
      <x:c r="E87" s="10" t="str">
        <x:v>2026-06-03</x:v>
      </x:c>
      <x:c r="F87" s="10" t="str">
        <x:v>A</x:v>
      </x:c>
      <x:c r="G87" s="10" t="str">
        <x:v>European Commission — Digital Strategy</x:v>
      </x:c>
      <x:c r="H87" s="10" t="str">
        <x:v>European Commission — Digital Strategy</x:v>
      </x:c>
      <x:c r="I87" s="10" t="n">
        <x:v>55</x:v>
      </x:c>
      <x:c r="J87" s="10" t="str">
        <x:v>EU official / EU body</x:v>
      </x:c>
      <x:c r="K87" s="10" t="n">
        <x:v>25</x:v>
      </x:c>
      <x:c r="L87" s="10" t="str">
        <x:v>Direct EU relevance</x:v>
      </x:c>
      <x:c r="M87" s="10" t="n">
        <x:v>15</x:v>
      </x:c>
      <x:c r="N87" s="10" t="str">
        <x:v>Primary/official source</x:v>
      </x:c>
      <x:c r="O87" s="10" t="n">
        <x:v>4</x:v>
      </x:c>
      <x:c r="P87" s="10" t="str">
        <x:v>official notice / primary source</x:v>
      </x:c>
      <x:c r="Q87" s="10" t="str">
        <x:v>direct</x:v>
      </x:c>
      <x:c r="R87" s="10" t="str">
        <x:v>https://digital-strategy.ec.europa.eu/en/news/commission-proposes-tech-sovereignty-package-strengthen-europes-digital-autonomy-and-resilience</x:v>
      </x:c>
    </x:row>
    <x:row r="88">
      <x:c r="A88" s="10" t="n">
        <x:f>RANK.EQ(B88,$B$2:$B$446,0)+COUNTIF($B$2:B88,B88)-1</x:f>
        <x:v>87</x:v>
      </x:c>
      <x:c r="B88" s="22" t="n">
        <x:f>I88+K88+M88+O88</x:f>
        <x:v>99</x:v>
      </x:c>
      <x:c r="C88" s="10" t="str">
        <x:f>IF(B88&gt;=93,"A — Highest",IF(B88&gt;=85,"B — Very strong",IF(B88&gt;=75,"C — Strong",IF(B88&gt;=65,"D — Useful","E — Supporting"))))</x:f>
        <x:v>A — Highest</x:v>
      </x:c>
      <x:c r="D88" s="10" t="str">
        <x:v>European Semester</x:v>
      </x:c>
      <x:c r="E88" s="10" t="str">
        <x:v>2026-06-03</x:v>
      </x:c>
      <x:c r="F88" s="10" t="str">
        <x:v>A</x:v>
      </x:c>
      <x:c r="G88" s="10" t="str">
        <x:v>European Commission — Research &amp; Innovation</x:v>
      </x:c>
      <x:c r="H88" s="10" t="str">
        <x:v>European Commission — Research &amp; Innovation</x:v>
      </x:c>
      <x:c r="I88" s="10" t="n">
        <x:v>55</x:v>
      </x:c>
      <x:c r="J88" s="10" t="str">
        <x:v>EU official / EU body</x:v>
      </x:c>
      <x:c r="K88" s="10" t="n">
        <x:v>25</x:v>
      </x:c>
      <x:c r="L88" s="10" t="str">
        <x:v>Direct EU relevance</x:v>
      </x:c>
      <x:c r="M88" s="10" t="n">
        <x:v>15</x:v>
      </x:c>
      <x:c r="N88" s="10" t="str">
        <x:v>Primary/official source</x:v>
      </x:c>
      <x:c r="O88" s="10" t="n">
        <x:v>4</x:v>
      </x:c>
      <x:c r="P88" s="10" t="str">
        <x:v>official policy / institutional framework</x:v>
      </x:c>
      <x:c r="Q88" s="10" t="str">
        <x:v>direct</x:v>
      </x:c>
      <x:c r="R88" s="10" t="str">
        <x:v>https://research-and-innovation.ec.europa.eu/strategy/strategy-research-and-innovation/our-digital-future/european-research-area/european-semester_en</x:v>
      </x:c>
    </x:row>
    <x:row r="89">
      <x:c r="A89" s="10" t="n">
        <x:f>RANK.EQ(B89,$B$2:$B$446,0)+COUNTIF($B$2:B89,B89)-1</x:f>
        <x:v>88</x:v>
      </x:c>
      <x:c r="B89" s="22" t="n">
        <x:f>I89+K89+M89+O89</x:f>
        <x:v>99</x:v>
      </x:c>
      <x:c r="C89" s="10" t="str">
        <x:f>IF(B89&gt;=93,"A — Highest",IF(B89&gt;=85,"B — Very strong",IF(B89&gt;=75,"C — Strong",IF(B89&gt;=65,"D — Useful","E — Supporting"))))</x:f>
        <x:v>A — Highest</x:v>
      </x:c>
      <x:c r="D89" s="10" t="str">
        <x:v>Four New EuroHPC JU Calls to Boost Quantum Innovation and Standardisation in Europe</x:v>
      </x:c>
      <x:c r="E89" s="10" t="str">
        <x:v>2026-06-02</x:v>
      </x:c>
      <x:c r="F89" s="10" t="str">
        <x:v>A</x:v>
      </x:c>
      <x:c r="G89" s="10" t="str">
        <x:v>EuroHPC Joint Undertaking</x:v>
      </x:c>
      <x:c r="H89" s="10" t="str">
        <x:v>European High-Performance Computing Joint Undertaking</x:v>
      </x:c>
      <x:c r="I89" s="10" t="n">
        <x:v>55</x:v>
      </x:c>
      <x:c r="J89" s="10" t="str">
        <x:v>EU official / EU body</x:v>
      </x:c>
      <x:c r="K89" s="10" t="n">
        <x:v>25</x:v>
      </x:c>
      <x:c r="L89" s="10" t="str">
        <x:v>Direct EU relevance</x:v>
      </x:c>
      <x:c r="M89" s="10" t="n">
        <x:v>15</x:v>
      </x:c>
      <x:c r="N89" s="10" t="str">
        <x:v>Primary/official source</x:v>
      </x:c>
      <x:c r="O89" s="10" t="n">
        <x:v>4</x:v>
      </x:c>
      <x:c r="P89" s="10" t="str">
        <x:v>research/policy paper</x:v>
      </x:c>
      <x:c r="Q89" s="10" t="str">
        <x:v>direct</x:v>
      </x:c>
      <x:c r="R89" s="10" t="str">
        <x:v>https://www.eurohpc-ju.europa.eu/four-new-eurohpc-ju-calls-boost-quantum-innovation-and-standardisation-europe-2026-06-02_en</x:v>
      </x:c>
    </x:row>
    <x:row r="90">
      <x:c r="A90" s="10" t="n">
        <x:f>RANK.EQ(B90,$B$2:$B$446,0)+COUNTIF($B$2:B90,B90)-1</x:f>
        <x:v>89</x:v>
      </x:c>
      <x:c r="B90" s="22" t="n">
        <x:f>I90+K90+M90+O90</x:f>
        <x:v>99</x:v>
      </x:c>
      <x:c r="C90" s="10" t="str">
        <x:f>IF(B90&gt;=93,"A — Highest",IF(B90&gt;=85,"B — Very strong",IF(B90&gt;=75,"C — Strong",IF(B90&gt;=65,"D — Useful","E — Supporting"))))</x:f>
        <x:v>A — Highest</x:v>
      </x:c>
      <x:c r="D90" s="10" t="str">
        <x:v>Grand Challenge on Quantum Sensors for Inertial Navigation</x:v>
      </x:c>
      <x:c r="E90" s="10" t="str">
        <x:v>2026-06-02</x:v>
      </x:c>
      <x:c r="F90" s="10" t="str">
        <x:v>A</x:v>
      </x:c>
      <x:c r="G90" s="10" t="str">
        <x:v>EuroHPC Joint Undertaking</x:v>
      </x:c>
      <x:c r="H90" s="10" t="str">
        <x:v>EuroHPC Joint Undertaking</x:v>
      </x:c>
      <x:c r="I90" s="10" t="n">
        <x:v>55</x:v>
      </x:c>
      <x:c r="J90" s="10" t="str">
        <x:v>EU official / EU body</x:v>
      </x:c>
      <x:c r="K90" s="10" t="n">
        <x:v>25</x:v>
      </x:c>
      <x:c r="L90" s="10" t="str">
        <x:v>Direct EU relevance</x:v>
      </x:c>
      <x:c r="M90" s="10" t="n">
        <x:v>15</x:v>
      </x:c>
      <x:c r="N90" s="10" t="str">
        <x:v>Primary/official source</x:v>
      </x:c>
      <x:c r="O90" s="10" t="n">
        <x:v>4</x:v>
      </x:c>
      <x:c r="P90" s="10" t="str">
        <x:v>research/policy paper</x:v>
      </x:c>
      <x:c r="Q90" s="10" t="str">
        <x:v>direct</x:v>
      </x:c>
      <x:c r="R90" s="10" t="str">
        <x:v>https://www.eurohpc-ju.europa.eu/grand-challenge-quantum-sensors-inertial-navigation_en</x:v>
      </x:c>
    </x:row>
    <x:row r="91">
      <x:c r="A91" s="10" t="n">
        <x:f>RANK.EQ(B91,$B$2:$B$446,0)+COUNTIF($B$2:B91,B91)-1</x:f>
        <x:v>90</x:v>
      </x:c>
      <x:c r="B91" s="22" t="n">
        <x:f>I91+K91+M91+O91</x:f>
        <x:v>99</x:v>
      </x:c>
      <x:c r="C91" s="10" t="str">
        <x:f>IF(B91&gt;=93,"A — Highest",IF(B91&gt;=85,"B — Very strong",IF(B91&gt;=75,"C — Strong",IF(B91&gt;=65,"D — Useful","E — Supporting"))))</x:f>
        <x:v>A — Highest</x:v>
      </x:c>
      <x:c r="D91" s="10" t="str">
        <x:v>Standards for Quantum Technologies</x:v>
      </x:c>
      <x:c r="E91" s="10" t="str">
        <x:v>2026-06-02</x:v>
      </x:c>
      <x:c r="F91" s="10" t="str">
        <x:v>A</x:v>
      </x:c>
      <x:c r="G91" s="10" t="str">
        <x:v>EuroHPC Joint Undertaking</x:v>
      </x:c>
      <x:c r="H91" s="10" t="str">
        <x:v>EuroHPC Joint Undertaking</x:v>
      </x:c>
      <x:c r="I91" s="10" t="n">
        <x:v>55</x:v>
      </x:c>
      <x:c r="J91" s="10" t="str">
        <x:v>EU official / EU body</x:v>
      </x:c>
      <x:c r="K91" s="10" t="n">
        <x:v>25</x:v>
      </x:c>
      <x:c r="L91" s="10" t="str">
        <x:v>Direct EU relevance</x:v>
      </x:c>
      <x:c r="M91" s="10" t="n">
        <x:v>15</x:v>
      </x:c>
      <x:c r="N91" s="10" t="str">
        <x:v>Primary/official source</x:v>
      </x:c>
      <x:c r="O91" s="10" t="n">
        <x:v>4</x:v>
      </x:c>
      <x:c r="P91" s="10" t="str">
        <x:v>research/policy paper</x:v>
      </x:c>
      <x:c r="Q91" s="10" t="str">
        <x:v>direct</x:v>
      </x:c>
      <x:c r="R91" s="10" t="str">
        <x:v>https://www.eurohpc-ju.europa.eu/standards-quantum-technologies_en</x:v>
      </x:c>
    </x:row>
    <x:row r="92">
      <x:c r="A92" s="10" t="n">
        <x:f>RANK.EQ(B92,$B$2:$B$446,0)+COUNTIF($B$2:B92,B92)-1</x:f>
        <x:v>91</x:v>
      </x:c>
      <x:c r="B92" s="22" t="n">
        <x:f>I92+K92+M92+O92</x:f>
        <x:v>99</x:v>
      </x:c>
      <x:c r="C92" s="10" t="str">
        <x:f>IF(B92&gt;=93,"A — Highest",IF(B92&gt;=85,"B — Very strong",IF(B92&gt;=75,"C — Strong",IF(B92&gt;=65,"D — Useful","E — Supporting"))))</x:f>
        <x:v>A — Highest</x:v>
      </x:c>
      <x:c r="D92" s="10" t="str">
        <x:v>Council Recommendation on a European Union framework for science diplomacy</x:v>
      </x:c>
      <x:c r="E92" s="10" t="str">
        <x:v>2026-05-29</x:v>
      </x:c>
      <x:c r="F92" s="10" t="str">
        <x:v>A</x:v>
      </x:c>
      <x:c r="G92" s="10" t="str">
        <x:v>Council of the European Union</x:v>
      </x:c>
      <x:c r="H92" s="10" t="str">
        <x:v>Council of the European Union</x:v>
      </x:c>
      <x:c r="I92" s="10" t="n">
        <x:v>55</x:v>
      </x:c>
      <x:c r="J92" s="10" t="str">
        <x:v>EU official / EU body</x:v>
      </x:c>
      <x:c r="K92" s="10" t="n">
        <x:v>25</x:v>
      </x:c>
      <x:c r="L92" s="10" t="str">
        <x:v>Direct EU relevance</x:v>
      </x:c>
      <x:c r="M92" s="10" t="n">
        <x:v>15</x:v>
      </x:c>
      <x:c r="N92" s="10" t="str">
        <x:v>Primary/official source</x:v>
      </x:c>
      <x:c r="O92" s="10" t="n">
        <x:v>4</x:v>
      </x:c>
      <x:c r="P92" s="10" t="str">
        <x:v>manual-verified scholarly/policy source</x:v>
      </x:c>
      <x:c r="Q92" s="10" t="str">
        <x:v>direct</x:v>
      </x:c>
      <x:c r="R92" s="10" t="str">
        <x:v>https://www.consilium.europa.eu/en/press/press-releases/2026/05/29/council-defines-a-new-framework-for-science-diplomacy/</x:v>
      </x:c>
    </x:row>
    <x:row r="93">
      <x:c r="A93" s="10" t="n">
        <x:f>RANK.EQ(B93,$B$2:$B$446,0)+COUNTIF($B$2:B93,B93)-1</x:f>
        <x:v>92</x:v>
      </x:c>
      <x:c r="B93" s="22" t="n">
        <x:f>I93+K93+M93+O93</x:f>
        <x:v>99</x:v>
      </x:c>
      <x:c r="C93" s="10" t="str">
        <x:f>IF(B93&gt;=93,"A — Highest",IF(B93&gt;=85,"B — Very strong",IF(B93&gt;=75,"C — Strong",IF(B93&gt;=65,"D — Useful","E — Supporting"))))</x:f>
        <x:v>A — Highest</x:v>
      </x:c>
      <x:c r="D93" s="10" t="str">
        <x:v>Science diplomacy</x:v>
      </x:c>
      <x:c r="E93" s="10" t="str">
        <x:v>2026-05-29</x:v>
      </x:c>
      <x:c r="F93" s="10" t="str">
        <x:v>A</x:v>
      </x:c>
      <x:c r="G93" s="10" t="str">
        <x:v>European Commission — Research &amp; Innovation</x:v>
      </x:c>
      <x:c r="H93" s="10" t="str">
        <x:v>European Commission — Research &amp; Innovation</x:v>
      </x:c>
      <x:c r="I93" s="10" t="n">
        <x:v>55</x:v>
      </x:c>
      <x:c r="J93" s="10" t="str">
        <x:v>EU official / EU body</x:v>
      </x:c>
      <x:c r="K93" s="10" t="n">
        <x:v>25</x:v>
      </x:c>
      <x:c r="L93" s="10" t="str">
        <x:v>Direct EU relevance</x:v>
      </x:c>
      <x:c r="M93" s="10" t="n">
        <x:v>15</x:v>
      </x:c>
      <x:c r="N93" s="10" t="str">
        <x:v>Primary/official source</x:v>
      </x:c>
      <x:c r="O93" s="10" t="n">
        <x:v>4</x:v>
      </x:c>
      <x:c r="P93" s="10" t="str">
        <x:v>research/policy paper</x:v>
      </x:c>
      <x:c r="Q93" s="10" t="str">
        <x:v>direct</x:v>
      </x:c>
      <x:c r="R93" s="10" t="str">
        <x:v>https://research-and-innovation.ec.europa.eu/strategy/strategy-research-and-innovation/europe-world/international-cooperation/science-diplomacy_en</x:v>
      </x:c>
    </x:row>
    <x:row r="94">
      <x:c r="A94" s="10" t="n">
        <x:f>RANK.EQ(B94,$B$2:$B$446,0)+COUNTIF($B$2:B94,B94)-1</x:f>
        <x:v>93</x:v>
      </x:c>
      <x:c r="B94" s="22" t="n">
        <x:f>I94+K94+M94+O94</x:f>
        <x:v>99</x:v>
      </x:c>
      <x:c r="C94" s="10" t="str">
        <x:f>IF(B94&gt;=93,"A — Highest",IF(B94&gt;=85,"B — Very strong",IF(B94&gt;=75,"C — Strong",IF(B94&gt;=65,"D — Useful","E — Supporting"))))</x:f>
        <x:v>A — Highest</x:v>
      </x:c>
      <x:c r="D94" s="10" t="str">
        <x:v>Global approach to research and innovation</x:v>
      </x:c>
      <x:c r="E94" s="10" t="str">
        <x:v>2026-05-27</x:v>
      </x:c>
      <x:c r="F94" s="10" t="str">
        <x:v>A</x:v>
      </x:c>
      <x:c r="G94" s="10" t="str">
        <x:v>European Commission — Research &amp; Innovation</x:v>
      </x:c>
      <x:c r="H94" s="10" t="str">
        <x:v>European Commission — Research &amp; Innovation</x:v>
      </x:c>
      <x:c r="I94" s="10" t="n">
        <x:v>55</x:v>
      </x:c>
      <x:c r="J94" s="10" t="str">
        <x:v>EU official / EU body</x:v>
      </x:c>
      <x:c r="K94" s="10" t="n">
        <x:v>25</x:v>
      </x:c>
      <x:c r="L94" s="10" t="str">
        <x:v>Direct EU relevance</x:v>
      </x:c>
      <x:c r="M94" s="10" t="n">
        <x:v>15</x:v>
      </x:c>
      <x:c r="N94" s="10" t="str">
        <x:v>Primary/official source</x:v>
      </x:c>
      <x:c r="O94" s="10" t="n">
        <x:v>4</x:v>
      </x:c>
      <x:c r="P94" s="10" t="str">
        <x:v>research/policy paper</x:v>
      </x:c>
      <x:c r="Q94" s="10" t="str">
        <x:v>direct</x:v>
      </x:c>
      <x:c r="R94" s="10" t="str">
        <x:v>https://presidence-francaise.consilium.europa.eu/media/xi1khxzg/marseille-declaration.pdf</x:v>
      </x:c>
    </x:row>
    <x:row r="95">
      <x:c r="A95" s="10" t="n">
        <x:f>RANK.EQ(B95,$B$2:$B$446,0)+COUNTIF($B$2:B95,B95)-1</x:f>
        <x:v>94</x:v>
      </x:c>
      <x:c r="B95" s="22" t="n">
        <x:f>I95+K95+M95+O95</x:f>
        <x:v>99</x:v>
      </x:c>
      <x:c r="C95" s="10" t="str">
        <x:f>IF(B95&gt;=93,"A — Highest",IF(B95&gt;=85,"B — Very strong",IF(B95&gt;=75,"C — Strong",IF(B95&gt;=65,"D — Useful","E — Supporting"))))</x:f>
        <x:v>A — Highest</x:v>
      </x:c>
      <x:c r="D95" s="10" t="str">
        <x:v>Call for CSA (coordination and support action): EIC Scaling Club 2.0</x:v>
      </x:c>
      <x:c r="E95" s="10" t="str">
        <x:v>2026-05-22</x:v>
      </x:c>
      <x:c r="F95" s="10" t="str">
        <x:v>A</x:v>
      </x:c>
      <x:c r="G95" s="10" t="str">
        <x:v>European Innovation Council</x:v>
      </x:c>
      <x:c r="H95" s="10" t="str">
        <x:v>European Innovation Council and SMEs Executive Agency</x:v>
      </x:c>
      <x:c r="I95" s="10" t="n">
        <x:v>55</x:v>
      </x:c>
      <x:c r="J95" s="10" t="str">
        <x:v>EU official / EU body</x:v>
      </x:c>
      <x:c r="K95" s="10" t="n">
        <x:v>25</x:v>
      </x:c>
      <x:c r="L95" s="10" t="str">
        <x:v>Direct EU relevance</x:v>
      </x:c>
      <x:c r="M95" s="10" t="n">
        <x:v>15</x:v>
      </x:c>
      <x:c r="N95" s="10" t="str">
        <x:v>Primary/official source</x:v>
      </x:c>
      <x:c r="O95" s="10" t="n">
        <x:v>4</x:v>
      </x:c>
      <x:c r="P95" s="10" t="str">
        <x:v>official notice / primary source</x:v>
      </x:c>
      <x:c r="Q95" s="10" t="str">
        <x:v>direct</x:v>
      </x:c>
      <x:c r="R95" s="10" t="str">
        <x:v>https://eic.ec.europa.eu/news/call-csa-coordination-and-support-action-eic-scaling-club-20-2026-05-22_en</x:v>
      </x:c>
    </x:row>
    <x:row r="96">
      <x:c r="A96" s="10" t="n">
        <x:f>RANK.EQ(B96,$B$2:$B$446,0)+COUNTIF($B$2:B96,B96)-1</x:f>
        <x:v>95</x:v>
      </x:c>
      <x:c r="B96" s="22" t="n">
        <x:f>I96+K96+M96+O96</x:f>
        <x:v>99</x:v>
      </x:c>
      <x:c r="C96" s="10" t="str">
        <x:f>IF(B96&gt;=93,"A — Highest",IF(B96&gt;=85,"B — Very strong",IF(B96&gt;=75,"C — Strong",IF(B96&gt;=65,"D — Useful","E — Supporting"))))</x:f>
        <x:v>A — Highest</x:v>
      </x:c>
      <x:c r="D96" s="10" t="str">
        <x:v>Frontier research for Artificial Intelligence</x:v>
      </x:c>
      <x:c r="E96" s="10" t="str">
        <x:v>2026-05-20</x:v>
      </x:c>
      <x:c r="F96" s="10" t="str">
        <x:v>A</x:v>
      </x:c>
      <x:c r="G96" s="10" t="str">
        <x:v>European Research Council</x:v>
      </x:c>
      <x:c r="H96" s="10" t="str">
        <x:v>European Research Council</x:v>
      </x:c>
      <x:c r="I96" s="10" t="n">
        <x:v>55</x:v>
      </x:c>
      <x:c r="J96" s="10" t="str">
        <x:v>EU official / EU body</x:v>
      </x:c>
      <x:c r="K96" s="10" t="n">
        <x:v>25</x:v>
      </x:c>
      <x:c r="L96" s="10" t="str">
        <x:v>Direct EU relevance</x:v>
      </x:c>
      <x:c r="M96" s="10" t="n">
        <x:v>15</x:v>
      </x:c>
      <x:c r="N96" s="10" t="str">
        <x:v>Primary/official source</x:v>
      </x:c>
      <x:c r="O96" s="10" t="n">
        <x:v>4</x:v>
      </x:c>
      <x:c r="P96" s="10" t="str">
        <x:v>research/policy paper</x:v>
      </x:c>
      <x:c r="Q96" s="10" t="str">
        <x:v>direct</x:v>
      </x:c>
      <x:c r="R96" s="10" t="str">
        <x:v>https://erc.europa.eu/projects-statistics/mapping-erc-frontier-research-overview/frontier-research-artificial-intelligence</x:v>
      </x:c>
    </x:row>
    <x:row r="97">
      <x:c r="A97" s="10" t="n">
        <x:f>RANK.EQ(B97,$B$2:$B$446,0)+COUNTIF($B$2:B97,B97)-1</x:f>
        <x:v>96</x:v>
      </x:c>
      <x:c r="B97" s="22" t="n">
        <x:f>I97+K97+M97+O97</x:f>
        <x:v>99</x:v>
      </x:c>
      <x:c r="C97" s="10" t="str">
        <x:f>IF(B97&gt;=93,"A — Highest",IF(B97&gt;=85,"B — Very strong",IF(B97&gt;=75,"C — Strong",IF(B97&gt;=65,"D — Useful","E — Supporting"))))</x:f>
        <x:v>A — Highest</x:v>
      </x:c>
      <x:c r="D97" s="10" t="str">
        <x:v>European Research Infrastructures</x:v>
      </x:c>
      <x:c r="E97" s="10" t="str">
        <x:v>2026-05-06</x:v>
      </x:c>
      <x:c r="F97" s="10" t="str">
        <x:v>A</x:v>
      </x:c>
      <x:c r="G97" s="10" t="str">
        <x:v>European Commission — Research &amp; Innovation</x:v>
      </x:c>
      <x:c r="H97" s="10" t="str">
        <x:v>European Commission — Research &amp; Innovation</x:v>
      </x:c>
      <x:c r="I97" s="10" t="n">
        <x:v>55</x:v>
      </x:c>
      <x:c r="J97" s="10" t="str">
        <x:v>EU official / EU body</x:v>
      </x:c>
      <x:c r="K97" s="10" t="n">
        <x:v>25</x:v>
      </x:c>
      <x:c r="L97" s="10" t="str">
        <x:v>Direct EU relevance</x:v>
      </x:c>
      <x:c r="M97" s="10" t="n">
        <x:v>15</x:v>
      </x:c>
      <x:c r="N97" s="10" t="str">
        <x:v>Primary/official source</x:v>
      </x:c>
      <x:c r="O97" s="10" t="n">
        <x:v>4</x:v>
      </x:c>
      <x:c r="P97" s="10" t="str">
        <x:v>research/policy paper</x:v>
      </x:c>
      <x:c r="Q97" s="10" t="str">
        <x:v>direct</x:v>
      </x:c>
      <x:c r="R97" s="10" t="str">
        <x:v>https://research-and-innovation.ec.europa.eu/strategy/strategy-research-and-innovation/our-digital-future/european-research-infrastructures_en</x:v>
      </x:c>
    </x:row>
    <x:row r="98">
      <x:c r="A98" s="10" t="n">
        <x:f>RANK.EQ(B98,$B$2:$B$446,0)+COUNTIF($B$2:B98,B98)-1</x:f>
        <x:v>97</x:v>
      </x:c>
      <x:c r="B98" s="22" t="n">
        <x:f>I98+K98+M98+O98</x:f>
        <x:v>99</x:v>
      </x:c>
      <x:c r="C98" s="10" t="str">
        <x:f>IF(B98&gt;=93,"A — Highest",IF(B98&gt;=85,"B — Very strong",IF(B98&gt;=75,"C — Strong",IF(B98&gt;=65,"D — Useful","E — Supporting"))))</x:f>
        <x:v>A — Highest</x:v>
      </x:c>
      <x:c r="D98" s="10" t="str">
        <x:v>Technology Infrastructures</x:v>
      </x:c>
      <x:c r="E98" s="10" t="str">
        <x:v>2026-05-06</x:v>
      </x:c>
      <x:c r="F98" s="10" t="str">
        <x:v>A</x:v>
      </x:c>
      <x:c r="G98" s="10" t="str">
        <x:v>European Commission — Research &amp; Innovation</x:v>
      </x:c>
      <x:c r="H98" s="10" t="str">
        <x:v>European Commission — Research &amp; Innovation</x:v>
      </x:c>
      <x:c r="I98" s="10" t="n">
        <x:v>55</x:v>
      </x:c>
      <x:c r="J98" s="10" t="str">
        <x:v>EU official / EU body</x:v>
      </x:c>
      <x:c r="K98" s="10" t="n">
        <x:v>25</x:v>
      </x:c>
      <x:c r="L98" s="10" t="str">
        <x:v>Direct EU relevance</x:v>
      </x:c>
      <x:c r="M98" s="10" t="n">
        <x:v>15</x:v>
      </x:c>
      <x:c r="N98" s="10" t="str">
        <x:v>Primary/official source</x:v>
      </x:c>
      <x:c r="O98" s="10" t="n">
        <x:v>4</x:v>
      </x:c>
      <x:c r="P98" s="10" t="str">
        <x:v>research/policy paper</x:v>
      </x:c>
      <x:c r="Q98" s="10" t="str">
        <x:v>direct</x:v>
      </x:c>
      <x:c r="R98" s="10" t="str">
        <x:v>https://research-and-innovation.ec.europa.eu/research-area/industrial-research-and-innovation/technology-infrastructures_en</x:v>
      </x:c>
    </x:row>
    <x:row r="99">
      <x:c r="A99" s="10" t="n">
        <x:f>RANK.EQ(B99,$B$2:$B$446,0)+COUNTIF($B$2:B99,B99)-1</x:f>
        <x:v>98</x:v>
      </x:c>
      <x:c r="B99" s="22" t="n">
        <x:f>I99+K99+M99+O99</x:f>
        <x:v>99</x:v>
      </x:c>
      <x:c r="C99" s="10" t="str">
        <x:f>IF(B99&gt;=93,"A — Highest",IF(B99&gt;=85,"B — Very strong",IF(B99&gt;=75,"C — Strong",IF(B99&gt;=65,"D — Useful","E — Supporting"))))</x:f>
        <x:v>A — Highest</x:v>
      </x:c>
      <x:c r="D99" s="10" t="str">
        <x:v>Research and innovation for the European Green Deal</x:v>
      </x:c>
      <x:c r="E99" s="10" t="str">
        <x:v>2026-05-05</x:v>
      </x:c>
      <x:c r="F99" s="10" t="str">
        <x:v>A</x:v>
      </x:c>
      <x:c r="G99" s="10" t="str">
        <x:v>European Commission — Research &amp; Innovation</x:v>
      </x:c>
      <x:c r="H99" s="10" t="str">
        <x:v>European Commission — Research &amp; Innovation</x:v>
      </x:c>
      <x:c r="I99" s="10" t="n">
        <x:v>55</x:v>
      </x:c>
      <x:c r="J99" s="10" t="str">
        <x:v>EU official / EU body</x:v>
      </x:c>
      <x:c r="K99" s="10" t="n">
        <x:v>25</x:v>
      </x:c>
      <x:c r="L99" s="10" t="str">
        <x:v>Direct EU relevance</x:v>
      </x:c>
      <x:c r="M99" s="10" t="n">
        <x:v>15</x:v>
      </x:c>
      <x:c r="N99" s="10" t="str">
        <x:v>Primary/official source</x:v>
      </x:c>
      <x:c r="O99" s="10" t="n">
        <x:v>4</x:v>
      </x:c>
      <x:c r="P99" s="10" t="str">
        <x:v>research/policy paper</x:v>
      </x:c>
      <x:c r="Q99" s="10" t="str">
        <x:v>direct</x:v>
      </x:c>
      <x:c r="R99" s="10" t="str">
        <x:v>https://research-and-innovation.ec.europa.eu/strategy/strategy-research-and-innovation/environment-and-climate/european-green-deal_en</x:v>
      </x:c>
    </x:row>
    <x:row r="100">
      <x:c r="A100" s="10" t="n">
        <x:f>RANK.EQ(B100,$B$2:$B$446,0)+COUNTIF($B$2:B100,B100)-1</x:f>
        <x:v>99</x:v>
      </x:c>
      <x:c r="B100" s="22" t="n">
        <x:f>I100+K100+M100+O100</x:f>
        <x:v>99</x:v>
      </x:c>
      <x:c r="C100" s="10" t="str">
        <x:f>IF(B100&gt;=93,"A — Highest",IF(B100&gt;=85,"B — Very strong",IF(B100&gt;=75,"C — Strong",IF(B100&gt;=65,"D — Useful","E — Supporting"))))</x:f>
        <x:v>A — Highest</x:v>
      </x:c>
      <x:c r="D100" s="10" t="str">
        <x:v>A world of data in a few hands</x:v>
      </x:c>
      <x:c r="E100" s="10" t="str">
        <x:v>2026-04-29</x:v>
      </x:c>
      <x:c r="F100" s="10" t="str">
        <x:v>A</x:v>
      </x:c>
      <x:c r="G100" s="10" t="str">
        <x:v>European Research Council</x:v>
      </x:c>
      <x:c r="H100" s="10" t="str">
        <x:v>European Research Council</x:v>
      </x:c>
      <x:c r="I100" s="10" t="n">
        <x:v>55</x:v>
      </x:c>
      <x:c r="J100" s="10" t="str">
        <x:v>EU official / EU body</x:v>
      </x:c>
      <x:c r="K100" s="10" t="n">
        <x:v>25</x:v>
      </x:c>
      <x:c r="L100" s="10" t="str">
        <x:v>Direct EU relevance</x:v>
      </x:c>
      <x:c r="M100" s="10" t="n">
        <x:v>15</x:v>
      </x:c>
      <x:c r="N100" s="10" t="str">
        <x:v>Primary/official source</x:v>
      </x:c>
      <x:c r="O100" s="10" t="n">
        <x:v>4</x:v>
      </x:c>
      <x:c r="P100" s="10" t="str">
        <x:v>research/policy paper</x:v>
      </x:c>
      <x:c r="Q100" s="10" t="str">
        <x:v>direct</x:v>
      </x:c>
      <x:c r="R100" s="10" t="str">
        <x:v>https://erc.europa.eu/news-events/magazine-article/world-data-few-hands</x:v>
      </x:c>
    </x:row>
    <x:row r="101">
      <x:c r="A101" s="10" t="n">
        <x:f>RANK.EQ(B101,$B$2:$B$446,0)+COUNTIF($B$2:B101,B101)-1</x:f>
        <x:v>100</x:v>
      </x:c>
      <x:c r="B101" s="22" t="n">
        <x:f>I101+K101+M101+O101</x:f>
        <x:v>99</x:v>
      </x:c>
      <x:c r="C101" s="10" t="str">
        <x:f>IF(B101&gt;=93,"A — Highest",IF(B101&gt;=85,"B — Very strong",IF(B101&gt;=75,"C — Strong",IF(B101&gt;=65,"D — Useful","E — Supporting"))))</x:f>
        <x:v>A — Highest</x:v>
      </x:c>
      <x:c r="D101" s="10" t="str">
        <x:v>Hashtags and handshakes: diplomacy in the age of platforms</x:v>
      </x:c>
      <x:c r="E101" s="10" t="str">
        <x:v>2026-04-29</x:v>
      </x:c>
      <x:c r="F101" s="10" t="str">
        <x:v>A</x:v>
      </x:c>
      <x:c r="G101" s="10" t="str">
        <x:v>European Research Council</x:v>
      </x:c>
      <x:c r="H101" s="10" t="str">
        <x:v>European Research Council</x:v>
      </x:c>
      <x:c r="I101" s="10" t="n">
        <x:v>55</x:v>
      </x:c>
      <x:c r="J101" s="10" t="str">
        <x:v>EU official / EU body</x:v>
      </x:c>
      <x:c r="K101" s="10" t="n">
        <x:v>25</x:v>
      </x:c>
      <x:c r="L101" s="10" t="str">
        <x:v>Direct EU relevance</x:v>
      </x:c>
      <x:c r="M101" s="10" t="n">
        <x:v>15</x:v>
      </x:c>
      <x:c r="N101" s="10" t="str">
        <x:v>Primary/official source</x:v>
      </x:c>
      <x:c r="O101" s="10" t="n">
        <x:v>4</x:v>
      </x:c>
      <x:c r="P101" s="10" t="str">
        <x:v>official policy / institutional framework</x:v>
      </x:c>
      <x:c r="Q101" s="10" t="str">
        <x:v>direct</x:v>
      </x:c>
      <x:c r="R101" s="10" t="str">
        <x:v>https://erc.europa.eu/news-events/magazine-article/hashtags-and-handshakes-diplomacy-age-platforms</x:v>
      </x:c>
    </x:row>
    <x:row r="102">
      <x:c r="A102" s="10" t="n">
        <x:f>RANK.EQ(B102,$B$2:$B$446,0)+COUNTIF($B$2:B102,B102)-1</x:f>
        <x:v>101</x:v>
      </x:c>
      <x:c r="B102" s="22" t="n">
        <x:f>I102+K102+M102+O102</x:f>
        <x:v>99</x:v>
      </x:c>
      <x:c r="C102" s="10" t="str">
        <x:f>IF(B102&gt;=93,"A — Highest",IF(B102&gt;=85,"B — Very strong",IF(B102&gt;=75,"C — Strong",IF(B102&gt;=65,"D — Useful","E — Supporting"))))</x:f>
        <x:v>A — Highest</x:v>
      </x:c>
      <x:c r="D102" s="10" t="str">
        <x:v>Science diplomacy: from utopia to pragmatism</x:v>
      </x:c>
      <x:c r="E102" s="10" t="str">
        <x:v>2026-04-29</x:v>
      </x:c>
      <x:c r="F102" s="10" t="str">
        <x:v>A</x:v>
      </x:c>
      <x:c r="G102" s="10" t="str">
        <x:v>European Research Council</x:v>
      </x:c>
      <x:c r="H102" s="10" t="str">
        <x:v>European Research Council</x:v>
      </x:c>
      <x:c r="I102" s="10" t="n">
        <x:v>55</x:v>
      </x:c>
      <x:c r="J102" s="10" t="str">
        <x:v>EU official / EU body</x:v>
      </x:c>
      <x:c r="K102" s="10" t="n">
        <x:v>25</x:v>
      </x:c>
      <x:c r="L102" s="10" t="str">
        <x:v>Direct EU relevance</x:v>
      </x:c>
      <x:c r="M102" s="10" t="n">
        <x:v>15</x:v>
      </x:c>
      <x:c r="N102" s="10" t="str">
        <x:v>Primary/official source</x:v>
      </x:c>
      <x:c r="O102" s="10" t="n">
        <x:v>4</x:v>
      </x:c>
      <x:c r="P102" s="10" t="str">
        <x:v>research/policy paper</x:v>
      </x:c>
      <x:c r="Q102" s="10" t="str">
        <x:v>direct</x:v>
      </x:c>
      <x:c r="R102" s="10" t="str">
        <x:v>https://erc.europa.eu/news-events/magazine-article/science-diplomacy-utopia-pragmatism</x:v>
      </x:c>
    </x:row>
    <x:row r="103">
      <x:c r="A103" s="10" t="n">
        <x:f>RANK.EQ(B103,$B$2:$B$446,0)+COUNTIF($B$2:B103,B103)-1</x:f>
        <x:v>102</x:v>
      </x:c>
      <x:c r="B103" s="22" t="n">
        <x:f>I103+K103+M103+O103</x:f>
        <x:v>99</x:v>
      </x:c>
      <x:c r="C103" s="10" t="str">
        <x:f>IF(B103&gt;=93,"A — Highest",IF(B103&gt;=85,"B — Very strong",IF(B103&gt;=75,"C — Strong",IF(B103&gt;=65,"D — Useful","E — Supporting"))))</x:f>
        <x:v>A — Highest</x:v>
      </x:c>
      <x:c r="D103" s="10" t="str">
        <x:v>Eight European startups set to receive scale-up funding from the EIC under the STEP Scale Up scheme</x:v>
      </x:c>
      <x:c r="E103" s="10" t="str">
        <x:v>2026-04-27</x:v>
      </x:c>
      <x:c r="F103" s="10" t="str">
        <x:v>A</x:v>
      </x:c>
      <x:c r="G103" s="10" t="str">
        <x:v>European Innovation Council</x:v>
      </x:c>
      <x:c r="H103" s="10" t="str">
        <x:v>European Innovation Council and SMEs Executive Agency</x:v>
      </x:c>
      <x:c r="I103" s="10" t="n">
        <x:v>55</x:v>
      </x:c>
      <x:c r="J103" s="10" t="str">
        <x:v>EU official / EU body</x:v>
      </x:c>
      <x:c r="K103" s="10" t="n">
        <x:v>25</x:v>
      </x:c>
      <x:c r="L103" s="10" t="str">
        <x:v>Direct EU relevance</x:v>
      </x:c>
      <x:c r="M103" s="10" t="n">
        <x:v>15</x:v>
      </x:c>
      <x:c r="N103" s="10" t="str">
        <x:v>Primary/official source</x:v>
      </x:c>
      <x:c r="O103" s="10" t="n">
        <x:v>4</x:v>
      </x:c>
      <x:c r="P103" s="10" t="str">
        <x:v>official notice / primary source</x:v>
      </x:c>
      <x:c r="Q103" s="10" t="str">
        <x:v>direct</x:v>
      </x:c>
      <x:c r="R103" s="10" t="str">
        <x:v>https://eic.ec.europa.eu/news/eight-european-startups-set-receive-scale-funding-eic-under-step-scale-scheme-2026-04-27_en</x:v>
      </x:c>
    </x:row>
    <x:row r="104">
      <x:c r="A104" s="10" t="n">
        <x:f>RANK.EQ(B104,$B$2:$B$446,0)+COUNTIF($B$2:B104,B104)-1</x:f>
        <x:v>103</x:v>
      </x:c>
      <x:c r="B104" s="22" t="n">
        <x:f>I104+K104+M104+O104</x:f>
        <x:v>99</x:v>
      </x:c>
      <x:c r="C104" s="10" t="str">
        <x:f>IF(B104&gt;=93,"A — Highest",IF(B104&gt;=85,"B — Very strong",IF(B104&gt;=75,"C — Strong",IF(B104&gt;=65,"D — Useful","E — Supporting"))))</x:f>
        <x:v>A — Highest</x:v>
      </x:c>
      <x:c r="D104" s="10" t="str">
        <x:v>70 companies selected under the EIC Pre-Accelerator call</x:v>
      </x:c>
      <x:c r="E104" s="10" t="str">
        <x:v>2026-04-23</x:v>
      </x:c>
      <x:c r="F104" s="10" t="str">
        <x:v>A</x:v>
      </x:c>
      <x:c r="G104" s="10" t="str">
        <x:v>European Innovation Council</x:v>
      </x:c>
      <x:c r="H104" s="10" t="str">
        <x:v>European Innovation Council and SMEs Executive Agency</x:v>
      </x:c>
      <x:c r="I104" s="10" t="n">
        <x:v>55</x:v>
      </x:c>
      <x:c r="J104" s="10" t="str">
        <x:v>EU official / EU body</x:v>
      </x:c>
      <x:c r="K104" s="10" t="n">
        <x:v>25</x:v>
      </x:c>
      <x:c r="L104" s="10" t="str">
        <x:v>Direct EU relevance</x:v>
      </x:c>
      <x:c r="M104" s="10" t="n">
        <x:v>15</x:v>
      </x:c>
      <x:c r="N104" s="10" t="str">
        <x:v>Primary/official source</x:v>
      </x:c>
      <x:c r="O104" s="10" t="n">
        <x:v>4</x:v>
      </x:c>
      <x:c r="P104" s="10" t="str">
        <x:v>official notice / primary source</x:v>
      </x:c>
      <x:c r="Q104" s="10" t="str">
        <x:v>direct</x:v>
      </x:c>
      <x:c r="R104" s="10" t="str">
        <x:v>https://eic.ec.europa.eu/news/eic-pre-accelerator-supports-70-early-stage-deep-tech-companies-countries-lower-innovation-2026-04-23_en</x:v>
      </x:c>
    </x:row>
    <x:row r="105">
      <x:c r="A105" s="10" t="n">
        <x:f>RANK.EQ(B105,$B$2:$B$446,0)+COUNTIF($B$2:B105,B105)-1</x:f>
        <x:v>104</x:v>
      </x:c>
      <x:c r="B105" s="22" t="n">
        <x:f>I105+K105+M105+O105</x:f>
        <x:v>99</x:v>
      </x:c>
      <x:c r="C105" s="10" t="str">
        <x:f>IF(B105&gt;=93,"A — Highest",IF(B105&gt;=85,"B — Very strong",IF(B105&gt;=75,"C — Strong",IF(B105&gt;=65,"D — Useful","E — Supporting"))))</x:f>
        <x:v>A — Highest</x:v>
      </x:c>
      <x:c r="D105" s="10" t="str">
        <x:v>International cooperation with North Macedonia in research and innovation</x:v>
      </x:c>
      <x:c r="E105" s="10" t="str">
        <x:v>2026-04-22</x:v>
      </x:c>
      <x:c r="F105" s="10" t="str">
        <x:v>A</x:v>
      </x:c>
      <x:c r="G105" s="10" t="str">
        <x:v>European Commission — Research &amp; Innovation</x:v>
      </x:c>
      <x:c r="H105" s="10" t="str">
        <x:v>European Commission — Research &amp; Innovation</x:v>
      </x:c>
      <x:c r="I105" s="10" t="n">
        <x:v>55</x:v>
      </x:c>
      <x:c r="J105" s="10" t="str">
        <x:v>EU official / EU body</x:v>
      </x:c>
      <x:c r="K105" s="10" t="n">
        <x:v>25</x:v>
      </x:c>
      <x:c r="L105" s="10" t="str">
        <x:v>Direct EU relevance</x:v>
      </x:c>
      <x:c r="M105" s="10" t="n">
        <x:v>15</x:v>
      </x:c>
      <x:c r="N105" s="10" t="str">
        <x:v>Primary/official source</x:v>
      </x:c>
      <x:c r="O105" s="10" t="n">
        <x:v>4</x:v>
      </x:c>
      <x:c r="P105" s="10" t="str">
        <x:v>research/policy paper</x:v>
      </x:c>
      <x:c r="Q105" s="10" t="str">
        <x:v>direct</x:v>
      </x:c>
      <x:c r="R105" s="10" t="str">
        <x:v>https://research-and-innovation.ec.europa.eu/strategy/strategy-research-and-innovation/europe-world/international-cooperation/association-horizon-europe/north-macedonia_en</x:v>
      </x:c>
    </x:row>
    <x:row r="106">
      <x:c r="A106" s="10" t="n">
        <x:f>RANK.EQ(B106,$B$2:$B$446,0)+COUNTIF($B$2:B106,B106)-1</x:f>
        <x:v>105</x:v>
      </x:c>
      <x:c r="B106" s="22" t="n">
        <x:f>I106+K106+M106+O106</x:f>
        <x:v>99</x:v>
      </x:c>
      <x:c r="C106" s="10" t="str">
        <x:f>IF(B106&gt;=93,"A — Highest",IF(B106&gt;=85,"B — Very strong",IF(B106&gt;=75,"C — Strong",IF(B106&gt;=65,"D — Useful","E — Supporting"))))</x:f>
        <x:v>A — Highest</x:v>
      </x:c>
      <x:c r="D106" s="10" t="str">
        <x:v>First release of the EuroHPC Federation Platform to streamline access to Europe’s supercomputing resources</x:v>
      </x:c>
      <x:c r="E106" s="10" t="str">
        <x:v>2026-04-15</x:v>
      </x:c>
      <x:c r="F106" s="10" t="str">
        <x:v>A</x:v>
      </x:c>
      <x:c r="G106" s="10" t="str">
        <x:v>EuroHPC Joint Undertaking</x:v>
      </x:c>
      <x:c r="H106" s="10" t="str">
        <x:v>European High-Performance Computing Joint Undertaking</x:v>
      </x:c>
      <x:c r="I106" s="10" t="n">
        <x:v>55</x:v>
      </x:c>
      <x:c r="J106" s="10" t="str">
        <x:v>EU official / EU body</x:v>
      </x:c>
      <x:c r="K106" s="10" t="n">
        <x:v>25</x:v>
      </x:c>
      <x:c r="L106" s="10" t="str">
        <x:v>Direct EU relevance</x:v>
      </x:c>
      <x:c r="M106" s="10" t="n">
        <x:v>15</x:v>
      </x:c>
      <x:c r="N106" s="10" t="str">
        <x:v>Primary/official source</x:v>
      </x:c>
      <x:c r="O106" s="10" t="n">
        <x:v>4</x:v>
      </x:c>
      <x:c r="P106" s="10" t="str">
        <x:v>official policy / institutional framework</x:v>
      </x:c>
      <x:c r="Q106" s="10" t="str">
        <x:v>direct</x:v>
      </x:c>
      <x:c r="R106" s="10" t="str">
        <x:v>https://www.eurohpc-ju.europa.eu/first-release-eurohpc-federation-platform-streamline-access-europes-supercomputing-resources-2026-04-15_en</x:v>
      </x:c>
    </x:row>
    <x:row r="107">
      <x:c r="A107" s="10" t="n">
        <x:f>RANK.EQ(B107,$B$2:$B$446,0)+COUNTIF($B$2:B107,B107)-1</x:f>
        <x:v>106</x:v>
      </x:c>
      <x:c r="B107" s="22" t="n">
        <x:f>I107+K107+M107+O107</x:f>
        <x:v>99</x:v>
      </x:c>
      <x:c r="C107" s="10" t="str">
        <x:f>IF(B107&gt;=93,"A — Highest",IF(B107&gt;=85,"B — Very strong",IF(B107&gt;=75,"C — Strong",IF(B107&gt;=65,"D — Useful","E — Supporting"))))</x:f>
        <x:v>A — Highest</x:v>
      </x:c>
      <x:c r="D107" s="10" t="str">
        <x:v>EuroHPC JU Inaugurates a Quantum Computer in France, Strengthening Europe’s Sovereignty</x:v>
      </x:c>
      <x:c r="E107" s="10" t="str">
        <x:v>2026-04-14</x:v>
      </x:c>
      <x:c r="F107" s="10" t="str">
        <x:v>A</x:v>
      </x:c>
      <x:c r="G107" s="10" t="str">
        <x:v>EuroHPC Joint Undertaking</x:v>
      </x:c>
      <x:c r="H107" s="10" t="str">
        <x:v>European High-Performance Computing Joint Undertaking</x:v>
      </x:c>
      <x:c r="I107" s="10" t="n">
        <x:v>55</x:v>
      </x:c>
      <x:c r="J107" s="10" t="str">
        <x:v>EU official / EU body</x:v>
      </x:c>
      <x:c r="K107" s="10" t="n">
        <x:v>25</x:v>
      </x:c>
      <x:c r="L107" s="10" t="str">
        <x:v>Direct EU relevance</x:v>
      </x:c>
      <x:c r="M107" s="10" t="n">
        <x:v>15</x:v>
      </x:c>
      <x:c r="N107" s="10" t="str">
        <x:v>Primary/official source</x:v>
      </x:c>
      <x:c r="O107" s="10" t="n">
        <x:v>4</x:v>
      </x:c>
      <x:c r="P107" s="10" t="str">
        <x:v>research/policy paper</x:v>
      </x:c>
      <x:c r="Q107" s="10" t="str">
        <x:v>direct</x:v>
      </x:c>
      <x:c r="R107" s="10" t="str">
        <x:v>https://www.eurohpc-ju.europa.eu/eurohpc-ju-inaugurates-quantum-computer-france-strengthening-europes-sovereignty-2026-04-14_en</x:v>
      </x:c>
    </x:row>
    <x:row r="108">
      <x:c r="A108" s="10" t="n">
        <x:f>RANK.EQ(B108,$B$2:$B$446,0)+COUNTIF($B$2:B108,B108)-1</x:f>
        <x:v>107</x:v>
      </x:c>
      <x:c r="B108" s="22" t="n">
        <x:f>I108+K108+M108+O108</x:f>
        <x:v>99</x:v>
      </x:c>
      <x:c r="C108" s="10" t="str">
        <x:f>IF(B108&gt;=93,"A — Highest",IF(B108&gt;=85,"B — Very strong",IF(B108&gt;=75,"C — Strong",IF(B108&gt;=65,"D — Useful","E — Supporting"))))</x:f>
        <x:v>A — Highest</x:v>
      </x:c>
      <x:c r="D108" s="10" t="str">
        <x:v>International cooperation with Canada in research and innovation</x:v>
      </x:c>
      <x:c r="E108" s="10" t="str">
        <x:v>2026-04-07</x:v>
      </x:c>
      <x:c r="F108" s="10" t="str">
        <x:v>A</x:v>
      </x:c>
      <x:c r="G108" s="10" t="str">
        <x:v>European Commission — Research &amp; Innovation</x:v>
      </x:c>
      <x:c r="H108" s="10" t="str">
        <x:v>European Commission — Research &amp; Innovation</x:v>
      </x:c>
      <x:c r="I108" s="10" t="n">
        <x:v>55</x:v>
      </x:c>
      <x:c r="J108" s="10" t="str">
        <x:v>EU official / EU body</x:v>
      </x:c>
      <x:c r="K108" s="10" t="n">
        <x:v>25</x:v>
      </x:c>
      <x:c r="L108" s="10" t="str">
        <x:v>Direct EU relevance</x:v>
      </x:c>
      <x:c r="M108" s="10" t="n">
        <x:v>15</x:v>
      </x:c>
      <x:c r="N108" s="10" t="str">
        <x:v>Primary/official source</x:v>
      </x:c>
      <x:c r="O108" s="10" t="n">
        <x:v>4</x:v>
      </x:c>
      <x:c r="P108" s="10" t="str">
        <x:v>research/policy paper</x:v>
      </x:c>
      <x:c r="Q108" s="10" t="str">
        <x:v>direct</x:v>
      </x:c>
      <x:c r="R108" s="10" t="str">
        <x:v>https://research-and-innovation.ec.europa.eu/strategy/strategy-research-and-innovation/europe-world/international-cooperation/association-horizon-europe/canada_en</x:v>
      </x:c>
    </x:row>
    <x:row r="109">
      <x:c r="A109" s="10" t="n">
        <x:f>RANK.EQ(B109,$B$2:$B$446,0)+COUNTIF($B$2:B109,B109)-1</x:f>
        <x:v>108</x:v>
      </x:c>
      <x:c r="B109" s="22" t="n">
        <x:f>I109+K109+M109+O109</x:f>
        <x:v>99</x:v>
      </x:c>
      <x:c r="C109" s="10" t="str">
        <x:f>IF(B109&gt;=93,"A — Highest",IF(B109&gt;=85,"B — Very strong",IF(B109&gt;=75,"C — Strong",IF(B109&gt;=65,"D — Useful","E — Supporting"))))</x:f>
        <x:v>A — Highest</x:v>
      </x:c>
      <x:c r="D109" s="10" t="str">
        <x:v>EIC Tech Report 2026 identifies 25 emerging deep tech signals to support Europe’s strategic autonomy and resilience</x:v>
      </x:c>
      <x:c r="E109" s="10" t="str">
        <x:v>2026-03-30</x:v>
      </x:c>
      <x:c r="F109" s="10" t="str">
        <x:v>A</x:v>
      </x:c>
      <x:c r="G109" s="10" t="str">
        <x:v>European Innovation Council</x:v>
      </x:c>
      <x:c r="H109" s="10" t="str">
        <x:v>European Innovation Council and SMEs Executive Agency</x:v>
      </x:c>
      <x:c r="I109" s="10" t="n">
        <x:v>55</x:v>
      </x:c>
      <x:c r="J109" s="10" t="str">
        <x:v>EU official / EU body</x:v>
      </x:c>
      <x:c r="K109" s="10" t="n">
        <x:v>25</x:v>
      </x:c>
      <x:c r="L109" s="10" t="str">
        <x:v>Direct EU relevance</x:v>
      </x:c>
      <x:c r="M109" s="10" t="n">
        <x:v>15</x:v>
      </x:c>
      <x:c r="N109" s="10" t="str">
        <x:v>Primary/official source</x:v>
      </x:c>
      <x:c r="O109" s="10" t="n">
        <x:v>4</x:v>
      </x:c>
      <x:c r="P109" s="10" t="str">
        <x:v>official notice / primary source</x:v>
      </x:c>
      <x:c r="Q109" s="10" t="str">
        <x:v>direct</x:v>
      </x:c>
      <x:c r="R109" s="10" t="str">
        <x:v>https://eic.ec.europa.eu/news/eic-tech-report-2026-identifies-25-emerging-deep-tech-signals-support-europes-strategic-autonomy-and-2026-03-30_en</x:v>
      </x:c>
    </x:row>
    <x:row r="110">
      <x:c r="A110" s="10" t="n">
        <x:f>RANK.EQ(B110,$B$2:$B$446,0)+COUNTIF($B$2:B110,B110)-1</x:f>
        <x:v>109</x:v>
      </x:c>
      <x:c r="B110" s="22" t="n">
        <x:f>I110+K110+M110+O110</x:f>
        <x:v>99</x:v>
      </x:c>
      <x:c r="C110" s="10" t="str">
        <x:f>IF(B110&gt;=93,"A — Highest",IF(B110&gt;=85,"B — Very strong",IF(B110&gt;=75,"C — Strong",IF(B110&gt;=65,"D — Useful","E — Supporting"))))</x:f>
        <x:v>A — Highest</x:v>
      </x:c>
      <x:c r="D110" s="10" t="str">
        <x:v>EuroHPC JU Signs Contract to Deploy AI Supercomputer HammerHAI</x:v>
      </x:c>
      <x:c r="E110" s="10" t="str">
        <x:v>2026-03-16</x:v>
      </x:c>
      <x:c r="F110" s="10" t="str">
        <x:v>A</x:v>
      </x:c>
      <x:c r="G110" s="10" t="str">
        <x:v>EuroHPC Joint Undertaking</x:v>
      </x:c>
      <x:c r="H110" s="10" t="str">
        <x:v>European High-Performance Computing Joint Undertaking</x:v>
      </x:c>
      <x:c r="I110" s="10" t="n">
        <x:v>55</x:v>
      </x:c>
      <x:c r="J110" s="10" t="str">
        <x:v>EU official / EU body</x:v>
      </x:c>
      <x:c r="K110" s="10" t="n">
        <x:v>25</x:v>
      </x:c>
      <x:c r="L110" s="10" t="str">
        <x:v>Direct EU relevance</x:v>
      </x:c>
      <x:c r="M110" s="10" t="n">
        <x:v>15</x:v>
      </x:c>
      <x:c r="N110" s="10" t="str">
        <x:v>Primary/official source</x:v>
      </x:c>
      <x:c r="O110" s="10" t="n">
        <x:v>4</x:v>
      </x:c>
      <x:c r="P110" s="10" t="str">
        <x:v>research/policy paper</x:v>
      </x:c>
      <x:c r="Q110" s="10" t="str">
        <x:v>direct</x:v>
      </x:c>
      <x:c r="R110" s="10" t="str">
        <x:v>https://www.eurohpc-ju.europa.eu/eurohpc-ju-signs-contract-deploy-ai-supercomputer-hammerhai-2026-03-16_en</x:v>
      </x:c>
    </x:row>
    <x:row r="111">
      <x:c r="A111" s="10" t="n">
        <x:f>RANK.EQ(B111,$B$2:$B$446,0)+COUNTIF($B$2:B111,B111)-1</x:f>
        <x:v>110</x:v>
      </x:c>
      <x:c r="B111" s="22" t="n">
        <x:f>I111+K111+M111+O111</x:f>
        <x:v>99</x:v>
      </x:c>
      <x:c r="C111" s="10" t="str">
        <x:f>IF(B111&gt;=93,"A — Highest",IF(B111&gt;=85,"B — Very strong",IF(B111&gt;=75,"C — Strong",IF(B111&gt;=65,"D — Useful","E — Supporting"))))</x:f>
        <x:v>A — Highest</x:v>
      </x:c>
      <x:c r="D111" s="10" t="str">
        <x:v>International cooperation with Algeria in research and innovation</x:v>
      </x:c>
      <x:c r="E111" s="10" t="str">
        <x:v>2026-03-11</x:v>
      </x:c>
      <x:c r="F111" s="10" t="str">
        <x:v>A</x:v>
      </x:c>
      <x:c r="G111" s="10" t="str">
        <x:v>European Commission — Research &amp; Innovation</x:v>
      </x:c>
      <x:c r="H111" s="10" t="str">
        <x:v>European Commission — Research &amp; Innovation</x:v>
      </x:c>
      <x:c r="I111" s="10" t="n">
        <x:v>55</x:v>
      </x:c>
      <x:c r="J111" s="10" t="str">
        <x:v>EU official / EU body</x:v>
      </x:c>
      <x:c r="K111" s="10" t="n">
        <x:v>25</x:v>
      </x:c>
      <x:c r="L111" s="10" t="str">
        <x:v>Direct EU relevance</x:v>
      </x:c>
      <x:c r="M111" s="10" t="n">
        <x:v>15</x:v>
      </x:c>
      <x:c r="N111" s="10" t="str">
        <x:v>Primary/official source</x:v>
      </x:c>
      <x:c r="O111" s="10" t="n">
        <x:v>4</x:v>
      </x:c>
      <x:c r="P111" s="10" t="str">
        <x:v>research/policy paper</x:v>
      </x:c>
      <x:c r="Q111" s="10" t="str">
        <x:v>direct</x:v>
      </x:c>
      <x:c r="R111" s="10" t="str">
        <x:v>https://research-and-innovation.ec.europa.eu/strategy/strategy-research-and-innovation/europe-world/international-cooperation/bilateral-cooperation-science-and-technology-agreements-non-eu-countries/algeria_en</x:v>
      </x:c>
    </x:row>
    <x:row r="112">
      <x:c r="A112" s="10" t="n">
        <x:f>RANK.EQ(B112,$B$2:$B$446,0)+COUNTIF($B$2:B112,B112)-1</x:f>
        <x:v>111</x:v>
      </x:c>
      <x:c r="B112" s="22" t="n">
        <x:f>I112+K112+M112+O112</x:f>
        <x:v>99</x:v>
      </x:c>
      <x:c r="C112" s="10" t="str">
        <x:f>IF(B112&gt;=93,"A — Highest",IF(B112&gt;=85,"B — Very strong",IF(B112&gt;=75,"C — Strong",IF(B112&gt;=65,"D — Useful","E — Supporting"))))</x:f>
        <x:v>A — Highest</x:v>
      </x:c>
      <x:c r="D112" s="10" t="str">
        <x:v>Safe and sustainable by design</x:v>
      </x:c>
      <x:c r="E112" s="10" t="str">
        <x:v>2026-03-06</x:v>
      </x:c>
      <x:c r="F112" s="10" t="str">
        <x:v>A</x:v>
      </x:c>
      <x:c r="G112" s="10" t="str">
        <x:v>European Commission — Research &amp; Innovation</x:v>
      </x:c>
      <x:c r="H112" s="10" t="str">
        <x:v>European Commission — Research &amp; Innovation</x:v>
      </x:c>
      <x:c r="I112" s="10" t="n">
        <x:v>55</x:v>
      </x:c>
      <x:c r="J112" s="10" t="str">
        <x:v>EU official / EU body</x:v>
      </x:c>
      <x:c r="K112" s="10" t="n">
        <x:v>25</x:v>
      </x:c>
      <x:c r="L112" s="10" t="str">
        <x:v>Direct EU relevance</x:v>
      </x:c>
      <x:c r="M112" s="10" t="n">
        <x:v>15</x:v>
      </x:c>
      <x:c r="N112" s="10" t="str">
        <x:v>Primary/official source</x:v>
      </x:c>
      <x:c r="O112" s="10" t="n">
        <x:v>4</x:v>
      </x:c>
      <x:c r="P112" s="10" t="str">
        <x:v>research/policy paper</x:v>
      </x:c>
      <x:c r="Q112" s="10" t="str">
        <x:v>direct</x:v>
      </x:c>
      <x:c r="R112" s="10" t="str">
        <x:v>https://research-and-innovation.ec.europa.eu/research-area/industrial-research-and-innovation/chemicals-and-advanced-materials/safe-and-sustainable-design_en</x:v>
      </x:c>
    </x:row>
    <x:row r="113">
      <x:c r="A113" s="10" t="n">
        <x:f>RANK.EQ(B113,$B$2:$B$446,0)+COUNTIF($B$2:B113,B113)-1</x:f>
        <x:v>112</x:v>
      </x:c>
      <x:c r="B113" s="22" t="n">
        <x:f>I113+K113+M113+O113</x:f>
        <x:v>97</x:v>
      </x:c>
      <x:c r="C113" s="10" t="str">
        <x:f>IF(B113&gt;=93,"A — Highest",IF(B113&gt;=85,"B — Very strong",IF(B113&gt;=75,"C — Strong",IF(B113&gt;=65,"D — Useful","E — Supporting"))))</x:f>
        <x:v>A — Highest</x:v>
      </x:c>
      <x:c r="D113" s="10" t="str">
        <x:v>Second EU-Taiwan Semiconductor Industry Dialogue</x:v>
      </x:c>
      <x:c r="E113" s="10" t="str">
        <x:v>2026-09-01</x:v>
      </x:c>
      <x:c r="F113" s="10" t="str">
        <x:v>C</x:v>
      </x:c>
      <x:c r="G113" s="10" t="str">
        <x:v>European Commission — Digital Strategy</x:v>
      </x:c>
      <x:c r="H113" s="10" t="str"/>
      <x:c r="I113" s="10" t="n">
        <x:v>55</x:v>
      </x:c>
      <x:c r="J113" s="10" t="str">
        <x:v>EU official / EU body</x:v>
      </x:c>
      <x:c r="K113" s="10" t="n">
        <x:v>25</x:v>
      </x:c>
      <x:c r="L113" s="10" t="str">
        <x:v>Direct EU signal</x:v>
      </x:c>
      <x:c r="M113" s="10" t="n">
        <x:v>15</x:v>
      </x:c>
      <x:c r="N113" s="10" t="str">
        <x:v>Primary/official source</x:v>
      </x:c>
      <x:c r="O113" s="10" t="n">
        <x:v>2</x:v>
      </x:c>
      <x:c r="P113" s="10" t="str">
        <x:v>cooperation / alignment</x:v>
      </x:c>
      <x:c r="Q113" s="10" t="str"/>
      <x:c r="R113" s="10" t="str">
        <x:v>https://digital-strategy.ec.europa.eu/en/news/second-eu-taiwan-semiconductor-industry-dialogue</x:v>
      </x:c>
    </x:row>
    <x:row r="114">
      <x:c r="A114" s="10" t="n">
        <x:f>RANK.EQ(B114,$B$2:$B$446,0)+COUNTIF($B$2:B114,B114)-1</x:f>
        <x:v>113</x:v>
      </x:c>
      <x:c r="B114" s="22" t="n">
        <x:f>I114+K114+M114+O114</x:f>
        <x:v>92</x:v>
      </x:c>
      <x:c r="C114" s="10" t="str">
        <x:f>IF(B114&gt;=93,"A — Highest",IF(B114&gt;=85,"B — Very strong",IF(B114&gt;=75,"C — Strong",IF(B114&gt;=65,"D — Useful","E — Supporting"))))</x:f>
        <x:v>B — Very strong</x:v>
      </x:c>
      <x:c r="D114" s="10" t="str">
        <x:v>National Knowledge Security Guidelines 2026</x:v>
      </x:c>
      <x:c r="E114" s="10" t="str">
        <x:v>2026-07-09</x:v>
      </x:c>
      <x:c r="F114" s="10" t="str">
        <x:v>A</x:v>
      </x:c>
      <x:c r="G114" s="10" t="str">
        <x:v>National Contact Point for Knowledge Security, Government of the Netherlands</x:v>
      </x:c>
      <x:c r="H114" s="10" t="str">
        <x:v>Loket Kennisveiligheid / Government of the Netherlands</x:v>
      </x:c>
      <x:c r="I114" s="10" t="n">
        <x:v>48</x:v>
      </x:c>
      <x:c r="J114" s="10" t="str">
        <x:v>Major public / international body</x:v>
      </x:c>
      <x:c r="K114" s="10" t="n">
        <x:v>25</x:v>
      </x:c>
      <x:c r="L114" s="10" t="str">
        <x:v>Direct EU relevance</x:v>
      </x:c>
      <x:c r="M114" s="10" t="n">
        <x:v>14</x:v>
      </x:c>
      <x:c r="N114" s="10" t="str">
        <x:v>Manually verified research/policy source</x:v>
      </x:c>
      <x:c r="O114" s="10" t="n">
        <x:v>5</x:v>
      </x:c>
      <x:c r="P114" s="10" t="str">
        <x:v>manual-verified scholarly/policy source</x:v>
      </x:c>
      <x:c r="Q114" s="10" t="str">
        <x:v>direct</x:v>
      </x:c>
      <x:c r="R114" s="10" t="str">
        <x:v>https://english.loketkennisveiligheid.nl/documents/2026/7/9/national-knowledge-security-guidelines-2026</x:v>
      </x:c>
    </x:row>
    <x:row r="115">
      <x:c r="A115" s="10" t="n">
        <x:f>RANK.EQ(B115,$B$2:$B$446,0)+COUNTIF($B$2:B115,B115)-1</x:f>
        <x:v>114</x:v>
      </x:c>
      <x:c r="B115" s="22" t="n">
        <x:f>I115+K115+M115+O115</x:f>
        <x:v>92</x:v>
      </x:c>
      <x:c r="C115" s="10" t="str">
        <x:f>IF(B115&gt;=93,"A — Highest",IF(B115&gt;=85,"B — Very strong",IF(B115&gt;=75,"C — Strong",IF(B115&gt;=65,"D — Useful","E — Supporting"))))</x:f>
        <x:v>B — Very strong</x:v>
      </x:c>
      <x:c r="D115" s="10" t="str">
        <x:v>Geopolitics in Science Policy: Dilemmas for the mobilisation of research</x:v>
      </x:c>
      <x:c r="E115" s="10" t="str">
        <x:v>2026-05-04</x:v>
      </x:c>
      <x:c r="F115" s="10" t="str">
        <x:v>A</x:v>
      </x:c>
      <x:c r="G115" s="10" t="str">
        <x:v>Rathenau Instituut</x:v>
      </x:c>
      <x:c r="H115" s="10" t="str">
        <x:v>Baar, E.; Eveleens, C.; Baarslag, V.; Deuten, J.</x:v>
      </x:c>
      <x:c r="I115" s="10" t="n">
        <x:v>48</x:v>
      </x:c>
      <x:c r="J115" s="10" t="str">
        <x:v>Major public / international body</x:v>
      </x:c>
      <x:c r="K115" s="10" t="n">
        <x:v>25</x:v>
      </x:c>
      <x:c r="L115" s="10" t="str">
        <x:v>Direct EU relevance</x:v>
      </x:c>
      <x:c r="M115" s="10" t="n">
        <x:v>14</x:v>
      </x:c>
      <x:c r="N115" s="10" t="str">
        <x:v>Manually verified research/policy source</x:v>
      </x:c>
      <x:c r="O115" s="10" t="n">
        <x:v>5</x:v>
      </x:c>
      <x:c r="P115" s="10" t="str">
        <x:v>manual-verified scholarly/policy source</x:v>
      </x:c>
      <x:c r="Q115" s="10" t="str">
        <x:v>direct</x:v>
      </x:c>
      <x:c r="R115" s="10" t="str">
        <x:v>https://www.rathenau.nl/en/knowledge-and-innovation-transitions/challenge-driven-knowledge-and-innovation-policy/geopolitics-science-policy</x:v>
      </x:c>
    </x:row>
    <x:row r="116">
      <x:c r="A116" s="10" t="n">
        <x:f>RANK.EQ(B116,$B$2:$B$446,0)+COUNTIF($B$2:B116,B116)-1</x:f>
        <x:v>115</x:v>
      </x:c>
      <x:c r="B116" s="22" t="n">
        <x:f>I116+K116+M116+O116</x:f>
        <x:v>91</x:v>
      </x:c>
      <x:c r="C116" s="10" t="str">
        <x:f>IF(B116&gt;=93,"A — Highest",IF(B116&gt;=85,"B — Very strong",IF(B116&gt;=75,"C — Strong",IF(B116&gt;=65,"D — Useful","E — Supporting"))))</x:f>
        <x:v>B — Very strong</x:v>
      </x:c>
      <x:c r="D116" s="10" t="str">
        <x:v>Can science diplomacy help safeguard science as a global public good? Reflections on strategy, data and people</x:v>
      </x:c>
      <x:c r="E116" s="10" t="str">
        <x:v>2026-08-12</x:v>
      </x:c>
      <x:c r="F116" s="10" t="str">
        <x:v>A</x:v>
      </x:c>
      <x:c r="G116" s="10" t="str">
        <x:v>Royal Society Open Science</x:v>
      </x:c>
      <x:c r="H116" s="10" t="str">
        <x:v>Angela Liberatore</x:v>
      </x:c>
      <x:c r="I116" s="10" t="n">
        <x:v>46</x:v>
      </x:c>
      <x:c r="J116" s="10" t="str">
        <x:v>Leading peer-reviewed journal</x:v>
      </x:c>
      <x:c r="K116" s="10" t="n">
        <x:v>25</x:v>
      </x:c>
      <x:c r="L116" s="10" t="str">
        <x:v>Direct EU relevance</x:v>
      </x:c>
      <x:c r="M116" s="10" t="n">
        <x:v>15</x:v>
      </x:c>
      <x:c r="N116" s="10" t="str">
        <x:v>Peer-reviewed article</x:v>
      </x:c>
      <x:c r="O116" s="10" t="n">
        <x:v>5</x:v>
      </x:c>
      <x:c r="P116" s="10" t="str">
        <x:v>peer-reviewed article</x:v>
      </x:c>
      <x:c r="Q116" s="10" t="str">
        <x:v>direct</x:v>
      </x:c>
      <x:c r="R116" s="10" t="str">
        <x:v>https://doi.org/10.1098/rsos.260721</x:v>
      </x:c>
    </x:row>
    <x:row r="117">
      <x:c r="A117" s="10" t="n">
        <x:f>RANK.EQ(B117,$B$2:$B$446,0)+COUNTIF($B$2:B117,B117)-1</x:f>
        <x:v>116</x:v>
      </x:c>
      <x:c r="B117" s="22" t="n">
        <x:f>I117+K117+M117+O117</x:f>
        <x:v>91</x:v>
      </x:c>
      <x:c r="C117" s="10" t="str">
        <x:f>IF(B117&gt;=93,"A — Highest",IF(B117&gt;=85,"B — Very strong",IF(B117&gt;=75,"C — Strong",IF(B117&gt;=65,"D — Useful","E — Supporting"))))</x:f>
        <x:v>B — Very strong</x:v>
      </x:c>
      <x:c r="D117" s="10" t="str">
        <x:v>The Neo-Academic Cold War: Political Traumas and Transnational Paranoia</x:v>
      </x:c>
      <x:c r="E117" s="10" t="str">
        <x:v>2026-08-10</x:v>
      </x:c>
      <x:c r="F117" s="10" t="str">
        <x:v>A</x:v>
      </x:c>
      <x:c r="G117" s="10" t="str">
        <x:v>Higher Education Policy</x:v>
      </x:c>
      <x:c r="H117" s="10" t="str">
        <x:v>John Aubrey Douglass</x:v>
      </x:c>
      <x:c r="I117" s="10" t="n">
        <x:v>46</x:v>
      </x:c>
      <x:c r="J117" s="10" t="str">
        <x:v>Leading peer-reviewed journal</x:v>
      </x:c>
      <x:c r="K117" s="10" t="n">
        <x:v>25</x:v>
      </x:c>
      <x:c r="L117" s="10" t="str">
        <x:v>Direct EU relevance</x:v>
      </x:c>
      <x:c r="M117" s="10" t="n">
        <x:v>15</x:v>
      </x:c>
      <x:c r="N117" s="10" t="str">
        <x:v>Peer-reviewed article</x:v>
      </x:c>
      <x:c r="O117" s="10" t="n">
        <x:v>5</x:v>
      </x:c>
      <x:c r="P117" s="10" t="str">
        <x:v>peer-reviewed article</x:v>
      </x:c>
      <x:c r="Q117" s="10" t="str">
        <x:v>direct</x:v>
      </x:c>
      <x:c r="R117" s="10" t="str">
        <x:v>https://doi.org/10.1057/s41307-026-00465-z</x:v>
      </x:c>
    </x:row>
    <x:row r="118">
      <x:c r="A118" s="10" t="n">
        <x:f>RANK.EQ(B118,$B$2:$B$446,0)+COUNTIF($B$2:B118,B118)-1</x:f>
        <x:v>117</x:v>
      </x:c>
      <x:c r="B118" s="22" t="n">
        <x:f>I118+K118+M118+O118</x:f>
        <x:v>91</x:v>
      </x:c>
      <x:c r="C118" s="10" t="str">
        <x:f>IF(B118&gt;=93,"A — Highest",IF(B118&gt;=85,"B — Very strong",IF(B118&gt;=75,"C — Strong",IF(B118&gt;=65,"D — Useful","E — Supporting"))))</x:f>
        <x:v>B — Very strong</x:v>
      </x:c>
      <x:c r="D118" s="10" t="str">
        <x:v>Why do Open Science policies fall short? Institutional logics and ethical framings in policy implementation in Finland</x:v>
      </x:c>
      <x:c r="E118" s="10" t="str">
        <x:v>2026-07-28</x:v>
      </x:c>
      <x:c r="F118" s="10" t="str">
        <x:v>A</x:v>
      </x:c>
      <x:c r="G118" s="10" t="str">
        <x:v>Science and Public Policy</x:v>
      </x:c>
      <x:c r="H118" s="10" t="str">
        <x:v>Erika Lilja</x:v>
      </x:c>
      <x:c r="I118" s="10" t="n">
        <x:v>46</x:v>
      </x:c>
      <x:c r="J118" s="10" t="str">
        <x:v>Leading peer-reviewed journal</x:v>
      </x:c>
      <x:c r="K118" s="10" t="n">
        <x:v>25</x:v>
      </x:c>
      <x:c r="L118" s="10" t="str">
        <x:v>Direct EU relevance</x:v>
      </x:c>
      <x:c r="M118" s="10" t="n">
        <x:v>15</x:v>
      </x:c>
      <x:c r="N118" s="10" t="str">
        <x:v>Peer-reviewed article</x:v>
      </x:c>
      <x:c r="O118" s="10" t="n">
        <x:v>5</x:v>
      </x:c>
      <x:c r="P118" s="10" t="str">
        <x:v>peer-reviewed article</x:v>
      </x:c>
      <x:c r="Q118" s="10" t="str">
        <x:v>direct</x:v>
      </x:c>
      <x:c r="R118" s="10" t="str">
        <x:v>https://doi.org/10.1093/scipol/scag072</x:v>
      </x:c>
    </x:row>
    <x:row r="119">
      <x:c r="A119" s="10" t="n">
        <x:f>RANK.EQ(B119,$B$2:$B$446,0)+COUNTIF($B$2:B119,B119)-1</x:f>
        <x:v>118</x:v>
      </x:c>
      <x:c r="B119" s="22" t="n">
        <x:f>I119+K119+M119+O119</x:f>
        <x:v>91</x:v>
      </x:c>
      <x:c r="C119" s="10" t="str">
        <x:f>IF(B119&gt;=93,"A — Highest",IF(B119&gt;=85,"B — Very strong",IF(B119&gt;=75,"C — Strong",IF(B119&gt;=65,"D — Useful","E — Supporting"))))</x:f>
        <x:v>B — Very strong</x:v>
      </x:c>
      <x:c r="D119" s="10" t="str">
        <x:v>Shaping the Protein Transition From the Niche: Firm‐Level Dynamics in Europe's Plant‐Based Alternative Protein Sector</x:v>
      </x:c>
      <x:c r="E119" s="10" t="str">
        <x:v>2026-07-09</x:v>
      </x:c>
      <x:c r="F119" s="10" t="str">
        <x:v>A</x:v>
      </x:c>
      <x:c r="G119" s="10" t="str">
        <x:v>Business Strategy and the Environment</x:v>
      </x:c>
      <x:c r="H119" s="10" t="str">
        <x:v>Francesca Monticone, Antonella Samoggia</x:v>
      </x:c>
      <x:c r="I119" s="10" t="n">
        <x:v>46</x:v>
      </x:c>
      <x:c r="J119" s="10" t="str">
        <x:v>Leading peer-reviewed journal</x:v>
      </x:c>
      <x:c r="K119" s="10" t="n">
        <x:v>25</x:v>
      </x:c>
      <x:c r="L119" s="10" t="str">
        <x:v>Direct EU relevance</x:v>
      </x:c>
      <x:c r="M119" s="10" t="n">
        <x:v>15</x:v>
      </x:c>
      <x:c r="N119" s="10" t="str">
        <x:v>Peer-reviewed article</x:v>
      </x:c>
      <x:c r="O119" s="10" t="n">
        <x:v>5</x:v>
      </x:c>
      <x:c r="P119" s="10" t="str">
        <x:v>peer-reviewed article</x:v>
      </x:c>
      <x:c r="Q119" s="10" t="str">
        <x:v>direct</x:v>
      </x:c>
      <x:c r="R119" s="10" t="str">
        <x:v>https://doi.org/10.1002/bse.71254</x:v>
      </x:c>
    </x:row>
    <x:row r="120">
      <x:c r="A120" s="10" t="n">
        <x:f>RANK.EQ(B120,$B$2:$B$446,0)+COUNTIF($B$2:B120,B120)-1</x:f>
        <x:v>119</x:v>
      </x:c>
      <x:c r="B120" s="22" t="n">
        <x:f>I120+K120+M120+O120</x:f>
        <x:v>91</x:v>
      </x:c>
      <x:c r="C120" s="10" t="str">
        <x:f>IF(B120&gt;=93,"A — Highest",IF(B120&gt;=85,"B — Very strong",IF(B120&gt;=75,"C — Strong",IF(B120&gt;=65,"D — Useful","E — Supporting"))))</x:f>
        <x:v>B — Very strong</x:v>
      </x:c>
      <x:c r="D120" s="10" t="str">
        <x:v>China and Limits to the European Union's Geoeconomic Turn</x:v>
      </x:c>
      <x:c r="E120" s="10" t="str">
        <x:v>2026-07-06</x:v>
      </x:c>
      <x:c r="F120" s="10" t="str">
        <x:v>A</x:v>
      </x:c>
      <x:c r="G120" s="10" t="str">
        <x:v>JCMS Journal of Common Market Studies</x:v>
      </x:c>
      <x:c r="H120" s="10" t="str">
        <x:v>Alasdair R. Young, Scott A. W. Brown</x:v>
      </x:c>
      <x:c r="I120" s="10" t="n">
        <x:v>46</x:v>
      </x:c>
      <x:c r="J120" s="10" t="str">
        <x:v>Leading peer-reviewed journal</x:v>
      </x:c>
      <x:c r="K120" s="10" t="n">
        <x:v>25</x:v>
      </x:c>
      <x:c r="L120" s="10" t="str">
        <x:v>Direct EU relevance</x:v>
      </x:c>
      <x:c r="M120" s="10" t="n">
        <x:v>15</x:v>
      </x:c>
      <x:c r="N120" s="10" t="str">
        <x:v>Peer-reviewed article</x:v>
      </x:c>
      <x:c r="O120" s="10" t="n">
        <x:v>5</x:v>
      </x:c>
      <x:c r="P120" s="10" t="str">
        <x:v>peer-reviewed article</x:v>
      </x:c>
      <x:c r="Q120" s="10" t="str">
        <x:v>direct</x:v>
      </x:c>
      <x:c r="R120" s="10" t="str">
        <x:v>https://doi.org/10.1111/jcms.70140</x:v>
      </x:c>
    </x:row>
    <x:row r="121">
      <x:c r="A121" s="10" t="n">
        <x:f>RANK.EQ(B121,$B$2:$B$446,0)+COUNTIF($B$2:B121,B121)-1</x:f>
        <x:v>120</x:v>
      </x:c>
      <x:c r="B121" s="22" t="n">
        <x:f>I121+K121+M121+O121</x:f>
        <x:v>91</x:v>
      </x:c>
      <x:c r="C121" s="10" t="str">
        <x:f>IF(B121&gt;=93,"A — Highest",IF(B121&gt;=85,"B — Very strong",IF(B121&gt;=75,"C — Strong",IF(B121&gt;=65,"D — Useful","E — Supporting"))))</x:f>
        <x:v>B — Very strong</x:v>
      </x:c>
      <x:c r="D121" s="10" t="str">
        <x:v>From pilot to policy: European university alliances and their contribution to the European research area</x:v>
      </x:c>
      <x:c r="E121" s="10" t="str">
        <x:v>2026-06-24</x:v>
      </x:c>
      <x:c r="F121" s="10" t="str">
        <x:v>A</x:v>
      </x:c>
      <x:c r="G121" s="10" t="str">
        <x:v>Science and Public Policy</x:v>
      </x:c>
      <x:c r="H121" s="10" t="str">
        <x:v>Jaime Llorca, Mireia Reus, Sergio Villanueva Baselga</x:v>
      </x:c>
      <x:c r="I121" s="10" t="n">
        <x:v>46</x:v>
      </x:c>
      <x:c r="J121" s="10" t="str">
        <x:v>Leading peer-reviewed journal</x:v>
      </x:c>
      <x:c r="K121" s="10" t="n">
        <x:v>25</x:v>
      </x:c>
      <x:c r="L121" s="10" t="str">
        <x:v>Direct EU relevance</x:v>
      </x:c>
      <x:c r="M121" s="10" t="n">
        <x:v>15</x:v>
      </x:c>
      <x:c r="N121" s="10" t="str">
        <x:v>Peer-reviewed article</x:v>
      </x:c>
      <x:c r="O121" s="10" t="n">
        <x:v>5</x:v>
      </x:c>
      <x:c r="P121" s="10" t="str">
        <x:v>peer-reviewed article</x:v>
      </x:c>
      <x:c r="Q121" s="10" t="str">
        <x:v>direct</x:v>
      </x:c>
      <x:c r="R121" s="10" t="str">
        <x:v>https://doi.org/10.1093/scipol/scag060</x:v>
      </x:c>
    </x:row>
    <x:row r="122">
      <x:c r="A122" s="10" t="n">
        <x:f>RANK.EQ(B122,$B$2:$B$446,0)+COUNTIF($B$2:B122,B122)-1</x:f>
        <x:v>121</x:v>
      </x:c>
      <x:c r="B122" s="22" t="n">
        <x:f>I122+K122+M122+O122</x:f>
        <x:v>91</x:v>
      </x:c>
      <x:c r="C122" s="10" t="str">
        <x:f>IF(B122&gt;=93,"A — Highest",IF(B122&gt;=85,"B — Very strong",IF(B122&gt;=75,"C — Strong",IF(B122&gt;=65,"D — Useful","E — Supporting"))))</x:f>
        <x:v>B — Very strong</x:v>
      </x:c>
      <x:c r="D122" s="10" t="str">
        <x:v>Governing knowledge, shaping Europe: research security in the EU’s geopolitical turn</x:v>
      </x:c>
      <x:c r="E122" s="10" t="str">
        <x:v>2026-06-12</x:v>
      </x:c>
      <x:c r="F122" s="10" t="str">
        <x:v>A</x:v>
      </x:c>
      <x:c r="G122" s="10" t="str">
        <x:v>European Security</x:v>
      </x:c>
      <x:c r="H122" s="10" t="str">
        <x:v>Cristina Pinna</x:v>
      </x:c>
      <x:c r="I122" s="10" t="n">
        <x:v>46</x:v>
      </x:c>
      <x:c r="J122" s="10" t="str">
        <x:v>Leading peer-reviewed journal</x:v>
      </x:c>
      <x:c r="K122" s="10" t="n">
        <x:v>25</x:v>
      </x:c>
      <x:c r="L122" s="10" t="str">
        <x:v>Direct EU relevance</x:v>
      </x:c>
      <x:c r="M122" s="10" t="n">
        <x:v>15</x:v>
      </x:c>
      <x:c r="N122" s="10" t="str">
        <x:v>Peer-reviewed article</x:v>
      </x:c>
      <x:c r="O122" s="10" t="n">
        <x:v>5</x:v>
      </x:c>
      <x:c r="P122" s="10" t="str">
        <x:v>peer-reviewed article</x:v>
      </x:c>
      <x:c r="Q122" s="10" t="str">
        <x:v>direct</x:v>
      </x:c>
      <x:c r="R122" s="10" t="str">
        <x:v>https://doi.org/10.1080/09662839.2026.2680646</x:v>
      </x:c>
    </x:row>
    <x:row r="123">
      <x:c r="A123" s="10" t="n">
        <x:f>RANK.EQ(B123,$B$2:$B$446,0)+COUNTIF($B$2:B123,B123)-1</x:f>
        <x:v>122</x:v>
      </x:c>
      <x:c r="B123" s="22" t="n">
        <x:f>I123+K123+M123+O123</x:f>
        <x:v>91</x:v>
      </x:c>
      <x:c r="C123" s="10" t="str">
        <x:f>IF(B123&gt;=93,"A — Highest",IF(B123&gt;=85,"B — Very strong",IF(B123&gt;=75,"C — Strong",IF(B123&gt;=65,"D — Useful","E — Supporting"))))</x:f>
        <x:v>B — Very strong</x:v>
      </x:c>
      <x:c r="D123" s="10" t="str">
        <x:v>As open as possible? Comparing Scandinavian approaches to research security</x:v>
      </x:c>
      <x:c r="E123" s="10" t="str">
        <x:v>2026-05-29</x:v>
      </x:c>
      <x:c r="F123" s="10" t="str">
        <x:v>A</x:v>
      </x:c>
      <x:c r="G123" s="10" t="str">
        <x:v>Science and Public Policy</x:v>
      </x:c>
      <x:c r="H123" s="10" t="str">
        <x:v>Tommy Shih, Stine Haakonsson, Kristin Fjæstad, Hans Jørgen Gåsemyr</x:v>
      </x:c>
      <x:c r="I123" s="10" t="n">
        <x:v>46</x:v>
      </x:c>
      <x:c r="J123" s="10" t="str">
        <x:v>Leading peer-reviewed journal</x:v>
      </x:c>
      <x:c r="K123" s="10" t="n">
        <x:v>25</x:v>
      </x:c>
      <x:c r="L123" s="10" t="str">
        <x:v>Direct EU relevance</x:v>
      </x:c>
      <x:c r="M123" s="10" t="n">
        <x:v>15</x:v>
      </x:c>
      <x:c r="N123" s="10" t="str">
        <x:v>Peer-reviewed article</x:v>
      </x:c>
      <x:c r="O123" s="10" t="n">
        <x:v>5</x:v>
      </x:c>
      <x:c r="P123" s="10" t="str">
        <x:v>peer-reviewed article</x:v>
      </x:c>
      <x:c r="Q123" s="10" t="str">
        <x:v>direct</x:v>
      </x:c>
      <x:c r="R123" s="10" t="str">
        <x:v>https://doi.org/10.1093/scipol/scag056</x:v>
      </x:c>
    </x:row>
    <x:row r="124">
      <x:c r="A124" s="10" t="n">
        <x:f>RANK.EQ(B124,$B$2:$B$446,0)+COUNTIF($B$2:B124,B124)-1</x:f>
        <x:v>123</x:v>
      </x:c>
      <x:c r="B124" s="22" t="n">
        <x:f>I124+K124+M124+O124</x:f>
        <x:v>91</x:v>
      </x:c>
      <x:c r="C124" s="10" t="str">
        <x:f>IF(B124&gt;=93,"A — Highest",IF(B124&gt;=85,"B — Very strong",IF(B124&gt;=75,"C — Strong",IF(B124&gt;=65,"D — Useful","E — Supporting"))))</x:f>
        <x:v>B — Very strong</x:v>
      </x:c>
      <x:c r="D124" s="10" t="str">
        <x:v>Advancing SDG 13 and Net‐Zero Emissions in Europe: The Role of Green Technology Innovation, Renewable Energy, Environmental Taxation and Trade Openness</x:v>
      </x:c>
      <x:c r="E124" s="10" t="str">
        <x:v>2026-05-25</x:v>
      </x:c>
      <x:c r="F124" s="10" t="str">
        <x:v>A</x:v>
      </x:c>
      <x:c r="G124" s="10" t="str">
        <x:v>Sustainable Development</x:v>
      </x:c>
      <x:c r="H124" s="10" t="str">
        <x:v>Yue Xu, Emma Serwaa Obobisa, Isaac Adjei Mensah</x:v>
      </x:c>
      <x:c r="I124" s="10" t="n">
        <x:v>46</x:v>
      </x:c>
      <x:c r="J124" s="10" t="str">
        <x:v>Leading peer-reviewed journal</x:v>
      </x:c>
      <x:c r="K124" s="10" t="n">
        <x:v>25</x:v>
      </x:c>
      <x:c r="L124" s="10" t="str">
        <x:v>Direct EU relevance</x:v>
      </x:c>
      <x:c r="M124" s="10" t="n">
        <x:v>15</x:v>
      </x:c>
      <x:c r="N124" s="10" t="str">
        <x:v>Peer-reviewed article</x:v>
      </x:c>
      <x:c r="O124" s="10" t="n">
        <x:v>5</x:v>
      </x:c>
      <x:c r="P124" s="10" t="str">
        <x:v>peer-reviewed article</x:v>
      </x:c>
      <x:c r="Q124" s="10" t="str">
        <x:v>direct</x:v>
      </x:c>
      <x:c r="R124" s="10" t="str">
        <x:v>https://doi.org/10.1002/sd.71203</x:v>
      </x:c>
    </x:row>
    <x:row r="125">
      <x:c r="A125" s="10" t="n">
        <x:f>RANK.EQ(B125,$B$2:$B$446,0)+COUNTIF($B$2:B125,B125)-1</x:f>
        <x:v>124</x:v>
      </x:c>
      <x:c r="B125" s="22" t="n">
        <x:f>I125+K125+M125+O125</x:f>
        <x:v>91</x:v>
      </x:c>
      <x:c r="C125" s="10" t="str">
        <x:f>IF(B125&gt;=93,"A — Highest",IF(B125&gt;=85,"B — Very strong",IF(B125&gt;=75,"C — Strong",IF(B125&gt;=65,"D — Useful","E — Supporting"))))</x:f>
        <x:v>B — Very strong</x:v>
      </x:c>
      <x:c r="D125" s="10" t="str">
        <x:v>A self-reliance framework for identifying strategic advanced materials</x:v>
      </x:c>
      <x:c r="E125" s="10" t="str">
        <x:v>2026-05-21</x:v>
      </x:c>
      <x:c r="F125" s="10" t="str">
        <x:v>A</x:v>
      </x:c>
      <x:c r="G125" s="10" t="str">
        <x:v>Nature Communications</x:v>
      </x:c>
      <x:c r="H125" s="10" t="str">
        <x:v>Cristina Teixeira, Cian Gabbett, Kevin Synnatschke, Jonathan N. Coleman, Zdeněk Sofer, Manuel J. Mendes, Elvira Fortunato, R Martins, et al.</x:v>
      </x:c>
      <x:c r="I125" s="10" t="n">
        <x:v>46</x:v>
      </x:c>
      <x:c r="J125" s="10" t="str">
        <x:v>Leading peer-reviewed journal</x:v>
      </x:c>
      <x:c r="K125" s="10" t="n">
        <x:v>25</x:v>
      </x:c>
      <x:c r="L125" s="10" t="str">
        <x:v>Direct EU relevance</x:v>
      </x:c>
      <x:c r="M125" s="10" t="n">
        <x:v>15</x:v>
      </x:c>
      <x:c r="N125" s="10" t="str">
        <x:v>Peer-reviewed article</x:v>
      </x:c>
      <x:c r="O125" s="10" t="n">
        <x:v>5</x:v>
      </x:c>
      <x:c r="P125" s="10" t="str">
        <x:v>peer-reviewed article</x:v>
      </x:c>
      <x:c r="Q125" s="10" t="str">
        <x:v>direct</x:v>
      </x:c>
      <x:c r="R125" s="10" t="str">
        <x:v>https://doi.org/10.1038/s41467-026-73294-8</x:v>
      </x:c>
    </x:row>
    <x:row r="126">
      <x:c r="A126" s="10" t="n">
        <x:f>RANK.EQ(B126,$B$2:$B$446,0)+COUNTIF($B$2:B126,B126)-1</x:f>
        <x:v>125</x:v>
      </x:c>
      <x:c r="B126" s="22" t="n">
        <x:f>I126+K126+M126+O126</x:f>
        <x:v>91</x:v>
      </x:c>
      <x:c r="C126" s="10" t="str">
        <x:f>IF(B126&gt;=93,"A — Highest",IF(B126&gt;=85,"B — Very strong",IF(B126&gt;=75,"C — Strong",IF(B126&gt;=65,"D — Useful","E — Supporting"))))</x:f>
        <x:v>B — Very strong</x:v>
      </x:c>
      <x:c r="D126" s="10" t="str">
        <x:v>Neoclassical realist research program for the 21st century: From topography and traditions to an abductive practical guide</x:v>
      </x:c>
      <x:c r="E126" s="10" t="str">
        <x:v>2026-05-19</x:v>
      </x:c>
      <x:c r="F126" s="10" t="str">
        <x:v>A</x:v>
      </x:c>
      <x:c r="G126" s="10" t="str">
        <x:v>European Journal of International Relations</x:v>
      </x:c>
      <x:c r="H126" s="10" t="str">
        <x:v>Nik Hynek, Michal Šenk</x:v>
      </x:c>
      <x:c r="I126" s="10" t="n">
        <x:v>46</x:v>
      </x:c>
      <x:c r="J126" s="10" t="str">
        <x:v>Leading peer-reviewed journal</x:v>
      </x:c>
      <x:c r="K126" s="10" t="n">
        <x:v>25</x:v>
      </x:c>
      <x:c r="L126" s="10" t="str">
        <x:v>Direct EU relevance</x:v>
      </x:c>
      <x:c r="M126" s="10" t="n">
        <x:v>15</x:v>
      </x:c>
      <x:c r="N126" s="10" t="str">
        <x:v>Peer-reviewed article</x:v>
      </x:c>
      <x:c r="O126" s="10" t="n">
        <x:v>5</x:v>
      </x:c>
      <x:c r="P126" s="10" t="str">
        <x:v>peer-reviewed article</x:v>
      </x:c>
      <x:c r="Q126" s="10" t="str">
        <x:v>direct</x:v>
      </x:c>
      <x:c r="R126" s="10" t="str">
        <x:v>https://doi.org/10.1177/13540661261446160</x:v>
      </x:c>
    </x:row>
    <x:row r="127">
      <x:c r="A127" s="10" t="n">
        <x:f>RANK.EQ(B127,$B$2:$B$446,0)+COUNTIF($B$2:B127,B127)-1</x:f>
        <x:v>126</x:v>
      </x:c>
      <x:c r="B127" s="22" t="n">
        <x:f>I127+K127+M127+O127</x:f>
        <x:v>91</x:v>
      </x:c>
      <x:c r="C127" s="10" t="str">
        <x:f>IF(B127&gt;=93,"A — Highest",IF(B127&gt;=85,"B — Very strong",IF(B127&gt;=75,"C — Strong",IF(B127&gt;=65,"D — Useful","E — Supporting"))))</x:f>
        <x:v>B — Very strong</x:v>
      </x:c>
      <x:c r="D127" s="10" t="str">
        <x:v>Research funding, science production, and international collaborations: Luxembourg’s maturing national science system</x:v>
      </x:c>
      <x:c r="E127" s="10" t="str">
        <x:v>2026-05-14</x:v>
      </x:c>
      <x:c r="F127" s="10" t="str">
        <x:v>A</x:v>
      </x:c>
      <x:c r="G127" s="10" t="str">
        <x:v>Science and Public Policy</x:v>
      </x:c>
      <x:c r="H127" s="10" t="str">
        <x:v>Juan José Moradel-Vásquez, Jennifer Dusdal</x:v>
      </x:c>
      <x:c r="I127" s="10" t="n">
        <x:v>46</x:v>
      </x:c>
      <x:c r="J127" s="10" t="str">
        <x:v>Leading peer-reviewed journal</x:v>
      </x:c>
      <x:c r="K127" s="10" t="n">
        <x:v>25</x:v>
      </x:c>
      <x:c r="L127" s="10" t="str">
        <x:v>Direct EU relevance</x:v>
      </x:c>
      <x:c r="M127" s="10" t="n">
        <x:v>15</x:v>
      </x:c>
      <x:c r="N127" s="10" t="str">
        <x:v>Peer-reviewed article</x:v>
      </x:c>
      <x:c r="O127" s="10" t="n">
        <x:v>5</x:v>
      </x:c>
      <x:c r="P127" s="10" t="str">
        <x:v>peer-reviewed article</x:v>
      </x:c>
      <x:c r="Q127" s="10" t="str">
        <x:v>direct</x:v>
      </x:c>
      <x:c r="R127" s="10" t="str">
        <x:v>https://doi.org/10.1093/scipol/scag027</x:v>
      </x:c>
    </x:row>
    <x:row r="128">
      <x:c r="A128" s="10" t="n">
        <x:f>RANK.EQ(B128,$B$2:$B$446,0)+COUNTIF($B$2:B128,B128)-1</x:f>
        <x:v>127</x:v>
      </x:c>
      <x:c r="B128" s="22" t="n">
        <x:f>I128+K128+M128+O128</x:f>
        <x:v>91</x:v>
      </x:c>
      <x:c r="C128" s="10" t="str">
        <x:f>IF(B128&gt;=93,"A — Highest",IF(B128&gt;=85,"B — Very strong",IF(B128&gt;=75,"C — Strong",IF(B128&gt;=65,"D — Useful","E — Supporting"))))</x:f>
        <x:v>B — Very strong</x:v>
      </x:c>
      <x:c r="D128" s="10" t="str">
        <x:v>The new frontier of research competition: perspectives on national AI4S strategies</x:v>
      </x:c>
      <x:c r="E128" s="10" t="str">
        <x:v>2026-05-13</x:v>
      </x:c>
      <x:c r="F128" s="10" t="str">
        <x:v>A</x:v>
      </x:c>
      <x:c r="G128" s="10" t="str">
        <x:v>Science and Public Policy</x:v>
      </x:c>
      <x:c r="H128" s="10" t="str">
        <x:v>Yi Ji, Xueyan Zhu</x:v>
      </x:c>
      <x:c r="I128" s="10" t="n">
        <x:v>46</x:v>
      </x:c>
      <x:c r="J128" s="10" t="str">
        <x:v>Leading peer-reviewed journal</x:v>
      </x:c>
      <x:c r="K128" s="10" t="n">
        <x:v>25</x:v>
      </x:c>
      <x:c r="L128" s="10" t="str">
        <x:v>Direct EU relevance</x:v>
      </x:c>
      <x:c r="M128" s="10" t="n">
        <x:v>15</x:v>
      </x:c>
      <x:c r="N128" s="10" t="str">
        <x:v>Peer-reviewed article</x:v>
      </x:c>
      <x:c r="O128" s="10" t="n">
        <x:v>5</x:v>
      </x:c>
      <x:c r="P128" s="10" t="str">
        <x:v>peer-reviewed article</x:v>
      </x:c>
      <x:c r="Q128" s="10" t="str">
        <x:v>direct</x:v>
      </x:c>
      <x:c r="R128" s="10" t="str">
        <x:v>https://doi.org/10.1093/scipol/scag041</x:v>
      </x:c>
    </x:row>
    <x:row r="129">
      <x:c r="A129" s="10" t="n">
        <x:f>RANK.EQ(B129,$B$2:$B$446,0)+COUNTIF($B$2:B129,B129)-1</x:f>
        <x:v>128</x:v>
      </x:c>
      <x:c r="B129" s="22" t="n">
        <x:f>I129+K129+M129+O129</x:f>
        <x:v>91</x:v>
      </x:c>
      <x:c r="C129" s="10" t="str">
        <x:f>IF(B129&gt;=93,"A — Highest",IF(B129&gt;=85,"B — Very strong",IF(B129&gt;=75,"C — Strong",IF(B129&gt;=65,"D — Useful","E — Supporting"))))</x:f>
        <x:v>B — Very strong</x:v>
      </x:c>
      <x:c r="D129" s="10" t="str">
        <x:v>Evidence for the future? Strategic foresight as a source of evidence for policymaking</x:v>
      </x:c>
      <x:c r="E129" s="10" t="str">
        <x:v>2026-05-12</x:v>
      </x:c>
      <x:c r="F129" s="10" t="str">
        <x:v>B</x:v>
      </x:c>
      <x:c r="G129" s="10" t="str">
        <x:v>Policy and Society</x:v>
      </x:c>
      <x:c r="H129" s="10" t="str">
        <x:v>Laura De Vito, Gaia Taffoni</x:v>
      </x:c>
      <x:c r="I129" s="10" t="n">
        <x:v>46</x:v>
      </x:c>
      <x:c r="J129" s="10" t="str">
        <x:v>Leading peer-reviewed journal</x:v>
      </x:c>
      <x:c r="K129" s="10" t="n">
        <x:v>25</x:v>
      </x:c>
      <x:c r="L129" s="10" t="str">
        <x:v>Direct EU relevance</x:v>
      </x:c>
      <x:c r="M129" s="10" t="n">
        <x:v>15</x:v>
      </x:c>
      <x:c r="N129" s="10" t="str">
        <x:v>Peer-reviewed article</x:v>
      </x:c>
      <x:c r="O129" s="10" t="n">
        <x:v>5</x:v>
      </x:c>
      <x:c r="P129" s="10" t="str">
        <x:v>peer-reviewed article</x:v>
      </x:c>
      <x:c r="Q129" s="10" t="str">
        <x:v>direct</x:v>
      </x:c>
      <x:c r="R129" s="10" t="str">
        <x:v>https://doi.org/10.1093/polsoc/puag009</x:v>
      </x:c>
    </x:row>
    <x:row r="130">
      <x:c r="A130" s="10" t="n">
        <x:f>RANK.EQ(B130,$B$2:$B$446,0)+COUNTIF($B$2:B130,B130)-1</x:f>
        <x:v>129</x:v>
      </x:c>
      <x:c r="B130" s="22" t="n">
        <x:f>I130+K130+M130+O130</x:f>
        <x:v>90</x:v>
      </x:c>
      <x:c r="C130" s="10" t="str">
        <x:f>IF(B130&gt;=93,"A — Highest",IF(B130&gt;=85,"B — Very strong",IF(B130&gt;=75,"C — Strong",IF(B130&gt;=65,"D — Useful","E — Supporting"))))</x:f>
        <x:v>B — Very strong</x:v>
      </x:c>
      <x:c r="D130" s="10" t="str">
        <x:v>Science Knows No Borders: ALLEA condemns proposed restrictions on international research collaboration</x:v>
      </x:c>
      <x:c r="E130" s="10" t="str">
        <x:v>2026-06-29</x:v>
      </x:c>
      <x:c r="F130" s="10" t="str">
        <x:v>A</x:v>
      </x:c>
      <x:c r="G130" s="10" t="str">
        <x:v>ALLEA</x:v>
      </x:c>
      <x:c r="H130" s="10" t="str">
        <x:v>ALLEA</x:v>
      </x:c>
      <x:c r="I130" s="10" t="n">
        <x:v>46</x:v>
      </x:c>
      <x:c r="J130" s="10" t="str">
        <x:v>Strong European science network</x:v>
      </x:c>
      <x:c r="K130" s="10" t="n">
        <x:v>25</x:v>
      </x:c>
      <x:c r="L130" s="10" t="str">
        <x:v>Direct EU relevance</x:v>
      </x:c>
      <x:c r="M130" s="10" t="n">
        <x:v>14</x:v>
      </x:c>
      <x:c r="N130" s="10" t="str">
        <x:v>Manually verified research/policy source</x:v>
      </x:c>
      <x:c r="O130" s="10" t="n">
        <x:v>5</x:v>
      </x:c>
      <x:c r="P130" s="10" t="str">
        <x:v>manual-verified scholarly/policy source</x:v>
      </x:c>
      <x:c r="Q130" s="10" t="str">
        <x:v>direct</x:v>
      </x:c>
      <x:c r="R130" s="10" t="str">
        <x:v>https://allea.org/allea-calls-for-global-defence-of-international-research-collaboration-and-academic-freedom/</x:v>
      </x:c>
    </x:row>
    <x:row r="131">
      <x:c r="A131" s="10" t="n">
        <x:f>RANK.EQ(B131,$B$2:$B$446,0)+COUNTIF($B$2:B131,B131)-1</x:f>
        <x:v>130</x:v>
      </x:c>
      <x:c r="B131" s="22" t="n">
        <x:f>I131+K131+M131+O131</x:f>
        <x:v>90</x:v>
      </x:c>
      <x:c r="C131" s="10" t="str">
        <x:f>IF(B131&gt;=93,"A — Highest",IF(B131&gt;=85,"B — Very strong",IF(B131&gt;=75,"C — Strong",IF(B131&gt;=65,"D — Useful","E — Supporting"))))</x:f>
        <x:v>B — Very strong</x:v>
      </x:c>
      <x:c r="D131" s="10" t="str">
        <x:v>Europe as science superpower: what it will take to rival the US and China</x:v>
      </x:c>
      <x:c r="E131" s="10" t="str">
        <x:v>2026-06-23</x:v>
      </x:c>
      <x:c r="F131" s="10" t="str">
        <x:v>A</x:v>
      </x:c>
      <x:c r="G131" s="10" t="str">
        <x:v>Nature</x:v>
      </x:c>
      <x:c r="H131" s="10" t="str">
        <x:v>Elizabeth Gibney</x:v>
      </x:c>
      <x:c r="I131" s="10" t="n">
        <x:v>46</x:v>
      </x:c>
      <x:c r="J131" s="10" t="str">
        <x:v>Leading peer-reviewed journal</x:v>
      </x:c>
      <x:c r="K131" s="10" t="n">
        <x:v>25</x:v>
      </x:c>
      <x:c r="L131" s="10" t="str">
        <x:v>Direct EU relevance</x:v>
      </x:c>
      <x:c r="M131" s="10" t="n">
        <x:v>14</x:v>
      </x:c>
      <x:c r="N131" s="10" t="str">
        <x:v>Manually verified research/policy source</x:v>
      </x:c>
      <x:c r="O131" s="10" t="n">
        <x:v>5</x:v>
      </x:c>
      <x:c r="P131" s="10" t="str">
        <x:v>manual-verified scholarly/policy source</x:v>
      </x:c>
      <x:c r="Q131" s="10" t="str">
        <x:v>direct</x:v>
      </x:c>
      <x:c r="R131" s="10" t="str">
        <x:v>https://www.nature.com/articles/d41586-026-01955-1</x:v>
      </x:c>
    </x:row>
    <x:row r="132">
      <x:c r="A132" s="10" t="n">
        <x:f>RANK.EQ(B132,$B$2:$B$446,0)+COUNTIF($B$2:B132,B132)-1</x:f>
        <x:v>131</x:v>
      </x:c>
      <x:c r="B132" s="22" t="n">
        <x:f>I132+K132+M132+O132</x:f>
        <x:v>90</x:v>
      </x:c>
      <x:c r="C132" s="10" t="str">
        <x:f>IF(B132&gt;=93,"A — Highest",IF(B132&gt;=85,"B — Very strong",IF(B132&gt;=75,"C — Strong",IF(B132&gt;=65,"D — Useful","E — Supporting"))))</x:f>
        <x:v>B — Very strong</x:v>
      </x:c>
      <x:c r="D132" s="10" t="str">
        <x:v>Defence Research in European Universities: A Conceptual Framework</x:v>
      </x:c>
      <x:c r="E132" s="10" t="str">
        <x:v>2026-05-26</x:v>
      </x:c>
      <x:c r="F132" s="10" t="str">
        <x:v>A</x:v>
      </x:c>
      <x:c r="G132" s="10" t="str">
        <x:v>League of European Research Universities (LERU)</x:v>
      </x:c>
      <x:c r="H132" s="10" t="str">
        <x:v>Rees, G. (lead author)</x:v>
      </x:c>
      <x:c r="I132" s="10" t="n">
        <x:v>46</x:v>
      </x:c>
      <x:c r="J132" s="10" t="str">
        <x:v>Strong European science network</x:v>
      </x:c>
      <x:c r="K132" s="10" t="n">
        <x:v>25</x:v>
      </x:c>
      <x:c r="L132" s="10" t="str">
        <x:v>Direct EU relevance</x:v>
      </x:c>
      <x:c r="M132" s="10" t="n">
        <x:v>14</x:v>
      </x:c>
      <x:c r="N132" s="10" t="str">
        <x:v>Manually verified research/policy source</x:v>
      </x:c>
      <x:c r="O132" s="10" t="n">
        <x:v>5</x:v>
      </x:c>
      <x:c r="P132" s="10" t="str">
        <x:v>manual-verified scholarly/policy source</x:v>
      </x:c>
      <x:c r="Q132" s="10" t="str">
        <x:v>direct</x:v>
      </x:c>
      <x:c r="R132" s="10" t="str">
        <x:v>https://www.leru.org/publications/defence-research-in-european-universities-a-conceptual-framework</x:v>
      </x:c>
    </x:row>
    <x:row r="133">
      <x:c r="A133" s="10" t="n">
        <x:f>RANK.EQ(B133,$B$2:$B$446,0)+COUNTIF($B$2:B133,B133)-1</x:f>
        <x:v>132</x:v>
      </x:c>
      <x:c r="B133" s="22" t="n">
        <x:f>I133+K133+M133+O133</x:f>
        <x:v>89</x:v>
      </x:c>
      <x:c r="C133" s="10" t="str">
        <x:f>IF(B133&gt;=93,"A — Highest",IF(B133&gt;=85,"B — Very strong",IF(B133&gt;=75,"C — Strong",IF(B133&gt;=65,"D — Useful","E — Supporting"))))</x:f>
        <x:v>B — Very strong</x:v>
      </x:c>
      <x:c r="D133" s="10" t="str">
        <x:v>ALLEA Statement on the Importance of the Text and Data Mining Exception for Scientific Research</x:v>
      </x:c>
      <x:c r="E133" s="10" t="str">
        <x:v>2026-07-06</x:v>
      </x:c>
      <x:c r="F133" s="10" t="str">
        <x:v>A</x:v>
      </x:c>
      <x:c r="G133" s="10" t="str">
        <x:v>ALLEA</x:v>
      </x:c>
      <x:c r="H133" s="10" t="str">
        <x:v>ALLEA</x:v>
      </x:c>
      <x:c r="I133" s="10" t="n">
        <x:v>46</x:v>
      </x:c>
      <x:c r="J133" s="10" t="str">
        <x:v>Strong European science network</x:v>
      </x:c>
      <x:c r="K133" s="10" t="n">
        <x:v>25</x:v>
      </x:c>
      <x:c r="L133" s="10" t="str">
        <x:v>Direct EU relevance</x:v>
      </x:c>
      <x:c r="M133" s="10" t="n">
        <x:v>13</x:v>
      </x:c>
      <x:c r="N133" s="10" t="str">
        <x:v>Research/policy paper</x:v>
      </x:c>
      <x:c r="O133" s="10" t="n">
        <x:v>5</x:v>
      </x:c>
      <x:c r="P133" s="10" t="str">
        <x:v>research/policy paper</x:v>
      </x:c>
      <x:c r="Q133" s="10" t="str">
        <x:v>direct</x:v>
      </x:c>
      <x:c r="R133" s="10" t="str">
        <x:v>https://allea.org/wp-content/uploads/2026/07/ALLEA-Statement-on-TDM-Exception_July-2026.pdf</x:v>
      </x:c>
    </x:row>
    <x:row r="134">
      <x:c r="A134" s="10" t="n">
        <x:f>RANK.EQ(B134,$B$2:$B$446,0)+COUNTIF($B$2:B134,B134)-1</x:f>
        <x:v>133</x:v>
      </x:c>
      <x:c r="B134" s="22" t="n">
        <x:f>I134+K134+M134+O134</x:f>
        <x:v>89</x:v>
      </x:c>
      <x:c r="C134" s="10" t="str">
        <x:f>IF(B134&gt;=93,"A — Highest",IF(B134&gt;=85,"B — Very strong",IF(B134&gt;=75,"C — Strong",IF(B134&gt;=65,"D — Useful","E — Supporting"))))</x:f>
        <x:v>B — Very strong</x:v>
      </x:c>
      <x:c r="D134" s="10" t="str">
        <x:v>ALLEA Supports Joint Call to Safeguard MSCA</x:v>
      </x:c>
      <x:c r="E134" s="10" t="str">
        <x:v>2026-06-30</x:v>
      </x:c>
      <x:c r="F134" s="10" t="str">
        <x:v>A</x:v>
      </x:c>
      <x:c r="G134" s="10" t="str">
        <x:v>ALLEA</x:v>
      </x:c>
      <x:c r="H134" s="10" t="str">
        <x:v>maria ronald</x:v>
      </x:c>
      <x:c r="I134" s="10" t="n">
        <x:v>46</x:v>
      </x:c>
      <x:c r="J134" s="10" t="str">
        <x:v>Strong European science network</x:v>
      </x:c>
      <x:c r="K134" s="10" t="n">
        <x:v>25</x:v>
      </x:c>
      <x:c r="L134" s="10" t="str">
        <x:v>Direct EU relevance</x:v>
      </x:c>
      <x:c r="M134" s="10" t="n">
        <x:v>13</x:v>
      </x:c>
      <x:c r="N134" s="10" t="str">
        <x:v>Research/policy paper</x:v>
      </x:c>
      <x:c r="O134" s="10" t="n">
        <x:v>5</x:v>
      </x:c>
      <x:c r="P134" s="10" t="str">
        <x:v>research/policy paper</x:v>
      </x:c>
      <x:c r="Q134" s="10" t="str">
        <x:v>direct</x:v>
      </x:c>
      <x:c r="R134" s="10" t="str">
        <x:v>https://allea.org/wp-content/uploads/2026/07/Joint-statement-on-MSCA-directionality_.pdf</x:v>
      </x:c>
    </x:row>
    <x:row r="135">
      <x:c r="A135" s="10" t="n">
        <x:f>RANK.EQ(B135,$B$2:$B$446,0)+COUNTIF($B$2:B135,B135)-1</x:f>
        <x:v>134</x:v>
      </x:c>
      <x:c r="B135" s="22" t="n">
        <x:f>I135+K135+M135+O135</x:f>
        <x:v>89</x:v>
      </x:c>
      <x:c r="C135" s="10" t="str">
        <x:f>IF(B135&gt;=93,"A — Highest",IF(B135&gt;=85,"B — Very strong",IF(B135&gt;=75,"C — Strong",IF(B135&gt;=65,"D — Useful","E — Supporting"))))</x:f>
        <x:v>B — Very strong</x:v>
      </x:c>
      <x:c r="D135" s="10" t="str">
        <x:v>Joint Statement: MSCA: Research Talent is Europe’s Strategic Advantage.</x:v>
      </x:c>
      <x:c r="E135" s="10" t="str">
        <x:v>2026-06-29</x:v>
      </x:c>
      <x:c r="F135" s="10" t="str">
        <x:v>A</x:v>
      </x:c>
      <x:c r="G135" s="10" t="str">
        <x:v>ALLEA</x:v>
      </x:c>
      <x:c r="H135" s="10" t="str">
        <x:v>ALLEA</x:v>
      </x:c>
      <x:c r="I135" s="10" t="n">
        <x:v>46</x:v>
      </x:c>
      <x:c r="J135" s="10" t="str">
        <x:v>Strong European science network</x:v>
      </x:c>
      <x:c r="K135" s="10" t="n">
        <x:v>25</x:v>
      </x:c>
      <x:c r="L135" s="10" t="str">
        <x:v>Direct EU relevance</x:v>
      </x:c>
      <x:c r="M135" s="10" t="n">
        <x:v>13</x:v>
      </x:c>
      <x:c r="N135" s="10" t="str">
        <x:v>Research/policy paper</x:v>
      </x:c>
      <x:c r="O135" s="10" t="n">
        <x:v>5</x:v>
      </x:c>
      <x:c r="P135" s="10" t="str">
        <x:v>research/policy paper</x:v>
      </x:c>
      <x:c r="Q135" s="10" t="str">
        <x:v>direct</x:v>
      </x:c>
      <x:c r="R135" s="10" t="str">
        <x:v>https://allea.org/wp-content/uploads/2026/07/msca-statement-june-2026_final.pdf</x:v>
      </x:c>
    </x:row>
    <x:row r="136">
      <x:c r="A136" s="10" t="n">
        <x:f>RANK.EQ(B136,$B$2:$B$446,0)+COUNTIF($B$2:B136,B136)-1</x:f>
        <x:v>135</x:v>
      </x:c>
      <x:c r="B136" s="22" t="n">
        <x:f>I136+K136+M136+O136</x:f>
        <x:v>89</x:v>
      </x:c>
      <x:c r="C136" s="10" t="str">
        <x:f>IF(B136&gt;=93,"A — Highest",IF(B136&gt;=85,"B — Very strong",IF(B136&gt;=75,"C — Strong",IF(B136&gt;=65,"D — Useful","E — Supporting"))))</x:f>
        <x:v>B — Very strong</x:v>
      </x:c>
      <x:c r="D136" s="10" t="str">
        <x:v>Science Knows No Borders: ALLEA Condemns Proposed Restrictions by the White House on International Research Collaboration</x:v>
      </x:c>
      <x:c r="E136" s="10" t="str">
        <x:v>2026-06-29</x:v>
      </x:c>
      <x:c r="F136" s="10" t="str">
        <x:v>A</x:v>
      </x:c>
      <x:c r="G136" s="10" t="str">
        <x:v>ALLEA</x:v>
      </x:c>
      <x:c r="H136" s="10" t="str">
        <x:v>ALLEA</x:v>
      </x:c>
      <x:c r="I136" s="10" t="n">
        <x:v>46</x:v>
      </x:c>
      <x:c r="J136" s="10" t="str">
        <x:v>Strong European science network</x:v>
      </x:c>
      <x:c r="K136" s="10" t="n">
        <x:v>25</x:v>
      </x:c>
      <x:c r="L136" s="10" t="str">
        <x:v>Direct EU relevance</x:v>
      </x:c>
      <x:c r="M136" s="10" t="n">
        <x:v>13</x:v>
      </x:c>
      <x:c r="N136" s="10" t="str">
        <x:v>Research/policy paper</x:v>
      </x:c>
      <x:c r="O136" s="10" t="n">
        <x:v>5</x:v>
      </x:c>
      <x:c r="P136" s="10" t="str">
        <x:v>research/policy paper</x:v>
      </x:c>
      <x:c r="Q136" s="10" t="str">
        <x:v>direct</x:v>
      </x:c>
      <x:c r="R136" s="10" t="str">
        <x:v>https://allea.org/wp-content/uploads/2026/06/ALLEA-Statement-on-new-omb-rule.pdf</x:v>
      </x:c>
    </x:row>
    <x:row r="137">
      <x:c r="A137" s="10" t="n">
        <x:f>RANK.EQ(B137,$B$2:$B$446,0)+COUNTIF($B$2:B137,B137)-1</x:f>
        <x:v>136</x:v>
      </x:c>
      <x:c r="B137" s="22" t="n">
        <x:f>I137+K137+M137+O137</x:f>
        <x:v>89</x:v>
      </x:c>
      <x:c r="C137" s="10" t="str">
        <x:f>IF(B137&gt;=93,"A — Highest",IF(B137&gt;=85,"B — Very strong",IF(B137&gt;=75,"C — Strong",IF(B137&gt;=65,"D — Useful","E — Supporting"))))</x:f>
        <x:v>B — Very strong</x:v>
      </x:c>
      <x:c r="D137" s="10" t="str">
        <x:v>ALLEA Contributes to High-Level Discussions on the Role of Science in Ukraine’s Recovery</x:v>
      </x:c>
      <x:c r="E137" s="10" t="str">
        <x:v>2026-06-27</x:v>
      </x:c>
      <x:c r="F137" s="10" t="str">
        <x:v>A</x:v>
      </x:c>
      <x:c r="G137" s="10" t="str">
        <x:v>ALLEA</x:v>
      </x:c>
      <x:c r="H137" s="10" t="str">
        <x:v>maria ronald</x:v>
      </x:c>
      <x:c r="I137" s="10" t="n">
        <x:v>46</x:v>
      </x:c>
      <x:c r="J137" s="10" t="str">
        <x:v>Strong European science network</x:v>
      </x:c>
      <x:c r="K137" s="10" t="n">
        <x:v>25</x:v>
      </x:c>
      <x:c r="L137" s="10" t="str">
        <x:v>Direct EU relevance</x:v>
      </x:c>
      <x:c r="M137" s="10" t="n">
        <x:v>13</x:v>
      </x:c>
      <x:c r="N137" s="10" t="str">
        <x:v>Research/policy paper</x:v>
      </x:c>
      <x:c r="O137" s="10" t="n">
        <x:v>5</x:v>
      </x:c>
      <x:c r="P137" s="10" t="str">
        <x:v>research/policy paper</x:v>
      </x:c>
      <x:c r="Q137" s="10" t="str">
        <x:v>direct</x:v>
      </x:c>
      <x:c r="R137" s="10" t="str">
        <x:v>https://allea.org/allea-contributes-to-high-level-discussions-on-the-role-of-science-in-ukraines-recovery/</x:v>
      </x:c>
    </x:row>
    <x:row r="138">
      <x:c r="A138" s="10" t="n">
        <x:f>RANK.EQ(B138,$B$2:$B$446,0)+COUNTIF($B$2:B138,B138)-1</x:f>
        <x:v>137</x:v>
      </x:c>
      <x:c r="B138" s="22" t="n">
        <x:f>I138+K138+M138+O138</x:f>
        <x:v>89</x:v>
      </x:c>
      <x:c r="C138" s="10" t="str">
        <x:f>IF(B138&gt;=93,"A — Highest",IF(B138&gt;=85,"B — Very strong",IF(B138&gt;=75,"C — Strong",IF(B138&gt;=65,"D — Useful","E — Supporting"))))</x:f>
        <x:v>B — Very strong</x:v>
      </x:c>
      <x:c r="D138" s="10" t="str">
        <x:v>ALLEA Task Forces Meet in London to Discuss Academic Freedom, Research Security, and Data Protection</x:v>
      </x:c>
      <x:c r="E138" s="10" t="str">
        <x:v>2026-06-19</x:v>
      </x:c>
      <x:c r="F138" s="10" t="str">
        <x:v>A</x:v>
      </x:c>
      <x:c r="G138" s="10" t="str">
        <x:v>ALLEA</x:v>
      </x:c>
      <x:c r="H138" s="10" t="str">
        <x:v>maria ronald</x:v>
      </x:c>
      <x:c r="I138" s="10" t="n">
        <x:v>46</x:v>
      </x:c>
      <x:c r="J138" s="10" t="str">
        <x:v>Strong European science network</x:v>
      </x:c>
      <x:c r="K138" s="10" t="n">
        <x:v>25</x:v>
      </x:c>
      <x:c r="L138" s="10" t="str">
        <x:v>Direct EU relevance</x:v>
      </x:c>
      <x:c r="M138" s="10" t="n">
        <x:v>13</x:v>
      </x:c>
      <x:c r="N138" s="10" t="str">
        <x:v>Research/policy paper</x:v>
      </x:c>
      <x:c r="O138" s="10" t="n">
        <x:v>5</x:v>
      </x:c>
      <x:c r="P138" s="10" t="str">
        <x:v>research/policy paper</x:v>
      </x:c>
      <x:c r="Q138" s="10" t="str">
        <x:v>direct</x:v>
      </x:c>
      <x:c r="R138" s="10" t="str">
        <x:v>https://allea.org/allea-task-forces-meet-in-london-to-discuss-academic-freedom-research-security-and-data-protection/</x:v>
      </x:c>
    </x:row>
    <x:row r="139">
      <x:c r="A139" s="10" t="n">
        <x:f>RANK.EQ(B139,$B$2:$B$446,0)+COUNTIF($B$2:B139,B139)-1</x:f>
        <x:v>138</x:v>
      </x:c>
      <x:c r="B139" s="22" t="n">
        <x:f>I139+K139+M139+O139</x:f>
        <x:v>89</x:v>
      </x:c>
      <x:c r="C139" s="10" t="str">
        <x:f>IF(B139&gt;=93,"A — Highest",IF(B139&gt;=85,"B — Very strong",IF(B139&gt;=75,"C — Strong",IF(B139&gt;=65,"D — Useful","E — Supporting"))))</x:f>
        <x:v>B — Very strong</x:v>
      </x:c>
      <x:c r="D139" s="10" t="str">
        <x:v>Event Report: ALLEA General Assembly 2026</x:v>
      </x:c>
      <x:c r="E139" s="10" t="str">
        <x:v>2026-06-09</x:v>
      </x:c>
      <x:c r="F139" s="10" t="str">
        <x:v>A</x:v>
      </x:c>
      <x:c r="G139" s="10" t="str">
        <x:v>ALLEA</x:v>
      </x:c>
      <x:c r="H139" s="10" t="str">
        <x:v>maria ronald</x:v>
      </x:c>
      <x:c r="I139" s="10" t="n">
        <x:v>46</x:v>
      </x:c>
      <x:c r="J139" s="10" t="str">
        <x:v>Strong European science network</x:v>
      </x:c>
      <x:c r="K139" s="10" t="n">
        <x:v>25</x:v>
      </x:c>
      <x:c r="L139" s="10" t="str">
        <x:v>Direct EU relevance</x:v>
      </x:c>
      <x:c r="M139" s="10" t="n">
        <x:v>13</x:v>
      </x:c>
      <x:c r="N139" s="10" t="str">
        <x:v>Research/policy paper</x:v>
      </x:c>
      <x:c r="O139" s="10" t="n">
        <x:v>5</x:v>
      </x:c>
      <x:c r="P139" s="10" t="str">
        <x:v>research/policy paper</x:v>
      </x:c>
      <x:c r="Q139" s="10" t="str">
        <x:v>direct</x:v>
      </x:c>
      <x:c r="R139" s="10" t="str">
        <x:v>https://allea.org/event-report-allea-general-assembly-2026/</x:v>
      </x:c>
    </x:row>
    <x:row r="140">
      <x:c r="A140" s="10" t="n">
        <x:f>RANK.EQ(B140,$B$2:$B$446,0)+COUNTIF($B$2:B140,B140)-1</x:f>
        <x:v>139</x:v>
      </x:c>
      <x:c r="B140" s="22" t="n">
        <x:f>I140+K140+M140+O140</x:f>
        <x:v>89</x:v>
      </x:c>
      <x:c r="C140" s="10" t="str">
        <x:f>IF(B140&gt;=93,"A — Highest",IF(B140&gt;=85,"B — Very strong",IF(B140&gt;=75,"C — Strong",IF(B140&gt;=65,"D — Useful","E — Supporting"))))</x:f>
        <x:v>B — Very strong</x:v>
      </x:c>
      <x:c r="D140" s="10" t="str">
        <x:v>Event Report: Supporting the Ukrainian Research Ecosystem through International Exchange and Collaboration</x:v>
      </x:c>
      <x:c r="E140" s="10" t="str">
        <x:v>2026-06-08</x:v>
      </x:c>
      <x:c r="F140" s="10" t="str">
        <x:v>A</x:v>
      </x:c>
      <x:c r="G140" s="10" t="str">
        <x:v>ALLEA</x:v>
      </x:c>
      <x:c r="H140" s="10" t="str">
        <x:v>maria ronald</x:v>
      </x:c>
      <x:c r="I140" s="10" t="n">
        <x:v>46</x:v>
      </x:c>
      <x:c r="J140" s="10" t="str">
        <x:v>Strong European science network</x:v>
      </x:c>
      <x:c r="K140" s="10" t="n">
        <x:v>25</x:v>
      </x:c>
      <x:c r="L140" s="10" t="str">
        <x:v>Direct EU relevance</x:v>
      </x:c>
      <x:c r="M140" s="10" t="n">
        <x:v>13</x:v>
      </x:c>
      <x:c r="N140" s="10" t="str">
        <x:v>Research/policy paper</x:v>
      </x:c>
      <x:c r="O140" s="10" t="n">
        <x:v>5</x:v>
      </x:c>
      <x:c r="P140" s="10" t="str">
        <x:v>research/policy paper</x:v>
      </x:c>
      <x:c r="Q140" s="10" t="str">
        <x:v>direct</x:v>
      </x:c>
      <x:c r="R140" s="10" t="str">
        <x:v>https://allea.org/event-report-supporting-the-ukrainian-research-ecosystem-through-international-exchange-and-collaboration/</x:v>
      </x:c>
    </x:row>
    <x:row r="141">
      <x:c r="A141" s="10" t="n">
        <x:f>RANK.EQ(B141,$B$2:$B$446,0)+COUNTIF($B$2:B141,B141)-1</x:f>
        <x:v>140</x:v>
      </x:c>
      <x:c r="B141" s="22" t="n">
        <x:f>I141+K141+M141+O141</x:f>
        <x:v>89</x:v>
      </x:c>
      <x:c r="C141" s="10" t="str">
        <x:f>IF(B141&gt;=93,"A — Highest",IF(B141&gt;=85,"B — Very strong",IF(B141&gt;=75,"C — Strong",IF(B141&gt;=65,"D — Useful","E — Supporting"))))</x:f>
        <x:v>B — Very strong</x:v>
      </x:c>
      <x:c r="D141" s="10" t="str">
        <x:v>ALLEA Issues Appeal for Support of Ukrainian Science</x:v>
      </x:c>
      <x:c r="E141" s="10" t="str">
        <x:v>2026-06-05</x:v>
      </x:c>
      <x:c r="F141" s="10" t="str">
        <x:v>A</x:v>
      </x:c>
      <x:c r="G141" s="10" t="str">
        <x:v>ALLEA</x:v>
      </x:c>
      <x:c r="H141" s="10" t="str">
        <x:v>maria ronald</x:v>
      </x:c>
      <x:c r="I141" s="10" t="n">
        <x:v>46</x:v>
      </x:c>
      <x:c r="J141" s="10" t="str">
        <x:v>Strong European science network</x:v>
      </x:c>
      <x:c r="K141" s="10" t="n">
        <x:v>25</x:v>
      </x:c>
      <x:c r="L141" s="10" t="str">
        <x:v>Direct EU relevance</x:v>
      </x:c>
      <x:c r="M141" s="10" t="n">
        <x:v>13</x:v>
      </x:c>
      <x:c r="N141" s="10" t="str">
        <x:v>Research/policy paper</x:v>
      </x:c>
      <x:c r="O141" s="10" t="n">
        <x:v>5</x:v>
      </x:c>
      <x:c r="P141" s="10" t="str">
        <x:v>research/policy paper</x:v>
      </x:c>
      <x:c r="Q141" s="10" t="str">
        <x:v>direct</x:v>
      </x:c>
      <x:c r="R141" s="10" t="str">
        <x:v>https://allea.org/wp-content/uploads/2026/06/ALLEA-GA26_APPEAL_UKRAINE.pdf</x:v>
      </x:c>
    </x:row>
    <x:row r="142">
      <x:c r="A142" s="10" t="n">
        <x:f>RANK.EQ(B142,$B$2:$B$446,0)+COUNTIF($B$2:B142,B142)-1</x:f>
        <x:v>141</x:v>
      </x:c>
      <x:c r="B142" s="22" t="n">
        <x:f>I142+K142+M142+O142</x:f>
        <x:v>89</x:v>
      </x:c>
      <x:c r="C142" s="10" t="str">
        <x:f>IF(B142&gt;=93,"A — Highest",IF(B142&gt;=85,"B — Very strong",IF(B142&gt;=75,"C — Strong",IF(B142&gt;=65,"D — Useful","E — Supporting"))))</x:f>
        <x:v>B — Very strong</x:v>
      </x:c>
      <x:c r="D142" s="10" t="str">
        <x:v>Values in Transition: An Intergenerational Dialogue on Research Assessment Reform</x:v>
      </x:c>
      <x:c r="E142" s="10" t="str">
        <x:v>2026-05-27</x:v>
      </x:c>
      <x:c r="F142" s="10" t="str">
        <x:v>A</x:v>
      </x:c>
      <x:c r="G142" s="10" t="str">
        <x:v>ALLEA</x:v>
      </x:c>
      <x:c r="H142" s="10" t="str">
        <x:v>maria ronald</x:v>
      </x:c>
      <x:c r="I142" s="10" t="n">
        <x:v>46</x:v>
      </x:c>
      <x:c r="J142" s="10" t="str">
        <x:v>Strong European science network</x:v>
      </x:c>
      <x:c r="K142" s="10" t="n">
        <x:v>25</x:v>
      </x:c>
      <x:c r="L142" s="10" t="str">
        <x:v>Direct EU relevance</x:v>
      </x:c>
      <x:c r="M142" s="10" t="n">
        <x:v>13</x:v>
      </x:c>
      <x:c r="N142" s="10" t="str">
        <x:v>Research/policy paper</x:v>
      </x:c>
      <x:c r="O142" s="10" t="n">
        <x:v>5</x:v>
      </x:c>
      <x:c r="P142" s="10" t="str">
        <x:v>research/policy paper</x:v>
      </x:c>
      <x:c r="Q142" s="10" t="str">
        <x:v>direct</x:v>
      </x:c>
      <x:c r="R142" s="10" t="str">
        <x:v>https://allea.org/values-in-transition-an-intergenerational-dialogue-on-research-assessment-reform/</x:v>
      </x:c>
    </x:row>
    <x:row r="143">
      <x:c r="A143" s="10" t="n">
        <x:f>RANK.EQ(B143,$B$2:$B$446,0)+COUNTIF($B$2:B143,B143)-1</x:f>
        <x:v>142</x:v>
      </x:c>
      <x:c r="B143" s="22" t="n">
        <x:f>I143+K143+M143+O143</x:f>
        <x:v>89</x:v>
      </x:c>
      <x:c r="C143" s="10" t="str">
        <x:f>IF(B143&gt;=93,"A — Highest",IF(B143&gt;=85,"B — Very strong",IF(B143&gt;=75,"C — Strong",IF(B143&gt;=65,"D — Useful","E — Supporting"))))</x:f>
        <x:v>B — Very strong</x:v>
      </x:c>
      <x:c r="D143" s="10" t="str">
        <x:v>ALLEA and Partners Call for Stronger Action on Open Science in the European Research Area</x:v>
      </x:c>
      <x:c r="E143" s="10" t="str">
        <x:v>2026-05-15</x:v>
      </x:c>
      <x:c r="F143" s="10" t="str">
        <x:v>A</x:v>
      </x:c>
      <x:c r="G143" s="10" t="str">
        <x:v>ALLEA</x:v>
      </x:c>
      <x:c r="H143" s="10" t="str">
        <x:v>maria ronald</x:v>
      </x:c>
      <x:c r="I143" s="10" t="n">
        <x:v>46</x:v>
      </x:c>
      <x:c r="J143" s="10" t="str">
        <x:v>Strong European science network</x:v>
      </x:c>
      <x:c r="K143" s="10" t="n">
        <x:v>25</x:v>
      </x:c>
      <x:c r="L143" s="10" t="str">
        <x:v>Direct EU relevance</x:v>
      </x:c>
      <x:c r="M143" s="10" t="n">
        <x:v>13</x:v>
      </x:c>
      <x:c r="N143" s="10" t="str">
        <x:v>Research/policy paper</x:v>
      </x:c>
      <x:c r="O143" s="10" t="n">
        <x:v>5</x:v>
      </x:c>
      <x:c r="P143" s="10" t="str">
        <x:v>research/policy paper</x:v>
      </x:c>
      <x:c r="Q143" s="10" t="str">
        <x:v>direct</x:v>
      </x:c>
      <x:c r="R143" s="10" t="str">
        <x:v>https://allea.org/wp-content/uploads/2026/06/Joint-statement-on-Open-Science-1.pdf</x:v>
      </x:c>
    </x:row>
    <x:row r="144">
      <x:c r="A144" s="10" t="n">
        <x:f>RANK.EQ(B144,$B$2:$B$446,0)+COUNTIF($B$2:B144,B144)-1</x:f>
        <x:v>143</x:v>
      </x:c>
      <x:c r="B144" s="22" t="n">
        <x:f>I144+K144+M144+O144</x:f>
        <x:v>89</x:v>
      </x:c>
      <x:c r="C144" s="10" t="str">
        <x:f>IF(B144&gt;=93,"A — Highest",IF(B144&gt;=85,"B — Very strong",IF(B144&gt;=75,"C — Strong",IF(B144&gt;=65,"D — Useful","E — Supporting"))))</x:f>
        <x:v>B — Very strong</x:v>
      </x:c>
      <x:c r="D144" s="10" t="str">
        <x:v>ALLEA Science Policy Standing Committee Sets Priorities for Horizon Scanning, Task Force Coordination, and Emerging Policy Challenges</x:v>
      </x:c>
      <x:c r="E144" s="10" t="str">
        <x:v>2026-05-11</x:v>
      </x:c>
      <x:c r="F144" s="10" t="str">
        <x:v>A</x:v>
      </x:c>
      <x:c r="G144" s="10" t="str">
        <x:v>ALLEA</x:v>
      </x:c>
      <x:c r="H144" s="10" t="str">
        <x:v>maria ronald</x:v>
      </x:c>
      <x:c r="I144" s="10" t="n">
        <x:v>46</x:v>
      </x:c>
      <x:c r="J144" s="10" t="str">
        <x:v>Strong European science network</x:v>
      </x:c>
      <x:c r="K144" s="10" t="n">
        <x:v>25</x:v>
      </x:c>
      <x:c r="L144" s="10" t="str">
        <x:v>Direct EU relevance</x:v>
      </x:c>
      <x:c r="M144" s="10" t="n">
        <x:v>13</x:v>
      </x:c>
      <x:c r="N144" s="10" t="str">
        <x:v>Research/policy paper</x:v>
      </x:c>
      <x:c r="O144" s="10" t="n">
        <x:v>5</x:v>
      </x:c>
      <x:c r="P144" s="10" t="str">
        <x:v>research/policy paper</x:v>
      </x:c>
      <x:c r="Q144" s="10" t="str">
        <x:v>direct</x:v>
      </x:c>
      <x:c r="R144" s="10" t="str">
        <x:v>https://allea.org/allea-science-policy-standing-committee-sets-priorities-for-horizon-scanning-task-force-coordination-and-emerging-policy-challenges/</x:v>
      </x:c>
    </x:row>
    <x:row r="145">
      <x:c r="A145" s="10" t="n">
        <x:f>RANK.EQ(B145,$B$2:$B$446,0)+COUNTIF($B$2:B145,B145)-1</x:f>
        <x:v>144</x:v>
      </x:c>
      <x:c r="B145" s="22" t="n">
        <x:f>I145+K145+M145+O145</x:f>
        <x:v>88</x:v>
      </x:c>
      <x:c r="C145" s="10" t="str">
        <x:f>IF(B145&gt;=93,"A — Highest",IF(B145&gt;=85,"B — Very strong",IF(B145&gt;=75,"C — Strong",IF(B145&gt;=65,"D — Useful","E — Supporting"))))</x:f>
        <x:v>B — Very strong</x:v>
      </x:c>
      <x:c r="D145" s="10" t="str">
        <x:v>European Tech Sovereignty</x:v>
      </x:c>
      <x:c r="E145" s="10" t="str">
        <x:v>2026-05-06</x:v>
      </x:c>
      <x:c r="F145" s="10" t="str">
        <x:v>A</x:v>
      </x:c>
      <x:c r="G145" s="10" t="str">
        <x:v>Greens/EFA Group, European Parliament</x:v>
      </x:c>
      <x:c r="H145" s="10" t="str">
        <x:v>Greens/EFA Group, European Parliament</x:v>
      </x:c>
      <x:c r="I145" s="10" t="n">
        <x:v>44</x:v>
      </x:c>
      <x:c r="J145" s="10" t="str">
        <x:v>EU parliamentary political group</x:v>
      </x:c>
      <x:c r="K145" s="10" t="n">
        <x:v>25</x:v>
      </x:c>
      <x:c r="L145" s="10" t="str">
        <x:v>Direct EU relevance</x:v>
      </x:c>
      <x:c r="M145" s="10" t="n">
        <x:v>14</x:v>
      </x:c>
      <x:c r="N145" s="10" t="str">
        <x:v>Manually verified research/policy source</x:v>
      </x:c>
      <x:c r="O145" s="10" t="n">
        <x:v>5</x:v>
      </x:c>
      <x:c r="P145" s="10" t="str">
        <x:v>manual-verified scholarly/policy source</x:v>
      </x:c>
      <x:c r="Q145" s="10" t="str">
        <x:v>direct</x:v>
      </x:c>
      <x:c r="R145" s="10" t="str">
        <x:v>https://www.greens-efa.eu/en/article/policypaper/european-tech-sovereignty</x:v>
      </x:c>
    </x:row>
    <x:row r="146">
      <x:c r="A146" s="10" t="n">
        <x:f>RANK.EQ(B146,$B$2:$B$446,0)+COUNTIF($B$2:B146,B146)-1</x:f>
        <x:v>145</x:v>
      </x:c>
      <x:c r="B146" s="22" t="n">
        <x:f>I146+K146+M146+O146</x:f>
        <x:v>87</x:v>
      </x:c>
      <x:c r="C146" s="10" t="str">
        <x:f>IF(B146&gt;=93,"A — Highest",IF(B146&gt;=85,"B — Very strong",IF(B146&gt;=75,"C — Strong",IF(B146&gt;=65,"D — Useful","E — Supporting"))))</x:f>
        <x:v>B — Very strong</x:v>
      </x:c>
      <x:c r="D146" s="10" t="str">
        <x:v>Simplifying European Union Policy: Tech Sovereignty Package — virtual discussion summary</x:v>
      </x:c>
      <x:c r="E146" s="10" t="str">
        <x:v>2026-07-28</x:v>
      </x:c>
      <x:c r="F146" s="10" t="str">
        <x:v>A</x:v>
      </x:c>
      <x:c r="G146" s="10" t="str">
        <x:v>Center for European Policy Analysis</x:v>
      </x:c>
      <x:c r="H146" s="10" t="str">
        <x:v>CEPA</x:v>
      </x:c>
      <x:c r="I146" s="10" t="n">
        <x:v>43</x:v>
      </x:c>
      <x:c r="J146" s="10" t="str">
        <x:v>Leading policy research institute</x:v>
      </x:c>
      <x:c r="K146" s="10" t="n">
        <x:v>25</x:v>
      </x:c>
      <x:c r="L146" s="10" t="str">
        <x:v>Direct EU relevance</x:v>
      </x:c>
      <x:c r="M146" s="10" t="n">
        <x:v>14</x:v>
      </x:c>
      <x:c r="N146" s="10" t="str">
        <x:v>Manually verified research/policy source</x:v>
      </x:c>
      <x:c r="O146" s="10" t="n">
        <x:v>5</x:v>
      </x:c>
      <x:c r="P146" s="10" t="str">
        <x:v>manual-verified scholarly/policy source</x:v>
      </x:c>
      <x:c r="Q146" s="10" t="str">
        <x:v>direct</x:v>
      </x:c>
      <x:c r="R146" s="10" t="str">
        <x:v>https://cepa.org/private-events/simplifying-european-union-policy-tech-sovereignty-package/</x:v>
      </x:c>
    </x:row>
    <x:row r="147">
      <x:c r="A147" s="10" t="n">
        <x:f>RANK.EQ(B147,$B$2:$B$446,0)+COUNTIF($B$2:B147,B147)-1</x:f>
        <x:v>146</x:v>
      </x:c>
      <x:c r="B147" s="22" t="n">
        <x:f>I147+K147+M147+O147</x:f>
        <x:v>87</x:v>
      </x:c>
      <x:c r="C147" s="10" t="str">
        <x:f>IF(B147&gt;=93,"A — Highest",IF(B147&gt;=85,"B — Very strong",IF(B147&gt;=75,"C — Strong",IF(B147&gt;=65,"D — Useful","E — Supporting"))))</x:f>
        <x:v>B — Very strong</x:v>
      </x:c>
      <x:c r="D147" s="10" t="str">
        <x:v>Beyond Borders: Chinese Use of Foreign Interference Tactics in Dutch Strategic Industries</x:v>
      </x:c>
      <x:c r="E147" s="10" t="str">
        <x:v>2026-07-03</x:v>
      </x:c>
      <x:c r="F147" s="10" t="str">
        <x:v>A</x:v>
      </x:c>
      <x:c r="G147" s="10" t="str">
        <x:v>The Hague Centre for Strategic Studies (HCSS)</x:v>
      </x:c>
      <x:c r="H147" s="10" t="str">
        <x:v>Girardi, B.; Horan, H.</x:v>
      </x:c>
      <x:c r="I147" s="10" t="n">
        <x:v>43</x:v>
      </x:c>
      <x:c r="J147" s="10" t="str">
        <x:v>Leading policy research institute</x:v>
      </x:c>
      <x:c r="K147" s="10" t="n">
        <x:v>25</x:v>
      </x:c>
      <x:c r="L147" s="10" t="str">
        <x:v>Direct EU relevance</x:v>
      </x:c>
      <x:c r="M147" s="10" t="n">
        <x:v>14</x:v>
      </x:c>
      <x:c r="N147" s="10" t="str">
        <x:v>Manually verified research/policy source</x:v>
      </x:c>
      <x:c r="O147" s="10" t="n">
        <x:v>5</x:v>
      </x:c>
      <x:c r="P147" s="10" t="str">
        <x:v>manual-verified scholarly/policy source</x:v>
      </x:c>
      <x:c r="Q147" s="10" t="str">
        <x:v>direct</x:v>
      </x:c>
      <x:c r="R147" s="10" t="str">
        <x:v>https://hcss.nl/news/new-hcss-china-knowledge-network-report-chinese-foreign-interference-in-dutch-strategic-industries-poses-a-systemic-long-term-challenge/</x:v>
      </x:c>
    </x:row>
    <x:row r="148">
      <x:c r="A148" s="10" t="n">
        <x:f>RANK.EQ(B148,$B$2:$B$446,0)+COUNTIF($B$2:B148,B148)-1</x:f>
        <x:v>147</x:v>
      </x:c>
      <x:c r="B148" s="22" t="n">
        <x:f>I148+K148+M148+O148</x:f>
        <x:v>87</x:v>
      </x:c>
      <x:c r="C148" s="10" t="str">
        <x:f>IF(B148&gt;=93,"A — Highest",IF(B148&gt;=85,"B — Very strong",IF(B148&gt;=75,"C — Strong",IF(B148&gt;=65,"D — Useful","E — Supporting"))))</x:f>
        <x:v>B — Very strong</x:v>
      </x:c>
      <x:c r="D148" s="10" t="str">
        <x:v>The EU Semiconductor Geopolitical Risk Survey: Outlook for 2026–2031</x:v>
      </x:c>
      <x:c r="E148" s="10" t="str">
        <x:v>2026-07-02</x:v>
      </x:c>
      <x:c r="F148" s="10" t="str">
        <x:v>A</x:v>
      </x:c>
      <x:c r="G148" s="10" t="str">
        <x:v>Institut Montaigne / CHIPDIPLO</x:v>
      </x:c>
      <x:c r="H148" s="10" t="str">
        <x:v>Teer, J.; Sel, P.; et al.</x:v>
      </x:c>
      <x:c r="I148" s="10" t="n">
        <x:v>43</x:v>
      </x:c>
      <x:c r="J148" s="10" t="str">
        <x:v>Leading policy research institute</x:v>
      </x:c>
      <x:c r="K148" s="10" t="n">
        <x:v>25</x:v>
      </x:c>
      <x:c r="L148" s="10" t="str">
        <x:v>Direct EU relevance</x:v>
      </x:c>
      <x:c r="M148" s="10" t="n">
        <x:v>14</x:v>
      </x:c>
      <x:c r="N148" s="10" t="str">
        <x:v>Manually verified research/policy source</x:v>
      </x:c>
      <x:c r="O148" s="10" t="n">
        <x:v>5</x:v>
      </x:c>
      <x:c r="P148" s="10" t="str">
        <x:v>manual-verified scholarly/policy source</x:v>
      </x:c>
      <x:c r="Q148" s="10" t="str">
        <x:v>direct</x:v>
      </x:c>
      <x:c r="R148" s="10" t="str">
        <x:v>https://www.institutmontaigne.org/en/publications/eu-semiconductor-geopolitical-risk-survey-outlook-2026-2031</x:v>
      </x:c>
    </x:row>
    <x:row r="149">
      <x:c r="A149" s="10" t="n">
        <x:f>RANK.EQ(B149,$B$2:$B$446,0)+COUNTIF($B$2:B149,B149)-1</x:f>
        <x:v>148</x:v>
      </x:c>
      <x:c r="B149" s="22" t="n">
        <x:f>I149+K149+M149+O149</x:f>
        <x:v>87</x:v>
      </x:c>
      <x:c r="C149" s="10" t="str">
        <x:f>IF(B149&gt;=93,"A — Highest",IF(B149&gt;=85,"B — Very strong",IF(B149&gt;=75,"C — Strong",IF(B149&gt;=65,"D — Useful","E — Supporting"))))</x:f>
        <x:v>B — Very strong</x:v>
      </x:c>
      <x:c r="D149" s="10" t="str">
        <x:v>Europe Tackles Tech Sovereignty</x:v>
      </x:c>
      <x:c r="E149" s="10" t="str">
        <x:v>2026-06-30</x:v>
      </x:c>
      <x:c r="F149" s="10" t="str">
        <x:v>A</x:v>
      </x:c>
      <x:c r="G149" s="10" t="str">
        <x:v>German Marshall Fund of the United States (GMF)</x:v>
      </x:c>
      <x:c r="H149" s="10" t="str">
        <x:v>German Marshall Fund</x:v>
      </x:c>
      <x:c r="I149" s="10" t="n">
        <x:v>43</x:v>
      </x:c>
      <x:c r="J149" s="10" t="str">
        <x:v>Leading policy research institute</x:v>
      </x:c>
      <x:c r="K149" s="10" t="n">
        <x:v>25</x:v>
      </x:c>
      <x:c r="L149" s="10" t="str">
        <x:v>Direct EU relevance</x:v>
      </x:c>
      <x:c r="M149" s="10" t="n">
        <x:v>14</x:v>
      </x:c>
      <x:c r="N149" s="10" t="str">
        <x:v>Manually verified research/policy source</x:v>
      </x:c>
      <x:c r="O149" s="10" t="n">
        <x:v>5</x:v>
      </x:c>
      <x:c r="P149" s="10" t="str">
        <x:v>manual-verified scholarly/policy source</x:v>
      </x:c>
      <x:c r="Q149" s="10" t="str">
        <x:v>direct</x:v>
      </x:c>
      <x:c r="R149" s="10" t="str">
        <x:v>https://www.gmfus.org/news/europe-tackles-tech-sovereignty</x:v>
      </x:c>
    </x:row>
    <x:row r="150">
      <x:c r="A150" s="10" t="n">
        <x:f>RANK.EQ(B150,$B$2:$B$446,0)+COUNTIF($B$2:B150,B150)-1</x:f>
        <x:v>149</x:v>
      </x:c>
      <x:c r="B150" s="22" t="n">
        <x:f>I150+K150+M150+O150</x:f>
        <x:v>87</x:v>
      </x:c>
      <x:c r="C150" s="10" t="str">
        <x:f>IF(B150&gt;=93,"A — Highest",IF(B150&gt;=85,"B — Very strong",IF(B150&gt;=75,"C — Strong",IF(B150&gt;=65,"D — Useful","E — Supporting"))))</x:f>
        <x:v>B — Very strong</x:v>
      </x:c>
      <x:c r="D150" s="10" t="str">
        <x:v>Executive Summary: Fragmented Europe: Dealing with China as a technology and innovation power</x:v>
      </x:c>
      <x:c r="E150" s="10" t="str">
        <x:v>2026-06-30</x:v>
      </x:c>
      <x:c r="F150" s="10" t="str">
        <x:v>A</x:v>
      </x:c>
      <x:c r="G150" s="10" t="str">
        <x:v>MERICS</x:v>
      </x:c>
      <x:c r="H150" s="10" t="str">
        <x:v>MERICS</x:v>
      </x:c>
      <x:c r="I150" s="10" t="n">
        <x:v>43</x:v>
      </x:c>
      <x:c r="J150" s="10" t="str">
        <x:v>Leading policy research institute</x:v>
      </x:c>
      <x:c r="K150" s="10" t="n">
        <x:v>25</x:v>
      </x:c>
      <x:c r="L150" s="10" t="str">
        <x:v>Direct EU relevance</x:v>
      </x:c>
      <x:c r="M150" s="10" t="n">
        <x:v>14</x:v>
      </x:c>
      <x:c r="N150" s="10" t="str">
        <x:v>Institutional report</x:v>
      </x:c>
      <x:c r="O150" s="10" t="n">
        <x:v>5</x:v>
      </x:c>
      <x:c r="P150" s="10" t="str">
        <x:v>institutional report</x:v>
      </x:c>
      <x:c r="Q150" s="10" t="str">
        <x:v>direct</x:v>
      </x:c>
      <x:c r="R150" s="10" t="str">
        <x:v>https://merics.org/en/report/executive-summary-fragmented-europe-dealing-china-technology-and-innovation-power</x:v>
      </x:c>
    </x:row>
    <x:row r="151">
      <x:c r="A151" s="10" t="n">
        <x:f>RANK.EQ(B151,$B$2:$B$446,0)+COUNTIF($B$2:B151,B151)-1</x:f>
        <x:v>150</x:v>
      </x:c>
      <x:c r="B151" s="22" t="n">
        <x:f>I151+K151+M151+O151</x:f>
        <x:v>87</x:v>
      </x:c>
      <x:c r="C151" s="10" t="str">
        <x:f>IF(B151&gt;=93,"A — Highest",IF(B151&gt;=85,"B — Very strong",IF(B151&gt;=75,"C — Strong",IF(B151&gt;=65,"D — Useful","E — Supporting"))))</x:f>
        <x:v>B — Very strong</x:v>
      </x:c>
      <x:c r="D151" s="10" t="str">
        <x:v>Fragmented Europe: Dealing with China as a technology and innovation power</x:v>
      </x:c>
      <x:c r="E151" s="10" t="str">
        <x:v>2026-06-30</x:v>
      </x:c>
      <x:c r="F151" s="10" t="str">
        <x:v>A</x:v>
      </x:c>
      <x:c r="G151" s="10" t="str">
        <x:v>MERICS / European Think-tank Network on China</x:v>
      </x:c>
      <x:c r="H151" s="10" t="str">
        <x:v>Bernhard Bartsch; Claudia Wessling (eds.)</x:v>
      </x:c>
      <x:c r="I151" s="10" t="n">
        <x:v>43</x:v>
      </x:c>
      <x:c r="J151" s="10" t="str">
        <x:v>Leading policy research institute</x:v>
      </x:c>
      <x:c r="K151" s="10" t="n">
        <x:v>25</x:v>
      </x:c>
      <x:c r="L151" s="10" t="str">
        <x:v>Direct EU relevance</x:v>
      </x:c>
      <x:c r="M151" s="10" t="n">
        <x:v>14</x:v>
      </x:c>
      <x:c r="N151" s="10" t="str">
        <x:v>Manually verified research/policy source</x:v>
      </x:c>
      <x:c r="O151" s="10" t="n">
        <x:v>5</x:v>
      </x:c>
      <x:c r="P151" s="10" t="str">
        <x:v>manual-verified scholarly/policy source</x:v>
      </x:c>
      <x:c r="Q151" s="10" t="str">
        <x:v>direct</x:v>
      </x:c>
      <x:c r="R151" s="10" t="str">
        <x:v>https://merics.org/en/report/fragmented-europe-dealing-china-technology-and-innovation-power</x:v>
      </x:c>
    </x:row>
    <x:row r="152">
      <x:c r="A152" s="10" t="n">
        <x:f>RANK.EQ(B152,$B$2:$B$446,0)+COUNTIF($B$2:B152,B152)-1</x:f>
        <x:v>151</x:v>
      </x:c>
      <x:c r="B152" s="22" t="n">
        <x:f>I152+K152+M152+O152</x:f>
        <x:v>87</x:v>
      </x:c>
      <x:c r="C152" s="10" t="str">
        <x:f>IF(B152&gt;=93,"A — Highest",IF(B152&gt;=85,"B — Very strong",IF(B152&gt;=75,"C — Strong",IF(B152&gt;=65,"D — Useful","E — Supporting"))))</x:f>
        <x:v>B — Very strong</x:v>
      </x:c>
      <x:c r="D152" s="10" t="str">
        <x:v>Italy: Biopharma, automotive and telecoms sectors are facing China’s technological power</x:v>
      </x:c>
      <x:c r="E152" s="10" t="str">
        <x:v>2026-06-30</x:v>
      </x:c>
      <x:c r="F152" s="10" t="str">
        <x:v>A</x:v>
      </x:c>
      <x:c r="G152" s="10" t="str">
        <x:v>MERICS</x:v>
      </x:c>
      <x:c r="H152" s="10" t="str">
        <x:v>MERICS</x:v>
      </x:c>
      <x:c r="I152" s="10" t="n">
        <x:v>43</x:v>
      </x:c>
      <x:c r="J152" s="10" t="str">
        <x:v>Leading policy research institute</x:v>
      </x:c>
      <x:c r="K152" s="10" t="n">
        <x:v>25</x:v>
      </x:c>
      <x:c r="L152" s="10" t="str">
        <x:v>Direct EU relevance</x:v>
      </x:c>
      <x:c r="M152" s="10" t="n">
        <x:v>14</x:v>
      </x:c>
      <x:c r="N152" s="10" t="str">
        <x:v>Institutional report</x:v>
      </x:c>
      <x:c r="O152" s="10" t="n">
        <x:v>5</x:v>
      </x:c>
      <x:c r="P152" s="10" t="str">
        <x:v>institutional report</x:v>
      </x:c>
      <x:c r="Q152" s="10" t="str">
        <x:v>direct</x:v>
      </x:c>
      <x:c r="R152" s="10" t="str">
        <x:v>https://merics.org/en/report/italy-biopharma-automotive-and-telecoms-sectors-are-facing-chinas-technological-power</x:v>
      </x:c>
    </x:row>
    <x:row r="153">
      <x:c r="A153" s="10" t="n">
        <x:f>RANK.EQ(B153,$B$2:$B$446,0)+COUNTIF($B$2:B153,B153)-1</x:f>
        <x:v>152</x:v>
      </x:c>
      <x:c r="B153" s="22" t="n">
        <x:f>I153+K153+M153+O153</x:f>
        <x:v>87</x:v>
      </x:c>
      <x:c r="C153" s="10" t="str">
        <x:f>IF(B153&gt;=93,"A — Highest",IF(B153&gt;=85,"B — Very strong",IF(B153&gt;=75,"C — Strong",IF(B153&gt;=65,"D — Useful","E — Supporting"))))</x:f>
        <x:v>B — Very strong</x:v>
      </x:c>
      <x:c r="D153" s="10" t="str">
        <x:v>Strategic procurement in Global Europe: Why EU preferences risk undermining its own ambitions</x:v>
      </x:c>
      <x:c r="E153" s="10" t="str">
        <x:v>2026-06-24</x:v>
      </x:c>
      <x:c r="F153" s="10" t="str">
        <x:v>A</x:v>
      </x:c>
      <x:c r="G153" s="10" t="str">
        <x:v>ECDPM</x:v>
      </x:c>
      <x:c r="H153" s="10" t="str">
        <x:v>San Bilal; Karim Karaki</x:v>
      </x:c>
      <x:c r="I153" s="10" t="n">
        <x:v>43</x:v>
      </x:c>
      <x:c r="J153" s="10" t="str">
        <x:v>Leading policy research institute</x:v>
      </x:c>
      <x:c r="K153" s="10" t="n">
        <x:v>25</x:v>
      </x:c>
      <x:c r="L153" s="10" t="str">
        <x:v>Direct EU relevance</x:v>
      </x:c>
      <x:c r="M153" s="10" t="n">
        <x:v>14</x:v>
      </x:c>
      <x:c r="N153" s="10" t="str">
        <x:v>Manually verified research/policy source</x:v>
      </x:c>
      <x:c r="O153" s="10" t="n">
        <x:v>5</x:v>
      </x:c>
      <x:c r="P153" s="10" t="str">
        <x:v>manual-verified scholarly/policy source</x:v>
      </x:c>
      <x:c r="Q153" s="10" t="str">
        <x:v>direct</x:v>
      </x:c>
      <x:c r="R153" s="10" t="str">
        <x:v>https://ecdpm.org/work/strategic-procurement-global-europe-why-eu-preferences-risk-undermining-its-own-ambitions</x:v>
      </x:c>
    </x:row>
    <x:row r="154">
      <x:c r="A154" s="10" t="n">
        <x:f>RANK.EQ(B154,$B$2:$B$446,0)+COUNTIF($B$2:B154,B154)-1</x:f>
        <x:v>153</x:v>
      </x:c>
      <x:c r="B154" s="22" t="n">
        <x:f>I154+K154+M154+O154</x:f>
        <x:v>87</x:v>
      </x:c>
      <x:c r="C154" s="10" t="str">
        <x:f>IF(B154&gt;=93,"A — Highest",IF(B154&gt;=85,"B — Very strong",IF(B154&gt;=75,"C — Strong",IF(B154&gt;=65,"D — Useful","E — Supporting"))))</x:f>
        <x:v>B — Very strong</x:v>
      </x:c>
      <x:c r="D154" s="10" t="str">
        <x:v>A Grand Strategy for Europe’s Clean Industrial Future</x:v>
      </x:c>
      <x:c r="E154" s="10" t="str">
        <x:v>2026-06-23</x:v>
      </x:c>
      <x:c r="F154" s="10" t="str">
        <x:v>A</x:v>
      </x:c>
      <x:c r="G154" s="10" t="str">
        <x:v>Carnegie Endowment for International Peace</x:v>
      </x:c>
      <x:c r="H154" s="10" t="str">
        <x:v>Milo McBride; Pauline Gerard</x:v>
      </x:c>
      <x:c r="I154" s="10" t="n">
        <x:v>43</x:v>
      </x:c>
      <x:c r="J154" s="10" t="str">
        <x:v>Leading policy research institute</x:v>
      </x:c>
      <x:c r="K154" s="10" t="n">
        <x:v>25</x:v>
      </x:c>
      <x:c r="L154" s="10" t="str">
        <x:v>Direct EU relevance</x:v>
      </x:c>
      <x:c r="M154" s="10" t="n">
        <x:v>14</x:v>
      </x:c>
      <x:c r="N154" s="10" t="str">
        <x:v>Manually verified research/policy source</x:v>
      </x:c>
      <x:c r="O154" s="10" t="n">
        <x:v>5</x:v>
      </x:c>
      <x:c r="P154" s="10" t="str">
        <x:v>manual-verified scholarly/policy source</x:v>
      </x:c>
      <x:c r="Q154" s="10" t="str">
        <x:v>direct</x:v>
      </x:c>
      <x:c r="R154" s="10" t="str">
        <x:v>https://carnegieendowment.org/research/2026/06/a-grand-strategy-for-europes-clean-industrial-future</x:v>
      </x:c>
    </x:row>
    <x:row r="155">
      <x:c r="A155" s="10" t="n">
        <x:f>RANK.EQ(B155,$B$2:$B$446,0)+COUNTIF($B$2:B155,B155)-1</x:f>
        <x:v>154</x:v>
      </x:c>
      <x:c r="B155" s="22" t="n">
        <x:f>I155+K155+M155+O155</x:f>
        <x:v>87</x:v>
      </x:c>
      <x:c r="C155" s="10" t="str">
        <x:f>IF(B155&gt;=93,"A — Highest",IF(B155&gt;=85,"B — Very strong",IF(B155&gt;=75,"C — Strong",IF(B155&gt;=65,"D — Useful","E — Supporting"))))</x:f>
        <x:v>B — Very strong</x:v>
      </x:c>
      <x:c r="D155" s="10" t="str">
        <x:v>Europe’s ungoverned space: Military AI and the autonomy that cannot be bought</x:v>
      </x:c>
      <x:c r="E155" s="10" t="str">
        <x:v>2026-06-22</x:v>
      </x:c>
      <x:c r="F155" s="10" t="str">
        <x:v>A</x:v>
      </x:c>
      <x:c r="G155" s="10" t="str">
        <x:v>VoxEU/CEPR</x:v>
      </x:c>
      <x:c r="H155" s="10" t="str">
        <x:v>Marco Perugini</x:v>
      </x:c>
      <x:c r="I155" s="10" t="n">
        <x:v>43</x:v>
      </x:c>
      <x:c r="J155" s="10" t="str">
        <x:v>Leading policy research institute</x:v>
      </x:c>
      <x:c r="K155" s="10" t="n">
        <x:v>25</x:v>
      </x:c>
      <x:c r="L155" s="10" t="str">
        <x:v>Direct EU relevance</x:v>
      </x:c>
      <x:c r="M155" s="10" t="n">
        <x:v>14</x:v>
      </x:c>
      <x:c r="N155" s="10" t="str">
        <x:v>Manually verified research/policy source</x:v>
      </x:c>
      <x:c r="O155" s="10" t="n">
        <x:v>5</x:v>
      </x:c>
      <x:c r="P155" s="10" t="str">
        <x:v>manual-verified scholarly/policy source</x:v>
      </x:c>
      <x:c r="Q155" s="10" t="str">
        <x:v>direct</x:v>
      </x:c>
      <x:c r="R155" s="10" t="str">
        <x:v>https://cepr.org/voxeu/columns/europes-ungoverned-space-military-ai-and-autonomy-cannot-be-bought</x:v>
      </x:c>
    </x:row>
    <x:row r="156">
      <x:c r="A156" s="10" t="n">
        <x:f>RANK.EQ(B156,$B$2:$B$446,0)+COUNTIF($B$2:B156,B156)-1</x:f>
        <x:v>155</x:v>
      </x:c>
      <x:c r="B156" s="22" t="n">
        <x:f>I156+K156+M156+O156</x:f>
        <x:v>87</x:v>
      </x:c>
      <x:c r="C156" s="10" t="str">
        <x:f>IF(B156&gt;=93,"A — Highest",IF(B156&gt;=85,"B — Very strong",IF(B156&gt;=75,"C — Strong",IF(B156&gt;=65,"D — Useful","E — Supporting"))))</x:f>
        <x:v>B — Very strong</x:v>
      </x:c>
      <x:c r="D156" s="10" t="str">
        <x:v>Paradigm Shift in Principle, Paper Tiger in Practice? How to Make the Industrial Accelerator Act Count</x:v>
      </x:c>
      <x:c r="E156" s="10" t="str">
        <x:v>2026-06-22</x:v>
      </x:c>
      <x:c r="F156" s="10" t="str">
        <x:v>A</x:v>
      </x:c>
      <x:c r="G156" s="10" t="str">
        <x:v>Jacques Delors Centre</x:v>
      </x:c>
      <x:c r="H156" s="10" t="str">
        <x:v>Philipp Jäger; Nils Redeker</x:v>
      </x:c>
      <x:c r="I156" s="10" t="n">
        <x:v>43</x:v>
      </x:c>
      <x:c r="J156" s="10" t="str">
        <x:v>Leading policy research institute</x:v>
      </x:c>
      <x:c r="K156" s="10" t="n">
        <x:v>25</x:v>
      </x:c>
      <x:c r="L156" s="10" t="str">
        <x:v>Direct EU relevance</x:v>
      </x:c>
      <x:c r="M156" s="10" t="n">
        <x:v>14</x:v>
      </x:c>
      <x:c r="N156" s="10" t="str">
        <x:v>Manually verified research/policy source</x:v>
      </x:c>
      <x:c r="O156" s="10" t="n">
        <x:v>5</x:v>
      </x:c>
      <x:c r="P156" s="10" t="str">
        <x:v>manual-verified scholarly/policy source</x:v>
      </x:c>
      <x:c r="Q156" s="10" t="str">
        <x:v>direct</x:v>
      </x:c>
      <x:c r="R156" s="10" t="str">
        <x:v>https://www.delorscentre.eu/en/publications/detail/publication/how-to-make-the-industrial-accelerator-act-count</x:v>
      </x:c>
    </x:row>
    <x:row r="157">
      <x:c r="A157" s="10" t="n">
        <x:f>RANK.EQ(B157,$B$2:$B$446,0)+COUNTIF($B$2:B157,B157)-1</x:f>
        <x:v>156</x:v>
      </x:c>
      <x:c r="B157" s="22" t="n">
        <x:f>I157+K157+M157+O157</x:f>
        <x:v>87</x:v>
      </x:c>
      <x:c r="C157" s="10" t="str">
        <x:f>IF(B157&gt;=93,"A — Highest",IF(B157&gt;=85,"B — Very strong",IF(B157&gt;=75,"C — Strong",IF(B157&gt;=65,"D — Useful","E — Supporting"))))</x:f>
        <x:v>B — Very strong</x:v>
      </x:c>
      <x:c r="D157" s="10" t="str">
        <x:v>Shared gains, secure links: rethinking EU-Asia digital cooperation – CEPS</x:v>
      </x:c>
      <x:c r="E157" s="10" t="str">
        <x:v>2026-06-19</x:v>
      </x:c>
      <x:c r="F157" s="10" t="str">
        <x:v>A</x:v>
      </x:c>
      <x:c r="G157" s="10" t="str">
        <x:v>CEPS</x:v>
      </x:c>
      <x:c r="H157" s="10" t="str">
        <x:v>CEPS</x:v>
      </x:c>
      <x:c r="I157" s="10" t="n">
        <x:v>43</x:v>
      </x:c>
      <x:c r="J157" s="10" t="str">
        <x:v>Leading policy research institute</x:v>
      </x:c>
      <x:c r="K157" s="10" t="n">
        <x:v>25</x:v>
      </x:c>
      <x:c r="L157" s="10" t="str">
        <x:v>Direct EU relevance</x:v>
      </x:c>
      <x:c r="M157" s="10" t="n">
        <x:v>14</x:v>
      </x:c>
      <x:c r="N157" s="10" t="str">
        <x:v>Institutional report</x:v>
      </x:c>
      <x:c r="O157" s="10" t="n">
        <x:v>5</x:v>
      </x:c>
      <x:c r="P157" s="10" t="str">
        <x:v>institutional report</x:v>
      </x:c>
      <x:c r="Q157" s="10" t="str">
        <x:v>direct</x:v>
      </x:c>
      <x:c r="R157" s="10" t="str">
        <x:v>https://cdn.ceps.eu/2026/06/2026-08-FPU-EU-Asia-digital-cooperation.pdf</x:v>
      </x:c>
    </x:row>
    <x:row r="158">
      <x:c r="A158" s="10" t="n">
        <x:f>RANK.EQ(B158,$B$2:$B$446,0)+COUNTIF($B$2:B158,B158)-1</x:f>
        <x:v>157</x:v>
      </x:c>
      <x:c r="B158" s="22" t="n">
        <x:f>I158+K158+M158+O158</x:f>
        <x:v>87</x:v>
      </x:c>
      <x:c r="C158" s="10" t="str">
        <x:f>IF(B158&gt;=93,"A — Highest",IF(B158&gt;=85,"B — Very strong",IF(B158&gt;=75,"C — Strong",IF(B158&gt;=65,"D — Useful","E — Supporting"))))</x:f>
        <x:v>B — Very strong</x:v>
      </x:c>
      <x:c r="D158" s="10" t="str">
        <x:v>From Trade Dependence to Geopolitical Leverage: The EU in an Era of Weaponized Interdependence</x:v>
      </x:c>
      <x:c r="E158" s="10" t="str">
        <x:v>2026-06-15</x:v>
      </x:c>
      <x:c r="F158" s="10" t="str">
        <x:v>A</x:v>
      </x:c>
      <x:c r="G158" s="10" t="str">
        <x:v>Carnegie Europe</x:v>
      </x:c>
      <x:c r="H158" s="10" t="str">
        <x:v>Sinan Ülgen</x:v>
      </x:c>
      <x:c r="I158" s="10" t="n">
        <x:v>43</x:v>
      </x:c>
      <x:c r="J158" s="10" t="str">
        <x:v>Leading policy research institute</x:v>
      </x:c>
      <x:c r="K158" s="10" t="n">
        <x:v>25</x:v>
      </x:c>
      <x:c r="L158" s="10" t="str">
        <x:v>Direct EU relevance</x:v>
      </x:c>
      <x:c r="M158" s="10" t="n">
        <x:v>14</x:v>
      </x:c>
      <x:c r="N158" s="10" t="str">
        <x:v>Manually verified research/policy source</x:v>
      </x:c>
      <x:c r="O158" s="10" t="n">
        <x:v>5</x:v>
      </x:c>
      <x:c r="P158" s="10" t="str">
        <x:v>manual-verified scholarly/policy source</x:v>
      </x:c>
      <x:c r="Q158" s="10" t="str">
        <x:v>direct</x:v>
      </x:c>
      <x:c r="R158" s="10" t="str">
        <x:v>https://carnegieendowment.org/research/2026/06/from-trade-dependence-to-geopolitical-leverage-the-eu-in-an-era-of-weaponized-interdependence</x:v>
      </x:c>
    </x:row>
    <x:row r="159">
      <x:c r="A159" s="10" t="n">
        <x:f>RANK.EQ(B159,$B$2:$B$446,0)+COUNTIF($B$2:B159,B159)-1</x:f>
        <x:v>158</x:v>
      </x:c>
      <x:c r="B159" s="22" t="n">
        <x:f>I159+K159+M159+O159</x:f>
        <x:v>87</x:v>
      </x:c>
      <x:c r="C159" s="10" t="str">
        <x:f>IF(B159&gt;=93,"A — Highest",IF(B159&gt;=85,"B — Very strong",IF(B159&gt;=75,"C — Strong",IF(B159&gt;=65,"D — Useful","E — Supporting"))))</x:f>
        <x:v>B — Very strong</x:v>
      </x:c>
      <x:c r="D159" s="10" t="str">
        <x:v>Health under the Global Gateway: achievements and future prospects – CEPS</x:v>
      </x:c>
      <x:c r="E159" s="10" t="str">
        <x:v>2026-06-15</x:v>
      </x:c>
      <x:c r="F159" s="10" t="str">
        <x:v>A</x:v>
      </x:c>
      <x:c r="G159" s="10" t="str">
        <x:v>CEPS</x:v>
      </x:c>
      <x:c r="H159" s="10" t="str">
        <x:v>CEPS</x:v>
      </x:c>
      <x:c r="I159" s="10" t="n">
        <x:v>43</x:v>
      </x:c>
      <x:c r="J159" s="10" t="str">
        <x:v>Leading policy research institute</x:v>
      </x:c>
      <x:c r="K159" s="10" t="n">
        <x:v>25</x:v>
      </x:c>
      <x:c r="L159" s="10" t="str">
        <x:v>Direct EU relevance</x:v>
      </x:c>
      <x:c r="M159" s="10" t="n">
        <x:v>14</x:v>
      </x:c>
      <x:c r="N159" s="10" t="str">
        <x:v>Institutional report</x:v>
      </x:c>
      <x:c r="O159" s="10" t="n">
        <x:v>5</x:v>
      </x:c>
      <x:c r="P159" s="10" t="str">
        <x:v>institutional report</x:v>
      </x:c>
      <x:c r="Q159" s="10" t="str">
        <x:v>direct</x:v>
      </x:c>
      <x:c r="R159" s="10" t="str">
        <x:v>https://cdn.ceps.eu/2026/06/A1.3.3-Health-under-the-Global-Gateway-formatted.pdf</x:v>
      </x:c>
    </x:row>
    <x:row r="160">
      <x:c r="A160" s="10" t="n">
        <x:f>RANK.EQ(B160,$B$2:$B$446,0)+COUNTIF($B$2:B160,B160)-1</x:f>
        <x:v>159</x:v>
      </x:c>
      <x:c r="B160" s="22" t="n">
        <x:f>I160+K160+M160+O160</x:f>
        <x:v>87</x:v>
      </x:c>
      <x:c r="C160" s="10" t="str">
        <x:f>IF(B160&gt;=93,"A — Highest",IF(B160&gt;=85,"B — Very strong",IF(B160&gt;=75,"C — Strong",IF(B160&gt;=65,"D — Useful","E — Supporting"))))</x:f>
        <x:v>B — Very strong</x:v>
      </x:c>
      <x:c r="D160" s="10" t="str">
        <x:v>Mitigate, deter, escalate: Europe’s options against US economic coercion</x:v>
      </x:c>
      <x:c r="E160" s="10" t="str">
        <x:v>2026-06-11</x:v>
      </x:c>
      <x:c r="F160" s="10" t="str">
        <x:v>A</x:v>
      </x:c>
      <x:c r="G160" s="10" t="str">
        <x:v>European Council on Foreign Relations (ECFR)</x:v>
      </x:c>
      <x:c r="H160" s="10" t="str">
        <x:v>Agathe Demarais; Tobias Gehrke; José Ignacio Torreblanca</x:v>
      </x:c>
      <x:c r="I160" s="10" t="n">
        <x:v>43</x:v>
      </x:c>
      <x:c r="J160" s="10" t="str">
        <x:v>Leading policy research institute</x:v>
      </x:c>
      <x:c r="K160" s="10" t="n">
        <x:v>25</x:v>
      </x:c>
      <x:c r="L160" s="10" t="str">
        <x:v>Direct EU relevance</x:v>
      </x:c>
      <x:c r="M160" s="10" t="n">
        <x:v>14</x:v>
      </x:c>
      <x:c r="N160" s="10" t="str">
        <x:v>Manually verified research/policy source</x:v>
      </x:c>
      <x:c r="O160" s="10" t="n">
        <x:v>5</x:v>
      </x:c>
      <x:c r="P160" s="10" t="str">
        <x:v>manual-verified scholarly/policy source</x:v>
      </x:c>
      <x:c r="Q160" s="10" t="str">
        <x:v>direct</x:v>
      </x:c>
      <x:c r="R160" s="10" t="str">
        <x:v>https://ecfr.eu/publication/mitigate-deter-escalate-europes-options-against-us-economic-coercion/</x:v>
      </x:c>
    </x:row>
    <x:row r="161">
      <x:c r="A161" s="10" t="n">
        <x:f>RANK.EQ(B161,$B$2:$B$446,0)+COUNTIF($B$2:B161,B161)-1</x:f>
        <x:v>160</x:v>
      </x:c>
      <x:c r="B161" s="22" t="n">
        <x:f>I161+K161+M161+O161</x:f>
        <x:v>87</x:v>
      </x:c>
      <x:c r="C161" s="10" t="str">
        <x:f>IF(B161&gt;=93,"A — Highest",IF(B161&gt;=85,"B — Very strong",IF(B161&gt;=75,"C — Strong",IF(B161&gt;=65,"D — Useful","E — Supporting"))))</x:f>
        <x:v>B — Very strong</x:v>
      </x:c>
      <x:c r="D161" s="10" t="str">
        <x:v>To achieve tech sovereignty, Europe must not mimic its rivals</x:v>
      </x:c>
      <x:c r="E161" s="10" t="str">
        <x:v>2026-06-11</x:v>
      </x:c>
      <x:c r="F161" s="10" t="str">
        <x:v>A</x:v>
      </x:c>
      <x:c r="G161" s="10" t="str">
        <x:v>Bruegel</x:v>
      </x:c>
      <x:c r="H161" s="10" t="str">
        <x:v>Mario Mariniello</x:v>
      </x:c>
      <x:c r="I161" s="10" t="n">
        <x:v>43</x:v>
      </x:c>
      <x:c r="J161" s="10" t="str">
        <x:v>Leading policy research institute</x:v>
      </x:c>
      <x:c r="K161" s="10" t="n">
        <x:v>25</x:v>
      </x:c>
      <x:c r="L161" s="10" t="str">
        <x:v>Direct EU relevance</x:v>
      </x:c>
      <x:c r="M161" s="10" t="n">
        <x:v>14</x:v>
      </x:c>
      <x:c r="N161" s="10" t="str">
        <x:v>Manually verified research/policy source</x:v>
      </x:c>
      <x:c r="O161" s="10" t="n">
        <x:v>5</x:v>
      </x:c>
      <x:c r="P161" s="10" t="str">
        <x:v>manual-verified scholarly/policy source</x:v>
      </x:c>
      <x:c r="Q161" s="10" t="str">
        <x:v>direct</x:v>
      </x:c>
      <x:c r="R161" s="10" t="str">
        <x:v>https://www.bruegel.org/first-glance/achieve-tech-sovereignty-europe-must-not-mimic-its-rivals</x:v>
      </x:c>
    </x:row>
    <x:row r="162">
      <x:c r="A162" s="10" t="n">
        <x:f>RANK.EQ(B162,$B$2:$B$446,0)+COUNTIF($B$2:B162,B162)-1</x:f>
        <x:v>161</x:v>
      </x:c>
      <x:c r="B162" s="22" t="n">
        <x:f>I162+K162+M162+O162</x:f>
        <x:v>87</x:v>
      </x:c>
      <x:c r="C162" s="10" t="str">
        <x:f>IF(B162&gt;=93,"A — Highest",IF(B162&gt;=85,"B — Very strong",IF(B162&gt;=75,"C — Strong",IF(B162&gt;=65,"D — Useful","E — Supporting"))))</x:f>
        <x:v>B — Very strong</x:v>
      </x:c>
      <x:c r="D162" s="10" t="str">
        <x:v>Building One Europe, One Market – CEPS</x:v>
      </x:c>
      <x:c r="E162" s="10" t="str">
        <x:v>2026-06-10</x:v>
      </x:c>
      <x:c r="F162" s="10" t="str">
        <x:v>A</x:v>
      </x:c>
      <x:c r="G162" s="10" t="str">
        <x:v>CEPS</x:v>
      </x:c>
      <x:c r="H162" s="10" t="str">
        <x:v>CEPS</x:v>
      </x:c>
      <x:c r="I162" s="10" t="n">
        <x:v>43</x:v>
      </x:c>
      <x:c r="J162" s="10" t="str">
        <x:v>Leading policy research institute</x:v>
      </x:c>
      <x:c r="K162" s="10" t="n">
        <x:v>25</x:v>
      </x:c>
      <x:c r="L162" s="10" t="str">
        <x:v>Direct EU relevance</x:v>
      </x:c>
      <x:c r="M162" s="10" t="n">
        <x:v>14</x:v>
      </x:c>
      <x:c r="N162" s="10" t="str">
        <x:v>Institutional report</x:v>
      </x:c>
      <x:c r="O162" s="10" t="n">
        <x:v>5</x:v>
      </x:c>
      <x:c r="P162" s="10" t="str">
        <x:v>institutional report</x:v>
      </x:c>
      <x:c r="Q162" s="10" t="str">
        <x:v>direct</x:v>
      </x:c>
      <x:c r="R162" s="10" t="str">
        <x:v>https://cdn.ceps.eu/2026/06/CEPS-Sitra-Building-One-Europe-One-Market.pdf</x:v>
      </x:c>
    </x:row>
    <x:row r="163">
      <x:c r="A163" s="10" t="n">
        <x:f>RANK.EQ(B163,$B$2:$B$446,0)+COUNTIF($B$2:B163,B163)-1</x:f>
        <x:v>162</x:v>
      </x:c>
      <x:c r="B163" s="22" t="n">
        <x:f>I163+K163+M163+O163</x:f>
        <x:v>87</x:v>
      </x:c>
      <x:c r="C163" s="10" t="str">
        <x:f>IF(B163&gt;=93,"A — Highest",IF(B163&gt;=85,"B — Very strong",IF(B163&gt;=75,"C — Strong",IF(B163&gt;=65,"D — Useful","E — Supporting"))))</x:f>
        <x:v>B — Very strong</x:v>
      </x:c>
      <x:c r="D163" s="10" t="str">
        <x:v>Beyond the European Chips Act: EU Supply Chain Dependencies on China, Taiwan and the United States</x:v>
      </x:c>
      <x:c r="E163" s="10" t="str">
        <x:v>2026-06-04</x:v>
      </x:c>
      <x:c r="F163" s="10" t="str">
        <x:v>A</x:v>
      </x:c>
      <x:c r="G163" s="10" t="str">
        <x:v>Istituto Affari Internazionali (IAI)</x:v>
      </x:c>
      <x:c r="H163" s="10" t="str">
        <x:v>Istituto Affari Internazionali</x:v>
      </x:c>
      <x:c r="I163" s="10" t="n">
        <x:v>43</x:v>
      </x:c>
      <x:c r="J163" s="10" t="str">
        <x:v>Leading policy research institute</x:v>
      </x:c>
      <x:c r="K163" s="10" t="n">
        <x:v>25</x:v>
      </x:c>
      <x:c r="L163" s="10" t="str">
        <x:v>Direct EU relevance</x:v>
      </x:c>
      <x:c r="M163" s="10" t="n">
        <x:v>14</x:v>
      </x:c>
      <x:c r="N163" s="10" t="str">
        <x:v>Manually verified research/policy source</x:v>
      </x:c>
      <x:c r="O163" s="10" t="n">
        <x:v>5</x:v>
      </x:c>
      <x:c r="P163" s="10" t="str">
        <x:v>manual-verified scholarly/policy source</x:v>
      </x:c>
      <x:c r="Q163" s="10" t="str">
        <x:v>direct</x:v>
      </x:c>
      <x:c r="R163" s="10" t="str">
        <x:v>https://www.iai.it/en/publications/c41/beyond-european-chips-act-eu-supply-chain-dependencies-china-taiwan-and-united</x:v>
      </x:c>
    </x:row>
    <x:row r="164">
      <x:c r="A164" s="10" t="n">
        <x:f>RANK.EQ(B164,$B$2:$B$446,0)+COUNTIF($B$2:B164,B164)-1</x:f>
        <x:v>163</x:v>
      </x:c>
      <x:c r="B164" s="22" t="n">
        <x:f>I164+K164+M164+O164</x:f>
        <x:v>87</x:v>
      </x:c>
      <x:c r="C164" s="10" t="str">
        <x:f>IF(B164&gt;=93,"A — Highest",IF(B164&gt;=85,"B — Very strong",IF(B164&gt;=75,"C — Strong",IF(B164&gt;=65,"D — Useful","E — Supporting"))))</x:f>
        <x:v>B — Very strong</x:v>
      </x:c>
      <x:c r="D164" s="10" t="str">
        <x:v>Europe’s Geo-Industrial Deal: A path to securing Europe’s competitiveness abroad</x:v>
      </x:c>
      <x:c r="E164" s="10" t="str">
        <x:v>2026-06-03</x:v>
      </x:c>
      <x:c r="F164" s="10" t="str">
        <x:v>A</x:v>
      </x:c>
      <x:c r="G164" s="10" t="str">
        <x:v>European Policy Centre</x:v>
      </x:c>
      <x:c r="H164" s="10" t="str">
        <x:v>Varg Folkman</x:v>
      </x:c>
      <x:c r="I164" s="10" t="n">
        <x:v>43</x:v>
      </x:c>
      <x:c r="J164" s="10" t="str">
        <x:v>Leading policy research institute</x:v>
      </x:c>
      <x:c r="K164" s="10" t="n">
        <x:v>25</x:v>
      </x:c>
      <x:c r="L164" s="10" t="str">
        <x:v>Direct EU relevance</x:v>
      </x:c>
      <x:c r="M164" s="10" t="n">
        <x:v>14</x:v>
      </x:c>
      <x:c r="N164" s="10" t="str">
        <x:v>Manually verified research/policy source</x:v>
      </x:c>
      <x:c r="O164" s="10" t="n">
        <x:v>5</x:v>
      </x:c>
      <x:c r="P164" s="10" t="str">
        <x:v>manual-verified scholarly/policy source</x:v>
      </x:c>
      <x:c r="Q164" s="10" t="str">
        <x:v>direct</x:v>
      </x:c>
      <x:c r="R164" s="10" t="str">
        <x:v>https://www.epc.eu/publication/europes-geo-industrial-deal-a-path-to-securing-europes-competitiveness-abroad/</x:v>
      </x:c>
    </x:row>
    <x:row r="165">
      <x:c r="A165" s="10" t="n">
        <x:f>RANK.EQ(B165,$B$2:$B$446,0)+COUNTIF($B$2:B165,B165)-1</x:f>
        <x:v>164</x:v>
      </x:c>
      <x:c r="B165" s="22" t="n">
        <x:f>I165+K165+M165+O165</x:f>
        <x:v>87</x:v>
      </x:c>
      <x:c r="C165" s="10" t="str">
        <x:f>IF(B165&gt;=93,"A — Highest",IF(B165&gt;=85,"B — Very strong",IF(B165&gt;=75,"C — Strong",IF(B165&gt;=65,"D — Useful","E — Supporting"))))</x:f>
        <x:v>B — Very strong</x:v>
      </x:c>
      <x:c r="D165" s="10" t="str">
        <x:v>Mapping of technology specialisation, complexity and relatedness of the EU and selected global partners – CEPS</x:v>
      </x:c>
      <x:c r="E165" s="10" t="str">
        <x:v>2026-06-02</x:v>
      </x:c>
      <x:c r="F165" s="10" t="str">
        <x:v>A</x:v>
      </x:c>
      <x:c r="G165" s="10" t="str">
        <x:v>CEPS</x:v>
      </x:c>
      <x:c r="H165" s="10" t="str">
        <x:v>CEPS</x:v>
      </x:c>
      <x:c r="I165" s="10" t="n">
        <x:v>43</x:v>
      </x:c>
      <x:c r="J165" s="10" t="str">
        <x:v>Leading policy research institute</x:v>
      </x:c>
      <x:c r="K165" s="10" t="n">
        <x:v>25</x:v>
      </x:c>
      <x:c r="L165" s="10" t="str">
        <x:v>Direct EU relevance</x:v>
      </x:c>
      <x:c r="M165" s="10" t="n">
        <x:v>14</x:v>
      </x:c>
      <x:c r="N165" s="10" t="str">
        <x:v>Institutional report</x:v>
      </x:c>
      <x:c r="O165" s="10" t="n">
        <x:v>5</x:v>
      </x:c>
      <x:c r="P165" s="10" t="str">
        <x:v>institutional report</x:v>
      </x:c>
      <x:c r="Q165" s="10" t="str">
        <x:v>direct</x:v>
      </x:c>
      <x:c r="R165" s="10" t="str">
        <x:v>https://cdn.ceps.eu/2026/06/2026-06-GRID-CNECT-TTD.pdf</x:v>
      </x:c>
    </x:row>
    <x:row r="166">
      <x:c r="A166" s="10" t="n">
        <x:f>RANK.EQ(B166,$B$2:$B$446,0)+COUNTIF($B$2:B166,B166)-1</x:f>
        <x:v>165</x:v>
      </x:c>
      <x:c r="B166" s="22" t="n">
        <x:f>I166+K166+M166+O166</x:f>
        <x:v>87</x:v>
      </x:c>
      <x:c r="C166" s="10" t="str">
        <x:f>IF(B166&gt;=93,"A — Highest",IF(B166&gt;=85,"B — Very strong",IF(B166&gt;=75,"C — Strong",IF(B166&gt;=65,"D — Useful","E — Supporting"))))</x:f>
        <x:v>B — Very strong</x:v>
      </x:c>
      <x:c r="D166" s="10" t="str">
        <x:v>The EU’s need for a new growth model: Innovation under strategic capitalism</x:v>
      </x:c>
      <x:c r="E166" s="10" t="str">
        <x:v>2026-06-01</x:v>
      </x:c>
      <x:c r="F166" s="10" t="str">
        <x:v>A</x:v>
      </x:c>
      <x:c r="G166" s="10" t="str">
        <x:v>Finnish Institute of International Affairs (FIIA)</x:v>
      </x:c>
      <x:c r="H166" s="10" t="str">
        <x:v>Mikael Wigell; Sinikukka Saari</x:v>
      </x:c>
      <x:c r="I166" s="10" t="n">
        <x:v>43</x:v>
      </x:c>
      <x:c r="J166" s="10" t="str">
        <x:v>Leading policy research institute</x:v>
      </x:c>
      <x:c r="K166" s="10" t="n">
        <x:v>25</x:v>
      </x:c>
      <x:c r="L166" s="10" t="str">
        <x:v>Direct EU relevance</x:v>
      </x:c>
      <x:c r="M166" s="10" t="n">
        <x:v>14</x:v>
      </x:c>
      <x:c r="N166" s="10" t="str">
        <x:v>Manually verified research/policy source</x:v>
      </x:c>
      <x:c r="O166" s="10" t="n">
        <x:v>5</x:v>
      </x:c>
      <x:c r="P166" s="10" t="str">
        <x:v>manual-verified scholarly/policy source</x:v>
      </x:c>
      <x:c r="Q166" s="10" t="str">
        <x:v>direct</x:v>
      </x:c>
      <x:c r="R166" s="10" t="str">
        <x:v>https://fiia.fi/julkaisu/the-eus-need-for-a-new-growth-model</x:v>
      </x:c>
    </x:row>
    <x:row r="167">
      <x:c r="A167" s="10" t="n">
        <x:f>RANK.EQ(B167,$B$2:$B$446,0)+COUNTIF($B$2:B167,B167)-1</x:f>
        <x:v>166</x:v>
      </x:c>
      <x:c r="B167" s="22" t="n">
        <x:f>I167+K167+M167+O167</x:f>
        <x:v>87</x:v>
      </x:c>
      <x:c r="C167" s="10" t="str">
        <x:f>IF(B167&gt;=93,"A — Highest",IF(B167&gt;=85,"B — Very strong",IF(B167&gt;=75,"C — Strong",IF(B167&gt;=65,"D — Useful","E — Supporting"))))</x:f>
        <x:v>B — Very strong</x:v>
      </x:c>
      <x:c r="D167" s="10" t="str">
        <x:v>From openness to deterrence: Europe’s doctrine of reactive assertiveness</x:v>
      </x:c>
      <x:c r="E167" s="10" t="str">
        <x:v>2026-05-31</x:v>
      </x:c>
      <x:c r="F167" s="10" t="str">
        <x:v>A</x:v>
      </x:c>
      <x:c r="G167" s="10" t="str">
        <x:v>European Policy Centre</x:v>
      </x:c>
      <x:c r="H167" s="10" t="str">
        <x:v>Georg Riekeles; Varg Folkman</x:v>
      </x:c>
      <x:c r="I167" s="10" t="n">
        <x:v>43</x:v>
      </x:c>
      <x:c r="J167" s="10" t="str">
        <x:v>Leading policy research institute</x:v>
      </x:c>
      <x:c r="K167" s="10" t="n">
        <x:v>25</x:v>
      </x:c>
      <x:c r="L167" s="10" t="str">
        <x:v>Direct EU relevance</x:v>
      </x:c>
      <x:c r="M167" s="10" t="n">
        <x:v>14</x:v>
      </x:c>
      <x:c r="N167" s="10" t="str">
        <x:v>Manually verified research/policy source</x:v>
      </x:c>
      <x:c r="O167" s="10" t="n">
        <x:v>5</x:v>
      </x:c>
      <x:c r="P167" s="10" t="str">
        <x:v>manual-verified scholarly/policy source</x:v>
      </x:c>
      <x:c r="Q167" s="10" t="str">
        <x:v>direct</x:v>
      </x:c>
      <x:c r="R167" s="10" t="str">
        <x:v>https://epc.eu/publication/from-openness-to-deterrence-europes-doctrine-of-reactive-assertiveness/</x:v>
      </x:c>
    </x:row>
    <x:row r="168">
      <x:c r="A168" s="10" t="n">
        <x:f>RANK.EQ(B168,$B$2:$B$446,0)+COUNTIF($B$2:B168,B168)-1</x:f>
        <x:v>167</x:v>
      </x:c>
      <x:c r="B168" s="22" t="n">
        <x:f>I168+K168+M168+O168</x:f>
        <x:v>87</x:v>
      </x:c>
      <x:c r="C168" s="10" t="str">
        <x:f>IF(B168&gt;=93,"A — Highest",IF(B168&gt;=85,"B — Very strong",IF(B168&gt;=75,"C — Strong",IF(B168&gt;=65,"D — Useful","E — Supporting"))))</x:f>
        <x:v>B — Very strong</x:v>
      </x:c>
      <x:c r="D168" s="10" t="str">
        <x:v>Driving Defence: The automotive sector’s role as a potential enabler of Europe’s defence surge</x:v>
      </x:c>
      <x:c r="E168" s="10" t="str">
        <x:v>2026-05-29</x:v>
      </x:c>
      <x:c r="F168" s="10" t="str">
        <x:v>A</x:v>
      </x:c>
      <x:c r="G168" s="10" t="str">
        <x:v>European Policy Centre</x:v>
      </x:c>
      <x:c r="H168" s="10" t="str">
        <x:v>Paul Taylor</x:v>
      </x:c>
      <x:c r="I168" s="10" t="n">
        <x:v>43</x:v>
      </x:c>
      <x:c r="J168" s="10" t="str">
        <x:v>Leading policy research institute</x:v>
      </x:c>
      <x:c r="K168" s="10" t="n">
        <x:v>25</x:v>
      </x:c>
      <x:c r="L168" s="10" t="str">
        <x:v>Direct EU relevance</x:v>
      </x:c>
      <x:c r="M168" s="10" t="n">
        <x:v>14</x:v>
      </x:c>
      <x:c r="N168" s="10" t="str">
        <x:v>Manually verified research/policy source</x:v>
      </x:c>
      <x:c r="O168" s="10" t="n">
        <x:v>5</x:v>
      </x:c>
      <x:c r="P168" s="10" t="str">
        <x:v>manual-verified scholarly/policy source</x:v>
      </x:c>
      <x:c r="Q168" s="10" t="str">
        <x:v>direct</x:v>
      </x:c>
      <x:c r="R168" s="10" t="str">
        <x:v>https://epc.eu/publication/driving-defence-the-automotive-sectors-role-as-a-potential-enabler-of-europes-defence-surge/</x:v>
      </x:c>
    </x:row>
    <x:row r="169">
      <x:c r="A169" s="10" t="n">
        <x:f>RANK.EQ(B169,$B$2:$B$446,0)+COUNTIF($B$2:B169,B169)-1</x:f>
        <x:v>168</x:v>
      </x:c>
      <x:c r="B169" s="22" t="n">
        <x:f>I169+K169+M169+O169</x:f>
        <x:v>87</x:v>
      </x:c>
      <x:c r="C169" s="10" t="str">
        <x:f>IF(B169&gt;=93,"A — Highest",IF(B169&gt;=85,"B — Very strong",IF(B169&gt;=75,"C — Strong",IF(B169&gt;=65,"D — Useful","E — Supporting"))))</x:f>
        <x:v>B — Very strong</x:v>
      </x:c>
      <x:c r="D169" s="10" t="str">
        <x:v>The critical in critical technologies</x:v>
      </x:c>
      <x:c r="E169" s="10" t="str">
        <x:v>2026-05-28</x:v>
      </x:c>
      <x:c r="F169" s="10" t="str">
        <x:v>A</x:v>
      </x:c>
      <x:c r="G169" s="10" t="str">
        <x:v>European Policy Centre</x:v>
      </x:c>
      <x:c r="H169" s="10" t="str">
        <x:v>Bart Hogeveen</x:v>
      </x:c>
      <x:c r="I169" s="10" t="n">
        <x:v>43</x:v>
      </x:c>
      <x:c r="J169" s="10" t="str">
        <x:v>Leading policy research institute</x:v>
      </x:c>
      <x:c r="K169" s="10" t="n">
        <x:v>25</x:v>
      </x:c>
      <x:c r="L169" s="10" t="str">
        <x:v>Direct EU relevance</x:v>
      </x:c>
      <x:c r="M169" s="10" t="n">
        <x:v>14</x:v>
      </x:c>
      <x:c r="N169" s="10" t="str">
        <x:v>Manually verified research/policy source</x:v>
      </x:c>
      <x:c r="O169" s="10" t="n">
        <x:v>5</x:v>
      </x:c>
      <x:c r="P169" s="10" t="str">
        <x:v>manual-verified scholarly/policy source</x:v>
      </x:c>
      <x:c r="Q169" s="10" t="str">
        <x:v>direct</x:v>
      </x:c>
      <x:c r="R169" s="10" t="str">
        <x:v>https://epc.eu/publication/the-critical-in-critical-technologies/</x:v>
      </x:c>
    </x:row>
    <x:row r="170">
      <x:c r="A170" s="10" t="n">
        <x:f>RANK.EQ(B170,$B$2:$B$446,0)+COUNTIF($B$2:B170,B170)-1</x:f>
        <x:v>169</x:v>
      </x:c>
      <x:c r="B170" s="22" t="n">
        <x:f>I170+K170+M170+O170</x:f>
        <x:v>87</x:v>
      </x:c>
      <x:c r="C170" s="10" t="str">
        <x:f>IF(B170&gt;=93,"A — Highest",IF(B170&gt;=85,"B — Very strong",IF(B170&gt;=75,"C — Strong",IF(B170&gt;=65,"D — Useful","E — Supporting"))))</x:f>
        <x:v>B — Very strong</x:v>
      </x:c>
      <x:c r="D170" s="10" t="str">
        <x:v>The Rise of Collective Actions and the Risk to Portugal’s Economy</x:v>
      </x:c>
      <x:c r="E170" s="10" t="str">
        <x:v>2026-05-26</x:v>
      </x:c>
      <x:c r="F170" s="10" t="str">
        <x:v>A</x:v>
      </x:c>
      <x:c r="G170" s="10" t="str">
        <x:v>ECIPE</x:v>
      </x:c>
      <x:c r="H170" s="10" t="str">
        <x:v>ECIPE</x:v>
      </x:c>
      <x:c r="I170" s="10" t="n">
        <x:v>43</x:v>
      </x:c>
      <x:c r="J170" s="10" t="str">
        <x:v>Leading policy research institute</x:v>
      </x:c>
      <x:c r="K170" s="10" t="n">
        <x:v>25</x:v>
      </x:c>
      <x:c r="L170" s="10" t="str">
        <x:v>Direct EU relevance</x:v>
      </x:c>
      <x:c r="M170" s="10" t="n">
        <x:v>14</x:v>
      </x:c>
      <x:c r="N170" s="10" t="str">
        <x:v>Institutional report</x:v>
      </x:c>
      <x:c r="O170" s="10" t="n">
        <x:v>5</x:v>
      </x:c>
      <x:c r="P170" s="10" t="str">
        <x:v>institutional report</x:v>
      </x:c>
      <x:c r="Q170" s="10" t="str">
        <x:v>direct</x:v>
      </x:c>
      <x:c r="R170" s="10" t="str">
        <x:v>https://ecipe.org/publications/collective-actions-in-portugal/</x:v>
      </x:c>
    </x:row>
    <x:row r="171">
      <x:c r="A171" s="10" t="n">
        <x:f>RANK.EQ(B171,$B$2:$B$446,0)+COUNTIF($B$2:B171,B171)-1</x:f>
        <x:v>170</x:v>
      </x:c>
      <x:c r="B171" s="22" t="n">
        <x:f>I171+K171+M171+O171</x:f>
        <x:v>87</x:v>
      </x:c>
      <x:c r="C171" s="10" t="str">
        <x:f>IF(B171&gt;=93,"A — Highest",IF(B171&gt;=85,"B — Very strong",IF(B171&gt;=75,"C — Strong",IF(B171&gt;=65,"D — Useful","E — Supporting"))))</x:f>
        <x:v>B — Very strong</x:v>
      </x:c>
      <x:c r="D171" s="10" t="str">
        <x:v>The Copyright Trap</x:v>
      </x:c>
      <x:c r="E171" s="10" t="str">
        <x:v>2026-05-21</x:v>
      </x:c>
      <x:c r="F171" s="10" t="str">
        <x:v>A</x:v>
      </x:c>
      <x:c r="G171" s="10" t="str">
        <x:v>ECIPE</x:v>
      </x:c>
      <x:c r="H171" s="10" t="str">
        <x:v>ECIPE</x:v>
      </x:c>
      <x:c r="I171" s="10" t="n">
        <x:v>43</x:v>
      </x:c>
      <x:c r="J171" s="10" t="str">
        <x:v>Leading policy research institute</x:v>
      </x:c>
      <x:c r="K171" s="10" t="n">
        <x:v>25</x:v>
      </x:c>
      <x:c r="L171" s="10" t="str">
        <x:v>Direct EU relevance</x:v>
      </x:c>
      <x:c r="M171" s="10" t="n">
        <x:v>14</x:v>
      </x:c>
      <x:c r="N171" s="10" t="str">
        <x:v>Institutional report</x:v>
      </x:c>
      <x:c r="O171" s="10" t="n">
        <x:v>5</x:v>
      </x:c>
      <x:c r="P171" s="10" t="str">
        <x:v>institutional report</x:v>
      </x:c>
      <x:c r="Q171" s="10" t="str">
        <x:v>direct</x:v>
      </x:c>
      <x:c r="R171" s="10" t="str">
        <x:v>https://ecipe.org/publications/copyright-trap/</x:v>
      </x:c>
    </x:row>
    <x:row r="172">
      <x:c r="A172" s="10" t="n">
        <x:f>RANK.EQ(B172,$B$2:$B$446,0)+COUNTIF($B$2:B172,B172)-1</x:f>
        <x:v>171</x:v>
      </x:c>
      <x:c r="B172" s="22" t="n">
        <x:f>I172+K172+M172+O172</x:f>
        <x:v>87</x:v>
      </x:c>
      <x:c r="C172" s="10" t="str">
        <x:f>IF(B172&gt;=93,"A — Highest",IF(B172&gt;=85,"B — Very strong",IF(B172&gt;=75,"C — Strong",IF(B172&gt;=65,"D — Useful","E — Supporting"))))</x:f>
        <x:v>B — Very strong</x:v>
      </x:c>
      <x:c r="D172" s="10" t="str">
        <x:v>The flaws in the European Union’s proposed Industrial Accelerator Act and how to fix them</x:v>
      </x:c>
      <x:c r="E172" s="10" t="str">
        <x:v>2026-05-21</x:v>
      </x:c>
      <x:c r="F172" s="10" t="str">
        <x:v>A</x:v>
      </x:c>
      <x:c r="G172" s="10" t="str">
        <x:v>Bruegel</x:v>
      </x:c>
      <x:c r="H172" s="10" t="str">
        <x:v>Ignacio García Bercero; Antoine Mathieu Collin; Ben McWilliams; Simone Tagliapietra</x:v>
      </x:c>
      <x:c r="I172" s="10" t="n">
        <x:v>43</x:v>
      </x:c>
      <x:c r="J172" s="10" t="str">
        <x:v>Leading policy research institute</x:v>
      </x:c>
      <x:c r="K172" s="10" t="n">
        <x:v>25</x:v>
      </x:c>
      <x:c r="L172" s="10" t="str">
        <x:v>Direct EU relevance</x:v>
      </x:c>
      <x:c r="M172" s="10" t="n">
        <x:v>14</x:v>
      </x:c>
      <x:c r="N172" s="10" t="str">
        <x:v>Manually verified research/policy source</x:v>
      </x:c>
      <x:c r="O172" s="10" t="n">
        <x:v>5</x:v>
      </x:c>
      <x:c r="P172" s="10" t="str">
        <x:v>manual-verified scholarly/policy source</x:v>
      </x:c>
      <x:c r="Q172" s="10" t="str">
        <x:v>direct</x:v>
      </x:c>
      <x:c r="R172" s="10" t="str">
        <x:v>https://www.bruegel.org/policy-brief/flaws-european-unions-proposed-industrial-accelerator-act-and-how-fix-them</x:v>
      </x:c>
    </x:row>
    <x:row r="173">
      <x:c r="A173" s="10" t="n">
        <x:f>RANK.EQ(B173,$B$2:$B$446,0)+COUNTIF($B$2:B173,B173)-1</x:f>
        <x:v>172</x:v>
      </x:c>
      <x:c r="B173" s="22" t="n">
        <x:f>I173+K173+M173+O173</x:f>
        <x:v>87</x:v>
      </x:c>
      <x:c r="C173" s="10" t="str">
        <x:f>IF(B173&gt;=93,"A — Highest",IF(B173&gt;=85,"B — Very strong",IF(B173&gt;=75,"C — Strong",IF(B173&gt;=65,"D — Useful","E — Supporting"))))</x:f>
        <x:v>B — Very strong</x:v>
      </x:c>
      <x:c r="D173" s="10" t="str">
        <x:v>The growth of dual-use by design research in Europe: Export control risks and challenges</x:v>
      </x:c>
      <x:c r="E173" s="10" t="str">
        <x:v>2026-05-21</x:v>
      </x:c>
      <x:c r="F173" s="10" t="str">
        <x:v>A</x:v>
      </x:c>
      <x:c r="G173" s="10" t="str">
        <x:v>Stockholm International Peace Research Institute</x:v>
      </x:c>
      <x:c r="H173" s="10" t="str">
        <x:v>Lauriane Héau</x:v>
      </x:c>
      <x:c r="I173" s="10" t="n">
        <x:v>43</x:v>
      </x:c>
      <x:c r="J173" s="10" t="str">
        <x:v>Leading policy research institute</x:v>
      </x:c>
      <x:c r="K173" s="10" t="n">
        <x:v>25</x:v>
      </x:c>
      <x:c r="L173" s="10" t="str">
        <x:v>Direct EU relevance</x:v>
      </x:c>
      <x:c r="M173" s="10" t="n">
        <x:v>14</x:v>
      </x:c>
      <x:c r="N173" s="10" t="str">
        <x:v>Manually verified research/policy source</x:v>
      </x:c>
      <x:c r="O173" s="10" t="n">
        <x:v>5</x:v>
      </x:c>
      <x:c r="P173" s="10" t="str">
        <x:v>manual-verified scholarly/policy source</x:v>
      </x:c>
      <x:c r="Q173" s="10" t="str">
        <x:v>direct</x:v>
      </x:c>
      <x:c r="R173" s="10" t="str">
        <x:v>https://www.sipri.org/commentary/topical-backgrounder/2026/growth-dual-use-design-research-europe-export-control-risks-and-challenges</x:v>
      </x:c>
    </x:row>
    <x:row r="174">
      <x:c r="A174" s="10" t="n">
        <x:f>RANK.EQ(B174,$B$2:$B$446,0)+COUNTIF($B$2:B174,B174)-1</x:f>
        <x:v>173</x:v>
      </x:c>
      <x:c r="B174" s="22" t="n">
        <x:f>I174+K174+M174+O174</x:f>
        <x:v>87</x:v>
      </x:c>
      <x:c r="C174" s="10" t="str">
        <x:f>IF(B174&gt;=93,"A — Highest",IF(B174&gt;=85,"B — Very strong",IF(B174&gt;=75,"C — Strong",IF(B174&gt;=65,"D — Useful","E — Supporting"))))</x:f>
        <x:v>B — Very strong</x:v>
      </x:c>
      <x:c r="D174" s="10" t="str">
        <x:v>Dual-use and Defence Research in Europe</x:v>
      </x:c>
      <x:c r="E174" s="10" t="str">
        <x:v>2026-05-20</x:v>
      </x:c>
      <x:c r="F174" s="10" t="str">
        <x:v>A</x:v>
      </x:c>
      <x:c r="G174" s="10" t="str">
        <x:v>Center for Security Studies, ETH Zurich</x:v>
      </x:c>
      <x:c r="H174" s="10" t="str">
        <x:v>Leo Eigner</x:v>
      </x:c>
      <x:c r="I174" s="10" t="n">
        <x:v>43</x:v>
      </x:c>
      <x:c r="J174" s="10" t="str">
        <x:v>Leading policy research institute</x:v>
      </x:c>
      <x:c r="K174" s="10" t="n">
        <x:v>25</x:v>
      </x:c>
      <x:c r="L174" s="10" t="str">
        <x:v>Direct EU relevance</x:v>
      </x:c>
      <x:c r="M174" s="10" t="n">
        <x:v>14</x:v>
      </x:c>
      <x:c r="N174" s="10" t="str">
        <x:v>Manually verified research/policy source</x:v>
      </x:c>
      <x:c r="O174" s="10" t="n">
        <x:v>5</x:v>
      </x:c>
      <x:c r="P174" s="10" t="str">
        <x:v>manual-verified scholarly/policy source</x:v>
      </x:c>
      <x:c r="Q174" s="10" t="str">
        <x:v>direct</x:v>
      </x:c>
      <x:c r="R174" s="10" t="str">
        <x:v>https://css.ethz.ch/en/center/CSS-news/2026/05/dual-use-and-defence-research-in-europe.html</x:v>
      </x:c>
    </x:row>
    <x:row r="175">
      <x:c r="A175" s="10" t="n">
        <x:f>RANK.EQ(B175,$B$2:$B$446,0)+COUNTIF($B$2:B175,B175)-1</x:f>
        <x:v>174</x:v>
      </x:c>
      <x:c r="B175" s="22" t="n">
        <x:f>I175+K175+M175+O175</x:f>
        <x:v>87</x:v>
      </x:c>
      <x:c r="C175" s="10" t="str">
        <x:f>IF(B175&gt;=93,"A — Highest",IF(B175&gt;=85,"B — Very strong",IF(B175&gt;=75,"C — Strong",IF(B175&gt;=65,"D — Useful","E — Supporting"))))</x:f>
        <x:v>B — Very strong</x:v>
      </x:c>
      <x:c r="D175" s="10" t="str">
        <x:v>Europe needs a strategy to close the artificial intelligence compute gap</x:v>
      </x:c>
      <x:c r="E175" s="10" t="str">
        <x:v>2026-05-19</x:v>
      </x:c>
      <x:c r="F175" s="10" t="str">
        <x:v>A</x:v>
      </x:c>
      <x:c r="G175" s="10" t="str">
        <x:v>Bruegel</x:v>
      </x:c>
      <x:c r="H175" s="10" t="str">
        <x:v>Alicia García-Herrero; Bertin Martens</x:v>
      </x:c>
      <x:c r="I175" s="10" t="n">
        <x:v>43</x:v>
      </x:c>
      <x:c r="J175" s="10" t="str">
        <x:v>Leading policy research institute</x:v>
      </x:c>
      <x:c r="K175" s="10" t="n">
        <x:v>25</x:v>
      </x:c>
      <x:c r="L175" s="10" t="str">
        <x:v>Direct EU relevance</x:v>
      </x:c>
      <x:c r="M175" s="10" t="n">
        <x:v>14</x:v>
      </x:c>
      <x:c r="N175" s="10" t="str">
        <x:v>Manually verified research/policy source</x:v>
      </x:c>
      <x:c r="O175" s="10" t="n">
        <x:v>5</x:v>
      </x:c>
      <x:c r="P175" s="10" t="str">
        <x:v>manual-verified scholarly/policy source</x:v>
      </x:c>
      <x:c r="Q175" s="10" t="str">
        <x:v>direct</x:v>
      </x:c>
      <x:c r="R175" s="10" t="str">
        <x:v>https://www.bruegel.org/analysis/europe-needs-strategy-close-artificial-intelligence-compute-gap</x:v>
      </x:c>
    </x:row>
    <x:row r="176">
      <x:c r="A176" s="10" t="n">
        <x:f>RANK.EQ(B176,$B$2:$B$446,0)+COUNTIF($B$2:B176,B176)-1</x:f>
        <x:v>175</x:v>
      </x:c>
      <x:c r="B176" s="22" t="n">
        <x:f>I176+K176+M176+O176</x:f>
        <x:v>87</x:v>
      </x:c>
      <x:c r="C176" s="10" t="str">
        <x:f>IF(B176&gt;=93,"A — Highest",IF(B176&gt;=85,"B — Very strong",IF(B176&gt;=75,"C — Strong",IF(B176&gt;=65,"D — Useful","E — Supporting"))))</x:f>
        <x:v>B — Very strong</x:v>
      </x:c>
      <x:c r="D176" s="10" t="str">
        <x:v>Beyond borders: how HERA can unlock global health as a true public good through data and knowledge sharing – CEPS</x:v>
      </x:c>
      <x:c r="E176" s="10" t="str">
        <x:v>2026-05-15</x:v>
      </x:c>
      <x:c r="F176" s="10" t="str">
        <x:v>A</x:v>
      </x:c>
      <x:c r="G176" s="10" t="str">
        <x:v>CEPS</x:v>
      </x:c>
      <x:c r="H176" s="10" t="str">
        <x:v>CEPS</x:v>
      </x:c>
      <x:c r="I176" s="10" t="n">
        <x:v>43</x:v>
      </x:c>
      <x:c r="J176" s="10" t="str">
        <x:v>Leading policy research institute</x:v>
      </x:c>
      <x:c r="K176" s="10" t="n">
        <x:v>25</x:v>
      </x:c>
      <x:c r="L176" s="10" t="str">
        <x:v>Direct EU relevance</x:v>
      </x:c>
      <x:c r="M176" s="10" t="n">
        <x:v>14</x:v>
      </x:c>
      <x:c r="N176" s="10" t="str">
        <x:v>Institutional report</x:v>
      </x:c>
      <x:c r="O176" s="10" t="n">
        <x:v>5</x:v>
      </x:c>
      <x:c r="P176" s="10" t="str">
        <x:v>institutional report</x:v>
      </x:c>
      <x:c r="Q176" s="10" t="str">
        <x:v>direct</x:v>
      </x:c>
      <x:c r="R176" s="10" t="str">
        <x:v>https://cdn.ceps.eu/2026/05/HERA-strengthening-health-as-a-global-public-good_formatted1.pdf</x:v>
      </x:c>
    </x:row>
    <x:row r="177">
      <x:c r="A177" s="10" t="n">
        <x:f>RANK.EQ(B177,$B$2:$B$446,0)+COUNTIF($B$2:B177,B177)-1</x:f>
        <x:v>176</x:v>
      </x:c>
      <x:c r="B177" s="22" t="n">
        <x:f>I177+K177+M177+O177</x:f>
        <x:v>87</x:v>
      </x:c>
      <x:c r="C177" s="10" t="str">
        <x:f>IF(B177&gt;=93,"A — Highest",IF(B177&gt;=85,"B — Very strong",IF(B177&gt;=75,"C — Strong",IF(B177&gt;=65,"D — Useful","E — Supporting"))))</x:f>
        <x:v>B — Very strong</x:v>
      </x:c>
      <x:c r="D177" s="10" t="str">
        <x:v>Revamping Europe’s chips strategy: indispensability, not self-sufficiency</x:v>
      </x:c>
      <x:c r="E177" s="10" t="str">
        <x:v>2026-05-13</x:v>
      </x:c>
      <x:c r="F177" s="10" t="str">
        <x:v>A</x:v>
      </x:c>
      <x:c r="G177" s="10" t="str">
        <x:v>Bruegel</x:v>
      </x:c>
      <x:c r="H177" s="10" t="str">
        <x:v>Niclas Poitiers; Tillman Schenk</x:v>
      </x:c>
      <x:c r="I177" s="10" t="n">
        <x:v>43</x:v>
      </x:c>
      <x:c r="J177" s="10" t="str">
        <x:v>Leading policy research institute</x:v>
      </x:c>
      <x:c r="K177" s="10" t="n">
        <x:v>25</x:v>
      </x:c>
      <x:c r="L177" s="10" t="str">
        <x:v>Direct EU relevance</x:v>
      </x:c>
      <x:c r="M177" s="10" t="n">
        <x:v>14</x:v>
      </x:c>
      <x:c r="N177" s="10" t="str">
        <x:v>Manually verified research/policy source</x:v>
      </x:c>
      <x:c r="O177" s="10" t="n">
        <x:v>5</x:v>
      </x:c>
      <x:c r="P177" s="10" t="str">
        <x:v>manual-verified scholarly/policy source</x:v>
      </x:c>
      <x:c r="Q177" s="10" t="str">
        <x:v>direct</x:v>
      </x:c>
      <x:c r="R177" s="10" t="str">
        <x:v>https://www.bruegel.org/sites/default/files/2026-05/revamping-europe%E2%80%99s-chips-strategy%3A-indispensability%2C-not-self-sufficiency-12183_2.pdf</x:v>
      </x:c>
    </x:row>
    <x:row r="178">
      <x:c r="A178" s="10" t="n">
        <x:f>RANK.EQ(B178,$B$2:$B$446,0)+COUNTIF($B$2:B178,B178)-1</x:f>
        <x:v>177</x:v>
      </x:c>
      <x:c r="B178" s="22" t="n">
        <x:f>I178+K178+M178+O178</x:f>
        <x:v>87</x:v>
      </x:c>
      <x:c r="C178" s="10" t="str">
        <x:f>IF(B178&gt;=93,"A — Highest",IF(B178&gt;=85,"B — Very strong",IF(B178&gt;=75,"C — Strong",IF(B178&gt;=65,"D — Useful","E — Supporting"))))</x:f>
        <x:v>B — Very strong</x:v>
      </x:c>
      <x:c r="D178" s="10" t="str">
        <x:v>Selective Conditionality: The EU’s Emerging Approach to Foreign Investment</x:v>
      </x:c>
      <x:c r="E178" s="10" t="str">
        <x:v>2026-05-11</x:v>
      </x:c>
      <x:c r="F178" s="10" t="str">
        <x:v>A</x:v>
      </x:c>
      <x:c r="G178" s="10" t="str">
        <x:v>Jacques Delors Centre</x:v>
      </x:c>
      <x:c r="H178" s="10" t="str">
        <x:v>Jannik Jansen; Arthur Leichthammer</x:v>
      </x:c>
      <x:c r="I178" s="10" t="n">
        <x:v>43</x:v>
      </x:c>
      <x:c r="J178" s="10" t="str">
        <x:v>Leading policy research institute</x:v>
      </x:c>
      <x:c r="K178" s="10" t="n">
        <x:v>25</x:v>
      </x:c>
      <x:c r="L178" s="10" t="str">
        <x:v>Direct EU relevance</x:v>
      </x:c>
      <x:c r="M178" s="10" t="n">
        <x:v>14</x:v>
      </x:c>
      <x:c r="N178" s="10" t="str">
        <x:v>Manually verified research/policy source</x:v>
      </x:c>
      <x:c r="O178" s="10" t="n">
        <x:v>5</x:v>
      </x:c>
      <x:c r="P178" s="10" t="str">
        <x:v>manual-verified scholarly/policy source</x:v>
      </x:c>
      <x:c r="Q178" s="10" t="str">
        <x:v>direct</x:v>
      </x:c>
      <x:c r="R178" s="10" t="str">
        <x:v>https://www.delorscentre.eu/en/publications/detail/publication/selective-conditionality</x:v>
      </x:c>
    </x:row>
    <x:row r="179">
      <x:c r="A179" s="10" t="n">
        <x:f>RANK.EQ(B179,$B$2:$B$446,0)+COUNTIF($B$2:B179,B179)-1</x:f>
        <x:v>178</x:v>
      </x:c>
      <x:c r="B179" s="22" t="n">
        <x:f>I179+K179+M179+O179</x:f>
        <x:v>87</x:v>
      </x:c>
      <x:c r="C179" s="10" t="str">
        <x:f>IF(B179&gt;=93,"A — Highest",IF(B179&gt;=85,"B — Very strong",IF(B179&gt;=75,"C — Strong",IF(B179&gt;=65,"D — Useful","E — Supporting"))))</x:f>
        <x:v>B — Very strong</x:v>
      </x:c>
      <x:c r="D179" s="10" t="str">
        <x:v>Who controls the defence industry?</x:v>
      </x:c>
      <x:c r="E179" s="10" t="str">
        <x:v>2026-05-07</x:v>
      </x:c>
      <x:c r="F179" s="10" t="str">
        <x:v>A</x:v>
      </x:c>
      <x:c r="G179" s="10" t="str">
        <x:v>Bruegel</x:v>
      </x:c>
      <x:c r="H179" s="10" t="str">
        <x:v>Marco Becht; Juan Mejino-López; Guntram B. Wolff</x:v>
      </x:c>
      <x:c r="I179" s="10" t="n">
        <x:v>43</x:v>
      </x:c>
      <x:c r="J179" s="10" t="str">
        <x:v>Leading policy research institute</x:v>
      </x:c>
      <x:c r="K179" s="10" t="n">
        <x:v>25</x:v>
      </x:c>
      <x:c r="L179" s="10" t="str">
        <x:v>Direct EU relevance</x:v>
      </x:c>
      <x:c r="M179" s="10" t="n">
        <x:v>14</x:v>
      </x:c>
      <x:c r="N179" s="10" t="str">
        <x:v>Manually verified research/policy source</x:v>
      </x:c>
      <x:c r="O179" s="10" t="n">
        <x:v>5</x:v>
      </x:c>
      <x:c r="P179" s="10" t="str">
        <x:v>manual-verified scholarly/policy source</x:v>
      </x:c>
      <x:c r="Q179" s="10" t="str">
        <x:v>direct</x:v>
      </x:c>
      <x:c r="R179" s="10" t="str">
        <x:v>https://www.bruegel.org/working-paper/who-controls-defence-industry</x:v>
      </x:c>
    </x:row>
    <x:row r="180">
      <x:c r="A180" s="10" t="n">
        <x:f>RANK.EQ(B180,$B$2:$B$446,0)+COUNTIF($B$2:B180,B180)-1</x:f>
        <x:v>179</x:v>
      </x:c>
      <x:c r="B180" s="22" t="n">
        <x:f>I180+K180+M180+O180</x:f>
        <x:v>87</x:v>
      </x:c>
      <x:c r="C180" s="10" t="str">
        <x:f>IF(B180&gt;=93,"A — Highest",IF(B180&gt;=85,"B — Very strong",IF(B180&gt;=75,"C — Strong",IF(B180&gt;=65,"D — Useful","E — Supporting"))))</x:f>
        <x:v>B — Very strong</x:v>
      </x:c>
      <x:c r="D180" s="10" t="str">
        <x:v>Made in China, Powered by Europe: Mapping the EU’s Strategic Leverage Over the People’s Republic of China</x:v>
      </x:c>
      <x:c r="E180" s="10" t="str">
        <x:v>2026-05-06</x:v>
      </x:c>
      <x:c r="F180" s="10" t="str">
        <x:v>A</x:v>
      </x:c>
      <x:c r="G180" s="10" t="str">
        <x:v>Wilfried Martens Centre for European Studies</x:v>
      </x:c>
      <x:c r="H180" s="10" t="str">
        <x:v>Sam Goodman; Dimitar Lilkov</x:v>
      </x:c>
      <x:c r="I180" s="10" t="n">
        <x:v>43</x:v>
      </x:c>
      <x:c r="J180" s="10" t="str">
        <x:v>Leading policy research institute</x:v>
      </x:c>
      <x:c r="K180" s="10" t="n">
        <x:v>25</x:v>
      </x:c>
      <x:c r="L180" s="10" t="str">
        <x:v>Direct EU relevance</x:v>
      </x:c>
      <x:c r="M180" s="10" t="n">
        <x:v>14</x:v>
      </x:c>
      <x:c r="N180" s="10" t="str">
        <x:v>Manually verified research/policy source</x:v>
      </x:c>
      <x:c r="O180" s="10" t="n">
        <x:v>5</x:v>
      </x:c>
      <x:c r="P180" s="10" t="str">
        <x:v>manual-verified scholarly/policy source</x:v>
      </x:c>
      <x:c r="Q180" s="10" t="str">
        <x:v>direct</x:v>
      </x:c>
      <x:c r="R180" s="10" t="str">
        <x:v>https://www.martenscentre.eu/publication/made-in-china-powered-by-europe-mapping-the-eus-strategic-leverage-over-the-peoples-republic-of-china/</x:v>
      </x:c>
    </x:row>
    <x:row r="181">
      <x:c r="A181" s="10" t="n">
        <x:f>RANK.EQ(B181,$B$2:$B$446,0)+COUNTIF($B$2:B181,B181)-1</x:f>
        <x:v>180</x:v>
      </x:c>
      <x:c r="B181" s="22" t="n">
        <x:f>I181+K181+M181+O181</x:f>
        <x:v>87</x:v>
      </x:c>
      <x:c r="C181" s="10" t="str">
        <x:f>IF(B181&gt;=93,"A — Highest",IF(B181&gt;=85,"B — Very strong",IF(B181&gt;=75,"C — Strong",IF(B181&gt;=65,"D — Useful","E — Supporting"))))</x:f>
        <x:v>B — Very strong</x:v>
      </x:c>
      <x:c r="D181" s="10" t="str">
        <x:v>A Tale of Three Industries: The Rise, Decline and Rise Again of the Swedish Life Sciences Sector</x:v>
      </x:c>
      <x:c r="E181" s="10" t="str">
        <x:v>2026-05-05</x:v>
      </x:c>
      <x:c r="F181" s="10" t="str">
        <x:v>A</x:v>
      </x:c>
      <x:c r="G181" s="10" t="str">
        <x:v>ECIPE</x:v>
      </x:c>
      <x:c r="H181" s="10" t="str">
        <x:v>ECIPE</x:v>
      </x:c>
      <x:c r="I181" s="10" t="n">
        <x:v>43</x:v>
      </x:c>
      <x:c r="J181" s="10" t="str">
        <x:v>Leading policy research institute</x:v>
      </x:c>
      <x:c r="K181" s="10" t="n">
        <x:v>25</x:v>
      </x:c>
      <x:c r="L181" s="10" t="str">
        <x:v>Direct EU relevance</x:v>
      </x:c>
      <x:c r="M181" s="10" t="n">
        <x:v>14</x:v>
      </x:c>
      <x:c r="N181" s="10" t="str">
        <x:v>Institutional report</x:v>
      </x:c>
      <x:c r="O181" s="10" t="n">
        <x:v>5</x:v>
      </x:c>
      <x:c r="P181" s="10" t="str">
        <x:v>institutional report</x:v>
      </x:c>
      <x:c r="Q181" s="10" t="str">
        <x:v>direct</x:v>
      </x:c>
      <x:c r="R181" s="10" t="str">
        <x:v>https://ecipe.org/publications/swedish-life-sciences-sector/</x:v>
      </x:c>
    </x:row>
    <x:row r="182">
      <x:c r="A182" s="10" t="n">
        <x:f>RANK.EQ(B182,$B$2:$B$446,0)+COUNTIF($B$2:B182,B182)-1</x:f>
        <x:v>181</x:v>
      </x:c>
      <x:c r="B182" s="22" t="n">
        <x:f>I182+K182+M182+O182</x:f>
        <x:v>87</x:v>
      </x:c>
      <x:c r="C182" s="10" t="str">
        <x:f>IF(B182&gt;=93,"A — Highest",IF(B182&gt;=85,"B — Very strong",IF(B182&gt;=75,"C — Strong",IF(B182&gt;=65,"D — Useful","E — Supporting"))))</x:f>
        <x:v>B — Very strong</x:v>
      </x:c>
      <x:c r="D182" s="10" t="str">
        <x:v>Cyber (Dis)armament in Practice: The EU’s Role in Governing Software Vulnerabilities in a Fragmented International Order</x:v>
      </x:c>
      <x:c r="E182" s="10" t="str">
        <x:v>2026-05-01</x:v>
      </x:c>
      <x:c r="F182" s="10" t="str">
        <x:v>A</x:v>
      </x:c>
      <x:c r="G182" s="10" t="str">
        <x:v>Stockholm International Peace Research Institute (SIPRI)</x:v>
      </x:c>
      <x:c r="H182" s="10" t="str">
        <x:v>Eugenio Benincasa</x:v>
      </x:c>
      <x:c r="I182" s="10" t="n">
        <x:v>43</x:v>
      </x:c>
      <x:c r="J182" s="10" t="str">
        <x:v>Leading policy research institute</x:v>
      </x:c>
      <x:c r="K182" s="10" t="n">
        <x:v>25</x:v>
      </x:c>
      <x:c r="L182" s="10" t="str">
        <x:v>Direct EU relevance</x:v>
      </x:c>
      <x:c r="M182" s="10" t="n">
        <x:v>14</x:v>
      </x:c>
      <x:c r="N182" s="10" t="str">
        <x:v>Manually verified research/policy source</x:v>
      </x:c>
      <x:c r="O182" s="10" t="n">
        <x:v>5</x:v>
      </x:c>
      <x:c r="P182" s="10" t="str">
        <x:v>manual-verified scholarly/policy source</x:v>
      </x:c>
      <x:c r="Q182" s="10" t="str">
        <x:v>direct</x:v>
      </x:c>
      <x:c r="R182" s="10" t="str">
        <x:v>https://www.sipri.org/publications/2026/eu-non-proliferation-and-disarmament-papers/cyber-disarmament-practice-eus-role-governing-software-vulnerabilities-fragmented-international</x:v>
      </x:c>
    </x:row>
    <x:row r="183">
      <x:c r="A183" s="10" t="n">
        <x:f>RANK.EQ(B183,$B$2:$B$446,0)+COUNTIF($B$2:B183,B183)-1</x:f>
        <x:v>182</x:v>
      </x:c>
      <x:c r="B183" s="22" t="n">
        <x:f>I183+K183+M183+O183</x:f>
        <x:v>87</x:v>
      </x:c>
      <x:c r="C183" s="10" t="str">
        <x:f>IF(B183&gt;=93,"A — Highest",IF(B183&gt;=85,"B — Very strong",IF(B183&gt;=75,"C — Strong",IF(B183&gt;=65,"D — Useful","E — Supporting"))))</x:f>
        <x:v>B — Very strong</x:v>
      </x:c>
      <x:c r="D183" s="10" t="str">
        <x:v>The EU’s geoeconomic gap: Why policy potential misses the mark</x:v>
      </x:c>
      <x:c r="E183" s="10" t="str">
        <x:v>2026-05-01</x:v>
      </x:c>
      <x:c r="F183" s="10" t="str">
        <x:v>A</x:v>
      </x:c>
      <x:c r="G183" s="10" t="str">
        <x:v>Finnish Institute of International Affairs (FIIA)</x:v>
      </x:c>
      <x:c r="H183" s="10" t="str">
        <x:v>Tomi Kristeri; Cordelia Buchanan Ponczek</x:v>
      </x:c>
      <x:c r="I183" s="10" t="n">
        <x:v>43</x:v>
      </x:c>
      <x:c r="J183" s="10" t="str">
        <x:v>Leading policy research institute</x:v>
      </x:c>
      <x:c r="K183" s="10" t="n">
        <x:v>25</x:v>
      </x:c>
      <x:c r="L183" s="10" t="str">
        <x:v>Direct EU relevance</x:v>
      </x:c>
      <x:c r="M183" s="10" t="n">
        <x:v>14</x:v>
      </x:c>
      <x:c r="N183" s="10" t="str">
        <x:v>Manually verified research/policy source</x:v>
      </x:c>
      <x:c r="O183" s="10" t="n">
        <x:v>5</x:v>
      </x:c>
      <x:c r="P183" s="10" t="str">
        <x:v>manual-verified scholarly/policy source</x:v>
      </x:c>
      <x:c r="Q183" s="10" t="str">
        <x:v>direct</x:v>
      </x:c>
      <x:c r="R183" s="10" t="str">
        <x:v>https://fiia.fi/en/publication/the-eus-geoeconomic-gap</x:v>
      </x:c>
    </x:row>
    <x:row r="184">
      <x:c r="A184" s="10" t="n">
        <x:f>RANK.EQ(B184,$B$2:$B$446,0)+COUNTIF($B$2:B184,B184)-1</x:f>
        <x:v>183</x:v>
      </x:c>
      <x:c r="B184" s="22" t="n">
        <x:f>I184+K184+M184+O184</x:f>
        <x:v>86</x:v>
      </x:c>
      <x:c r="C184" s="10" t="str">
        <x:f>IF(B184&gt;=93,"A — Highest",IF(B184&gt;=85,"B — Very strong",IF(B184&gt;=75,"C — Strong",IF(B184&gt;=65,"D — Useful","E — Supporting"))))</x:f>
        <x:v>B — Very strong</x:v>
      </x:c>
      <x:c r="D184" s="10" t="str">
        <x:v>The future is fermented: How Europe can succeed in the next industrial race – European Council on Foreign Relations</x:v>
      </x:c>
      <x:c r="E184" s="10" t="str">
        <x:v>2026-07-03</x:v>
      </x:c>
      <x:c r="F184" s="10" t="str">
        <x:v>A</x:v>
      </x:c>
      <x:c r="G184" s="10" t="str">
        <x:v>European Council on Foreign Relations</x:v>
      </x:c>
      <x:c r="H184" s="10" t="str">
        <x:v>European Council on Foreign Relations</x:v>
      </x:c>
      <x:c r="I184" s="10" t="n">
        <x:v>43</x:v>
      </x:c>
      <x:c r="J184" s="10" t="str">
        <x:v>Leading policy research institute</x:v>
      </x:c>
      <x:c r="K184" s="10" t="n">
        <x:v>25</x:v>
      </x:c>
      <x:c r="L184" s="10" t="str">
        <x:v>Direct EU relevance</x:v>
      </x:c>
      <x:c r="M184" s="10" t="n">
        <x:v>14</x:v>
      </x:c>
      <x:c r="N184" s="10" t="str">
        <x:v>Institutional report</x:v>
      </x:c>
      <x:c r="O184" s="10" t="n">
        <x:v>4</x:v>
      </x:c>
      <x:c r="P184" s="10" t="str">
        <x:v>institutional report</x:v>
      </x:c>
      <x:c r="Q184" s="10" t="str">
        <x:v>direct</x:v>
      </x:c>
      <x:c r="R184" s="10" t="str">
        <x:v>https://ecfr.eu/publication/the-future-is-fermented-how-europe-can-succeed-in-the-next-industrial-race/</x:v>
      </x:c>
    </x:row>
    <x:row r="185">
      <x:c r="A185" s="10" t="n">
        <x:f>RANK.EQ(B185,$B$2:$B$446,0)+COUNTIF($B$2:B185,B185)-1</x:f>
        <x:v>184</x:v>
      </x:c>
      <x:c r="B185" s="22" t="n">
        <x:f>I185+K185+M185+O185</x:f>
        <x:v>86</x:v>
      </x:c>
      <x:c r="C185" s="10" t="str">
        <x:f>IF(B185&gt;=93,"A — Highest",IF(B185&gt;=85,"B — Very strong",IF(B185&gt;=75,"C — Strong",IF(B185&gt;=65,"D — Useful","E — Supporting"))))</x:f>
        <x:v>B — Very strong</x:v>
      </x:c>
      <x:c r="D185" s="10" t="str">
        <x:v>EU: Shepherded by Brussels, Europe awakens to Chinese technology</x:v>
      </x:c>
      <x:c r="E185" s="10" t="str">
        <x:v>2026-06-30</x:v>
      </x:c>
      <x:c r="F185" s="10" t="str">
        <x:v>A</x:v>
      </x:c>
      <x:c r="G185" s="10" t="str">
        <x:v>MERICS</x:v>
      </x:c>
      <x:c r="H185" s="10" t="str">
        <x:v>MERICS</x:v>
      </x:c>
      <x:c r="I185" s="10" t="n">
        <x:v>43</x:v>
      </x:c>
      <x:c r="J185" s="10" t="str">
        <x:v>Leading policy research institute</x:v>
      </x:c>
      <x:c r="K185" s="10" t="n">
        <x:v>25</x:v>
      </x:c>
      <x:c r="L185" s="10" t="str">
        <x:v>Direct EU relevance</x:v>
      </x:c>
      <x:c r="M185" s="10" t="n">
        <x:v>13</x:v>
      </x:c>
      <x:c r="N185" s="10" t="str">
        <x:v>Research/policy paper</x:v>
      </x:c>
      <x:c r="O185" s="10" t="n">
        <x:v>5</x:v>
      </x:c>
      <x:c r="P185" s="10" t="str">
        <x:v>research/policy paper</x:v>
      </x:c>
      <x:c r="Q185" s="10" t="str">
        <x:v>direct</x:v>
      </x:c>
      <x:c r="R185" s="10" t="str">
        <x:v>https://merics.org/en/report/eu-shepherded-brussels-europe-awakens-chinese-technology</x:v>
      </x:c>
    </x:row>
    <x:row r="186">
      <x:c r="A186" s="10" t="n">
        <x:f>RANK.EQ(B186,$B$2:$B$446,0)+COUNTIF($B$2:B186,B186)-1</x:f>
        <x:v>185</x:v>
      </x:c>
      <x:c r="B186" s="22" t="n">
        <x:f>I186+K186+M186+O186</x:f>
        <x:v>86</x:v>
      </x:c>
      <x:c r="C186" s="10" t="str">
        <x:f>IF(B186&gt;=93,"A — Highest",IF(B186&gt;=85,"B — Very strong",IF(B186&gt;=75,"C — Strong",IF(B186&gt;=65,"D — Useful","E — Supporting"))))</x:f>
        <x:v>B — Very strong</x:v>
      </x:c>
      <x:c r="D186" s="10" t="str">
        <x:v>Germany: From mutual benefit to existential competition with China</x:v>
      </x:c>
      <x:c r="E186" s="10" t="str">
        <x:v>2026-06-30</x:v>
      </x:c>
      <x:c r="F186" s="10" t="str">
        <x:v>A</x:v>
      </x:c>
      <x:c r="G186" s="10" t="str">
        <x:v>MERICS</x:v>
      </x:c>
      <x:c r="H186" s="10" t="str">
        <x:v>MERICS</x:v>
      </x:c>
      <x:c r="I186" s="10" t="n">
        <x:v>43</x:v>
      </x:c>
      <x:c r="J186" s="10" t="str">
        <x:v>Leading policy research institute</x:v>
      </x:c>
      <x:c r="K186" s="10" t="n">
        <x:v>25</x:v>
      </x:c>
      <x:c r="L186" s="10" t="str">
        <x:v>Direct EU relevance</x:v>
      </x:c>
      <x:c r="M186" s="10" t="n">
        <x:v>13</x:v>
      </x:c>
      <x:c r="N186" s="10" t="str">
        <x:v>Research/policy paper</x:v>
      </x:c>
      <x:c r="O186" s="10" t="n">
        <x:v>5</x:v>
      </x:c>
      <x:c r="P186" s="10" t="str">
        <x:v>research/policy paper</x:v>
      </x:c>
      <x:c r="Q186" s="10" t="str">
        <x:v>direct</x:v>
      </x:c>
      <x:c r="R186" s="10" t="str">
        <x:v>https://merics.org/en/report/germany-mutual-benefit-existential-competition-china</x:v>
      </x:c>
    </x:row>
    <x:row r="187">
      <x:c r="A187" s="10" t="n">
        <x:f>RANK.EQ(B187,$B$2:$B$446,0)+COUNTIF($B$2:B187,B187)-1</x:f>
        <x:v>186</x:v>
      </x:c>
      <x:c r="B187" s="22" t="n">
        <x:f>I187+K187+M187+O187</x:f>
        <x:v>86</x:v>
      </x:c>
      <x:c r="C187" s="10" t="str">
        <x:f>IF(B187&gt;=93,"A — Highest",IF(B187&gt;=85,"B — Very strong",IF(B187&gt;=75,"C — Strong",IF(B187&gt;=65,"D — Useful","E — Supporting"))))</x:f>
        <x:v>B — Very strong</x:v>
      </x:c>
      <x:c r="D187" s="10" t="str">
        <x:v>Ireland: Interlocking factors shape the approach to China in science-tech innovation</x:v>
      </x:c>
      <x:c r="E187" s="10" t="str">
        <x:v>2026-06-30</x:v>
      </x:c>
      <x:c r="F187" s="10" t="str">
        <x:v>A</x:v>
      </x:c>
      <x:c r="G187" s="10" t="str">
        <x:v>MERICS</x:v>
      </x:c>
      <x:c r="H187" s="10" t="str">
        <x:v>MERICS</x:v>
      </x:c>
      <x:c r="I187" s="10" t="n">
        <x:v>43</x:v>
      </x:c>
      <x:c r="J187" s="10" t="str">
        <x:v>Leading policy research institute</x:v>
      </x:c>
      <x:c r="K187" s="10" t="n">
        <x:v>25</x:v>
      </x:c>
      <x:c r="L187" s="10" t="str">
        <x:v>Direct EU relevance</x:v>
      </x:c>
      <x:c r="M187" s="10" t="n">
        <x:v>13</x:v>
      </x:c>
      <x:c r="N187" s="10" t="str">
        <x:v>Research/policy paper</x:v>
      </x:c>
      <x:c r="O187" s="10" t="n">
        <x:v>5</x:v>
      </x:c>
      <x:c r="P187" s="10" t="str">
        <x:v>research/policy paper</x:v>
      </x:c>
      <x:c r="Q187" s="10" t="str">
        <x:v>direct</x:v>
      </x:c>
      <x:c r="R187" s="10" t="str">
        <x:v>https://merics.org/en/report/ireland-interlocking-factors-shape-approach-china-science-tech-innovation</x:v>
      </x:c>
    </x:row>
    <x:row r="188">
      <x:c r="A188" s="10" t="n">
        <x:f>RANK.EQ(B188,$B$2:$B$446,0)+COUNTIF($B$2:B188,B188)-1</x:f>
        <x:v>187</x:v>
      </x:c>
      <x:c r="B188" s="22" t="n">
        <x:f>I188+K188+M188+O188</x:f>
        <x:v>86</x:v>
      </x:c>
      <x:c r="C188" s="10" t="str">
        <x:f>IF(B188&gt;=93,"A — Highest",IF(B188&gt;=85,"B — Very strong",IF(B188&gt;=75,"C — Strong",IF(B188&gt;=65,"D — Useful","E — Supporting"))))</x:f>
        <x:v>B — Very strong</x:v>
      </x:c>
      <x:c r="D188" s="10" t="str">
        <x:v>The Fifth Freedom in the European Research Area – Short Report - ECAS</x:v>
      </x:c>
      <x:c r="E188" s="10" t="str">
        <x:v>2026-06-11</x:v>
      </x:c>
      <x:c r="F188" s="10" t="str">
        <x:v>A</x:v>
      </x:c>
      <x:c r="G188" s="10" t="str">
        <x:v>European Citizen Action Service</x:v>
      </x:c>
      <x:c r="H188" s="10" t="str">
        <x:v>European Citizen Action Service</x:v>
      </x:c>
      <x:c r="I188" s="10" t="n">
        <x:v>43</x:v>
      </x:c>
      <x:c r="J188" s="10" t="str">
        <x:v>Leading policy research institute</x:v>
      </x:c>
      <x:c r="K188" s="10" t="n">
        <x:v>25</x:v>
      </x:c>
      <x:c r="L188" s="10" t="str">
        <x:v>Direct EU relevance</x:v>
      </x:c>
      <x:c r="M188" s="10" t="n">
        <x:v>13</x:v>
      </x:c>
      <x:c r="N188" s="10" t="str">
        <x:v>Research/policy paper</x:v>
      </x:c>
      <x:c r="O188" s="10" t="n">
        <x:v>5</x:v>
      </x:c>
      <x:c r="P188" s="10" t="str">
        <x:v>research/policy paper</x:v>
      </x:c>
      <x:c r="Q188" s="10" t="str">
        <x:v>direct</x:v>
      </x:c>
      <x:c r="R188" s="10" t="str">
        <x:v>https://ecas.org/wp-content/uploads/2026/06/The-Fifth-Freedom-in-the-European-Research-Area-Short-Report.pdf</x:v>
      </x:c>
    </x:row>
    <x:row r="189">
      <x:c r="A189" s="10" t="n">
        <x:f>RANK.EQ(B189,$B$2:$B$446,0)+COUNTIF($B$2:B189,B189)-1</x:f>
        <x:v>188</x:v>
      </x:c>
      <x:c r="B189" s="22" t="n">
        <x:f>I189+K189+M189+O189</x:f>
        <x:v>86</x:v>
      </x:c>
      <x:c r="C189" s="10" t="str">
        <x:f>IF(B189&gt;=93,"A — Highest",IF(B189&gt;=85,"B — Very strong",IF(B189&gt;=75,"C — Strong",IF(B189&gt;=65,"D — Useful","E — Supporting"))))</x:f>
        <x:v>B — Very strong</x:v>
      </x:c>
      <x:c r="D189" s="10" t="str">
        <x:v>How can citizen participation truly include those most affected by inequality? - ECAS</x:v>
      </x:c>
      <x:c r="E189" s="10" t="str">
        <x:v>2026-06-08</x:v>
      </x:c>
      <x:c r="F189" s="10" t="str">
        <x:v>A</x:v>
      </x:c>
      <x:c r="G189" s="10" t="str">
        <x:v>European Citizen Action Service</x:v>
      </x:c>
      <x:c r="H189" s="10" t="str">
        <x:v>European Citizen Action Service</x:v>
      </x:c>
      <x:c r="I189" s="10" t="n">
        <x:v>43</x:v>
      </x:c>
      <x:c r="J189" s="10" t="str">
        <x:v>Leading policy research institute</x:v>
      </x:c>
      <x:c r="K189" s="10" t="n">
        <x:v>25</x:v>
      </x:c>
      <x:c r="L189" s="10" t="str">
        <x:v>Direct EU relevance</x:v>
      </x:c>
      <x:c r="M189" s="10" t="n">
        <x:v>13</x:v>
      </x:c>
      <x:c r="N189" s="10" t="str">
        <x:v>Research/policy paper</x:v>
      </x:c>
      <x:c r="O189" s="10" t="n">
        <x:v>5</x:v>
      </x:c>
      <x:c r="P189" s="10" t="str">
        <x:v>research/policy paper</x:v>
      </x:c>
      <x:c r="Q189" s="10" t="str">
        <x:v>direct</x:v>
      </x:c>
      <x:c r="R189" s="10" t="str">
        <x:v>https://ecas.org/wp-content/uploads/2026/06/Policy-brief_Integrating-intersectionality-in-citizen-participation_5-June-2026.pdf</x:v>
      </x:c>
    </x:row>
    <x:row r="190">
      <x:c r="A190" s="10" t="n">
        <x:f>RANK.EQ(B190,$B$2:$B$446,0)+COUNTIF($B$2:B190,B190)-1</x:f>
        <x:v>189</x:v>
      </x:c>
      <x:c r="B190" s="22" t="n">
        <x:f>I190+K190+M190+O190</x:f>
        <x:v>86</x:v>
      </x:c>
      <x:c r="C190" s="10" t="str">
        <x:f>IF(B190&gt;=93,"A — Highest",IF(B190&gt;=85,"B — Very strong",IF(B190&gt;=75,"C — Strong",IF(B190&gt;=65,"D — Useful","E — Supporting"))))</x:f>
        <x:v>B — Very strong</x:v>
      </x:c>
      <x:c r="D190" s="10" t="str">
        <x:v>After the Draghi Report: The Role of Central Europe in Strengthening EU Competitiveness</x:v>
      </x:c>
      <x:c r="E190" s="10" t="str">
        <x:v>2026-05-07</x:v>
      </x:c>
      <x:c r="F190" s="10" t="str">
        <x:v>A</x:v>
      </x:c>
      <x:c r="G190" s="10" t="str">
        <x:v>EUROPEUM Institute for European Policy</x:v>
      </x:c>
      <x:c r="H190" s="10" t="str">
        <x:v>EUROPEUM Institute for European Policy</x:v>
      </x:c>
      <x:c r="I190" s="10" t="n">
        <x:v>43</x:v>
      </x:c>
      <x:c r="J190" s="10" t="str">
        <x:v>Leading policy research institute</x:v>
      </x:c>
      <x:c r="K190" s="10" t="n">
        <x:v>25</x:v>
      </x:c>
      <x:c r="L190" s="10" t="str">
        <x:v>Direct EU relevance</x:v>
      </x:c>
      <x:c r="M190" s="10" t="n">
        <x:v>14</x:v>
      </x:c>
      <x:c r="N190" s="10" t="str">
        <x:v>Manually verified research/policy source</x:v>
      </x:c>
      <x:c r="O190" s="10" t="n">
        <x:v>4</x:v>
      </x:c>
      <x:c r="P190" s="10" t="str">
        <x:v>manual-verified scholarly/policy source</x:v>
      </x:c>
      <x:c r="Q190" s="10" t="str">
        <x:v>direct</x:v>
      </x:c>
      <x:c r="R190" s="10" t="str">
        <x:v>https://www.europeum.org/en/articles-and-publications/report-after-the-draghi-report-the-role-of-central-europe-in-strengthening-eu-competitiveness/</x:v>
      </x:c>
    </x:row>
    <x:row r="191">
      <x:c r="A191" s="10" t="n">
        <x:f>RANK.EQ(B191,$B$2:$B$446,0)+COUNTIF($B$2:B191,B191)-1</x:f>
        <x:v>190</x:v>
      </x:c>
      <x:c r="B191" s="22" t="n">
        <x:f>I191+K191+M191+O191</x:f>
        <x:v>84</x:v>
      </x:c>
      <x:c r="C191" s="10" t="str">
        <x:f>IF(B191&gt;=93,"A — Highest",IF(B191&gt;=85,"B — Very strong",IF(B191&gt;=75,"C — Strong",IF(B191&gt;=65,"D — Useful","E — Supporting"))))</x:f>
        <x:v>C — Strong</x:v>
      </x:c>
      <x:c r="D191" s="10" t="str">
        <x:v>Collaborating for Affordable Patient Access to Medicines: Review of the First Decade of the Beneluxa Initiative in Pharmaceutical Policy</x:v>
      </x:c>
      <x:c r="E191" s="10" t="str">
        <x:v>2026-07-25</x:v>
      </x:c>
      <x:c r="F191" s="10" t="str">
        <x:v>B</x:v>
      </x:c>
      <x:c r="G191" s="10" t="str">
        <x:v>Applied Health Economics and Health Policy</x:v>
      </x:c>
      <x:c r="H191" s="10" t="str">
        <x:v>Sabine Vogler, Verena Knoll, Anja Sonemann, Annemie Quanten, Róisín Adams, Tim de Jager, Marc Van de Casteele, L. Timmers</x:v>
      </x:c>
      <x:c r="I191" s="10" t="n">
        <x:v>46</x:v>
      </x:c>
      <x:c r="J191" s="10" t="str">
        <x:v>Leading peer-reviewed journal</x:v>
      </x:c>
      <x:c r="K191" s="10" t="n">
        <x:v>18</x:v>
      </x:c>
      <x:c r="L191" s="10" t="str">
        <x:v>Relevant by comparison / implication</x:v>
      </x:c>
      <x:c r="M191" s="10" t="n">
        <x:v>15</x:v>
      </x:c>
      <x:c r="N191" s="10" t="str">
        <x:v>Peer-reviewed article</x:v>
      </x:c>
      <x:c r="O191" s="10" t="n">
        <x:v>5</x:v>
      </x:c>
      <x:c r="P191" s="10" t="str">
        <x:v>peer-reviewed article</x:v>
      </x:c>
      <x:c r="Q191" s="10" t="str">
        <x:v>derived</x:v>
      </x:c>
      <x:c r="R191" s="10" t="str">
        <x:v>https://doi.org/10.1007/s40258-026-01057-z</x:v>
      </x:c>
    </x:row>
    <x:row r="192">
      <x:c r="A192" s="10" t="n">
        <x:f>RANK.EQ(B192,$B$2:$B$446,0)+COUNTIF($B$2:B192,B192)-1</x:f>
        <x:v>191</x:v>
      </x:c>
      <x:c r="B192" s="22" t="n">
        <x:f>I192+K192+M192+O192</x:f>
        <x:v>84</x:v>
      </x:c>
      <x:c r="C192" s="10" t="str">
        <x:f>IF(B192&gt;=93,"A — Highest",IF(B192&gt;=85,"B — Very strong",IF(B192&gt;=75,"C — Strong",IF(B192&gt;=65,"D — Useful","E — Supporting"))))</x:f>
        <x:v>C — Strong</x:v>
      </x:c>
      <x:c r="D192" s="10" t="str">
        <x:v>Scenario Planning and Organizational Sustainability: A Literature Review and Conceptual Model</x:v>
      </x:c>
      <x:c r="E192" s="10" t="str">
        <x:v>2026-07-08</x:v>
      </x:c>
      <x:c r="F192" s="10" t="str">
        <x:v>B</x:v>
      </x:c>
      <x:c r="G192" s="10" t="str">
        <x:v>Business Strategy and the Environment</x:v>
      </x:c>
      <x:c r="H192" s="10" t="str">
        <x:v>Shiny Mathew, Anshu Rani</x:v>
      </x:c>
      <x:c r="I192" s="10" t="n">
        <x:v>46</x:v>
      </x:c>
      <x:c r="J192" s="10" t="str">
        <x:v>Leading peer-reviewed journal</x:v>
      </x:c>
      <x:c r="K192" s="10" t="n">
        <x:v>18</x:v>
      </x:c>
      <x:c r="L192" s="10" t="str">
        <x:v>Relevant by comparison / implication</x:v>
      </x:c>
      <x:c r="M192" s="10" t="n">
        <x:v>15</x:v>
      </x:c>
      <x:c r="N192" s="10" t="str">
        <x:v>Peer-reviewed article</x:v>
      </x:c>
      <x:c r="O192" s="10" t="n">
        <x:v>5</x:v>
      </x:c>
      <x:c r="P192" s="10" t="str">
        <x:v>peer-reviewed article</x:v>
      </x:c>
      <x:c r="Q192" s="10" t="str">
        <x:v>derived</x:v>
      </x:c>
      <x:c r="R192" s="10" t="str">
        <x:v>https://doi.org/10.1002/bse.71191</x:v>
      </x:c>
    </x:row>
    <x:row r="193">
      <x:c r="A193" s="10" t="n">
        <x:f>RANK.EQ(B193,$B$2:$B$446,0)+COUNTIF($B$2:B193,B193)-1</x:f>
        <x:v>192</x:v>
      </x:c>
      <x:c r="B193" s="22" t="n">
        <x:f>I193+K193+M193+O193</x:f>
        <x:v>84</x:v>
      </x:c>
      <x:c r="C193" s="10" t="str">
        <x:f>IF(B193&gt;=93,"A — Highest",IF(B193&gt;=85,"B — Very strong",IF(B193&gt;=75,"C — Strong",IF(B193&gt;=65,"D — Useful","E — Supporting"))))</x:f>
        <x:v>C — Strong</x:v>
      </x:c>
      <x:c r="D193" s="10" t="str">
        <x:v>Stochastic resonance: advanced theories, novel methodologies, and cutting-edge applications in weak signal detection</x:v>
      </x:c>
      <x:c r="E193" s="10" t="str">
        <x:v>2026-07-01</x:v>
      </x:c>
      <x:c r="F193" s="10" t="str">
        <x:v>B</x:v>
      </x:c>
      <x:c r="G193" s="10" t="str">
        <x:v>Nonlinear Dynamics</x:v>
      </x:c>
      <x:c r="H193" s="10" t="str">
        <x:v>Xiaoxiao Huang, Gang Zhang, Lianbing Xu, Lin He</x:v>
      </x:c>
      <x:c r="I193" s="10" t="n">
        <x:v>46</x:v>
      </x:c>
      <x:c r="J193" s="10" t="str">
        <x:v>Leading peer-reviewed journal</x:v>
      </x:c>
      <x:c r="K193" s="10" t="n">
        <x:v>18</x:v>
      </x:c>
      <x:c r="L193" s="10" t="str">
        <x:v>Relevant by comparison / implication</x:v>
      </x:c>
      <x:c r="M193" s="10" t="n">
        <x:v>15</x:v>
      </x:c>
      <x:c r="N193" s="10" t="str">
        <x:v>Peer-reviewed article</x:v>
      </x:c>
      <x:c r="O193" s="10" t="n">
        <x:v>5</x:v>
      </x:c>
      <x:c r="P193" s="10" t="str">
        <x:v>peer-reviewed article</x:v>
      </x:c>
      <x:c r="Q193" s="10" t="str">
        <x:v>derived</x:v>
      </x:c>
      <x:c r="R193" s="10" t="str">
        <x:v>https://doi.org/10.1007/s11071-026-12746-8</x:v>
      </x:c>
    </x:row>
    <x:row r="194">
      <x:c r="A194" s="10" t="n">
        <x:f>RANK.EQ(B194,$B$2:$B$446,0)+COUNTIF($B$2:B194,B194)-1</x:f>
        <x:v>193</x:v>
      </x:c>
      <x:c r="B194" s="22" t="n">
        <x:f>I194+K194+M194+O194</x:f>
        <x:v>84</x:v>
      </x:c>
      <x:c r="C194" s="10" t="str">
        <x:f>IF(B194&gt;=93,"A — Highest",IF(B194&gt;=85,"B — Very strong",IF(B194&gt;=75,"C — Strong",IF(B194&gt;=65,"D — Useful","E — Supporting"))))</x:f>
        <x:v>C — Strong</x:v>
      </x:c>
      <x:c r="D194" s="10" t="str">
        <x:v>Horizon Scanning for Medical Technologies: Methodological Framework Development Study of the Medical Innovation Scanning Techniques (MIST) Framework</x:v>
      </x:c>
      <x:c r="E194" s="10" t="str">
        <x:v>2026-05-21</x:v>
      </x:c>
      <x:c r="F194" s="10" t="str">
        <x:v>B</x:v>
      </x:c>
      <x:c r="G194" s="10" t="str">
        <x:v>Journal of Medical Internet Research</x:v>
      </x:c>
      <x:c r="H194" s="10" t="str">
        <x:v>Sonia Garcia Gonzalez-Moral, Andrew Mkwashi, Fiona R Beyer, Dawn Craig</x:v>
      </x:c>
      <x:c r="I194" s="10" t="n">
        <x:v>46</x:v>
      </x:c>
      <x:c r="J194" s="10" t="str">
        <x:v>Leading peer-reviewed journal</x:v>
      </x:c>
      <x:c r="K194" s="10" t="n">
        <x:v>18</x:v>
      </x:c>
      <x:c r="L194" s="10" t="str">
        <x:v>Relevant by comparison / implication</x:v>
      </x:c>
      <x:c r="M194" s="10" t="n">
        <x:v>15</x:v>
      </x:c>
      <x:c r="N194" s="10" t="str">
        <x:v>Peer-reviewed article</x:v>
      </x:c>
      <x:c r="O194" s="10" t="n">
        <x:v>5</x:v>
      </x:c>
      <x:c r="P194" s="10" t="str">
        <x:v>peer-reviewed article</x:v>
      </x:c>
      <x:c r="Q194" s="10" t="str">
        <x:v>derived</x:v>
      </x:c>
      <x:c r="R194" s="10" t="str">
        <x:v>https://doi.org/10.2196/93166</x:v>
      </x:c>
    </x:row>
    <x:row r="195">
      <x:c r="A195" s="10" t="n">
        <x:f>RANK.EQ(B195,$B$2:$B$446,0)+COUNTIF($B$2:B195,B195)-1</x:f>
        <x:v>194</x:v>
      </x:c>
      <x:c r="B195" s="22" t="n">
        <x:f>I195+K195+M195+O195</x:f>
        <x:v>84</x:v>
      </x:c>
      <x:c r="C195" s="10" t="str">
        <x:f>IF(B195&gt;=93,"A — Highest",IF(B195&gt;=85,"B — Very strong",IF(B195&gt;=75,"C — Strong",IF(B195&gt;=65,"D — Useful","E — Supporting"))))</x:f>
        <x:v>C — Strong</x:v>
      </x:c>
      <x:c r="D195" s="10" t="str">
        <x:v>Designing strategic scenarios for the digital transition</x:v>
      </x:c>
      <x:c r="E195" s="10" t="str">
        <x:v>2026-05-14</x:v>
      </x:c>
      <x:c r="F195" s="10" t="str">
        <x:v>B</x:v>
      </x:c>
      <x:c r="G195" s="10" t="str">
        <x:v>Scientific Reports</x:v>
      </x:c>
      <x:c r="H195" s="10" t="str">
        <x:v>Vítor Alcácer, Alexandra Tenera, Francisco Araujo, Helena Carvalho, Virgílio Cruz-Machado</x:v>
      </x:c>
      <x:c r="I195" s="10" t="n">
        <x:v>46</x:v>
      </x:c>
      <x:c r="J195" s="10" t="str">
        <x:v>Leading peer-reviewed journal</x:v>
      </x:c>
      <x:c r="K195" s="10" t="n">
        <x:v>18</x:v>
      </x:c>
      <x:c r="L195" s="10" t="str">
        <x:v>Relevant by comparison / implication</x:v>
      </x:c>
      <x:c r="M195" s="10" t="n">
        <x:v>15</x:v>
      </x:c>
      <x:c r="N195" s="10" t="str">
        <x:v>Peer-reviewed article</x:v>
      </x:c>
      <x:c r="O195" s="10" t="n">
        <x:v>5</x:v>
      </x:c>
      <x:c r="P195" s="10" t="str">
        <x:v>peer-reviewed article</x:v>
      </x:c>
      <x:c r="Q195" s="10" t="str">
        <x:v>derived</x:v>
      </x:c>
      <x:c r="R195" s="10" t="str">
        <x:v>https://doi.org/10.1038/s41598-026-52549-w</x:v>
      </x:c>
    </x:row>
    <x:row r="196">
      <x:c r="A196" s="10" t="n">
        <x:f>RANK.EQ(B196,$B$2:$B$446,0)+COUNTIF($B$2:B196,B196)-1</x:f>
        <x:v>195</x:v>
      </x:c>
      <x:c r="B196" s="22" t="n">
        <x:f>I196+K196+M196+O196</x:f>
        <x:v>83</x:v>
      </x:c>
      <x:c r="C196" s="10" t="str">
        <x:f>IF(B196&gt;=93,"A — Highest",IF(B196&gt;=85,"B — Very strong",IF(B196&gt;=75,"C — Strong",IF(B196&gt;=65,"D — Useful","E — Supporting"))))</x:f>
        <x:v>C — Strong</x:v>
      </x:c>
      <x:c r="D196" s="10" t="str">
        <x:v>China’s dual circulation strategy and its impact on European industry: the case of the electric vehicle</x:v>
      </x:c>
      <x:c r="E196" s="10" t="str">
        <x:v>2026-08-26</x:v>
      </x:c>
      <x:c r="F196" s="10" t="str">
        <x:v>A</x:v>
      </x:c>
      <x:c r="G196" s="10" t="str">
        <x:v>Asia Europe Journal</x:v>
      </x:c>
      <x:c r="H196" s="10" t="str">
        <x:v>Miguel Otero‐Iglesias, Federico Steinberg, Agustín González-Agote</x:v>
      </x:c>
      <x:c r="I196" s="10" t="n">
        <x:v>38</x:v>
      </x:c>
      <x:c r="J196" s="10" t="str">
        <x:v>Established peer-reviewed journal</x:v>
      </x:c>
      <x:c r="K196" s="10" t="n">
        <x:v>25</x:v>
      </x:c>
      <x:c r="L196" s="10" t="str">
        <x:v>Direct EU relevance</x:v>
      </x:c>
      <x:c r="M196" s="10" t="n">
        <x:v>15</x:v>
      </x:c>
      <x:c r="N196" s="10" t="str">
        <x:v>Peer-reviewed article</x:v>
      </x:c>
      <x:c r="O196" s="10" t="n">
        <x:v>5</x:v>
      </x:c>
      <x:c r="P196" s="10" t="str">
        <x:v>peer-reviewed article</x:v>
      </x:c>
      <x:c r="Q196" s="10" t="str">
        <x:v>direct</x:v>
      </x:c>
      <x:c r="R196" s="10" t="str">
        <x:v>https://doi.org/10.1007/s10308-026-00785-0</x:v>
      </x:c>
    </x:row>
    <x:row r="197">
      <x:c r="A197" s="10" t="n">
        <x:f>RANK.EQ(B197,$B$2:$B$446,0)+COUNTIF($B$2:B197,B197)-1</x:f>
        <x:v>196</x:v>
      </x:c>
      <x:c r="B197" s="22" t="n">
        <x:f>I197+K197+M197+O197</x:f>
        <x:v>83</x:v>
      </x:c>
      <x:c r="C197" s="10" t="str">
        <x:f>IF(B197&gt;=93,"A — Highest",IF(B197&gt;=85,"B — Very strong",IF(B197&gt;=75,"C — Strong",IF(B197&gt;=65,"D — Useful","E — Supporting"))))</x:f>
        <x:v>C — Strong</x:v>
      </x:c>
      <x:c r="D197" s="10" t="str">
        <x:v>Hybrid foresight: integrating artificial intelligence and expert judgement to address strategic challenges in UK Forest resilience</x:v>
      </x:c>
      <x:c r="E197" s="10" t="str">
        <x:v>2026-08-26</x:v>
      </x:c>
      <x:c r="F197" s="10" t="str">
        <x:v>B</x:v>
      </x:c>
      <x:c r="G197" s="10" t="str">
        <x:v>Forestry: An International Journal of Forest Research</x:v>
      </x:c>
      <x:c r="H197" s="10" t="str">
        <x:v>Gabriel Hemery, Gillian Petrokofsky</x:v>
      </x:c>
      <x:c r="I197" s="10" t="n">
        <x:v>38</x:v>
      </x:c>
      <x:c r="J197" s="10" t="str">
        <x:v>Established peer-reviewed journal</x:v>
      </x:c>
      <x:c r="K197" s="10" t="n">
        <x:v>25</x:v>
      </x:c>
      <x:c r="L197" s="10" t="str">
        <x:v>Direct EU relevance</x:v>
      </x:c>
      <x:c r="M197" s="10" t="n">
        <x:v>15</x:v>
      </x:c>
      <x:c r="N197" s="10" t="str">
        <x:v>Peer-reviewed article</x:v>
      </x:c>
      <x:c r="O197" s="10" t="n">
        <x:v>5</x:v>
      </x:c>
      <x:c r="P197" s="10" t="str">
        <x:v>peer-reviewed article</x:v>
      </x:c>
      <x:c r="Q197" s="10" t="str">
        <x:v>direct</x:v>
      </x:c>
      <x:c r="R197" s="10" t="str">
        <x:v>https://doi.org/10.1093/forestry/cpag066</x:v>
      </x:c>
    </x:row>
    <x:row r="198">
      <x:c r="A198" s="10" t="n">
        <x:f>RANK.EQ(B198,$B$2:$B$446,0)+COUNTIF($B$2:B198,B198)-1</x:f>
        <x:v>197</x:v>
      </x:c>
      <x:c r="B198" s="22" t="n">
        <x:f>I198+K198+M198+O198</x:f>
        <x:v>83</x:v>
      </x:c>
      <x:c r="C198" s="10" t="str">
        <x:f>IF(B198&gt;=93,"A — Highest",IF(B198&gt;=85,"B — Very strong",IF(B198&gt;=75,"C — Strong",IF(B198&gt;=65,"D — Useful","E — Supporting"))))</x:f>
        <x:v>C — Strong</x:v>
      </x:c>
      <x:c r="D198" s="10" t="str">
        <x:v>A Copernican revolution? Geopolitical tensions, Polish universities and the (dis)continuities of neo-nationalism</x:v>
      </x:c>
      <x:c r="E198" s="10" t="str">
        <x:v>2026-08-16</x:v>
      </x:c>
      <x:c r="F198" s="10" t="str">
        <x:v>A</x:v>
      </x:c>
      <x:c r="G198" s="10" t="str">
        <x:v>Education Inquiry</x:v>
      </x:c>
      <x:c r="H198" s="10" t="str">
        <x:v>Rasmus Harsbo</x:v>
      </x:c>
      <x:c r="I198" s="10" t="n">
        <x:v>38</x:v>
      </x:c>
      <x:c r="J198" s="10" t="str">
        <x:v>Established peer-reviewed journal</x:v>
      </x:c>
      <x:c r="K198" s="10" t="n">
        <x:v>25</x:v>
      </x:c>
      <x:c r="L198" s="10" t="str">
        <x:v>Direct EU relevance</x:v>
      </x:c>
      <x:c r="M198" s="10" t="n">
        <x:v>15</x:v>
      </x:c>
      <x:c r="N198" s="10" t="str">
        <x:v>Peer-reviewed article</x:v>
      </x:c>
      <x:c r="O198" s="10" t="n">
        <x:v>5</x:v>
      </x:c>
      <x:c r="P198" s="10" t="str">
        <x:v>peer-reviewed article</x:v>
      </x:c>
      <x:c r="Q198" s="10" t="str">
        <x:v>direct</x:v>
      </x:c>
      <x:c r="R198" s="10" t="str">
        <x:v>https://doi.org/10.1080/20004508.2026.2716435</x:v>
      </x:c>
    </x:row>
    <x:row r="199">
      <x:c r="A199" s="10" t="n">
        <x:f>RANK.EQ(B199,$B$2:$B$446,0)+COUNTIF($B$2:B199,B199)-1</x:f>
        <x:v>198</x:v>
      </x:c>
      <x:c r="B199" s="22" t="n">
        <x:f>I199+K199+M199+O199</x:f>
        <x:v>83</x:v>
      </x:c>
      <x:c r="C199" s="10" t="str">
        <x:f>IF(B199&gt;=93,"A — Highest",IF(B199&gt;=85,"B — Very strong",IF(B199&gt;=75,"C — Strong",IF(B199&gt;=65,"D — Useful","E — Supporting"))))</x:f>
        <x:v>C — Strong</x:v>
      </x:c>
      <x:c r="D199" s="10" t="str">
        <x:v>Bi-national academic funding and collaboration dynamics: the case of the German-Israeli foundation</x:v>
      </x:c>
      <x:c r="E199" s="10" t="str">
        <x:v>2026-08-14</x:v>
      </x:c>
      <x:c r="F199" s="10" t="str">
        <x:v>A</x:v>
      </x:c>
      <x:c r="G199" s="10" t="str">
        <x:v>Scientometrics</x:v>
      </x:c>
      <x:c r="H199" s="10" t="str">
        <x:v>Amit Bengiat, Teddy Lazebnik, Philipp Mayr, Ariel Rosenfeld</x:v>
      </x:c>
      <x:c r="I199" s="10" t="n">
        <x:v>38</x:v>
      </x:c>
      <x:c r="J199" s="10" t="str">
        <x:v>Established peer-reviewed journal</x:v>
      </x:c>
      <x:c r="K199" s="10" t="n">
        <x:v>25</x:v>
      </x:c>
      <x:c r="L199" s="10" t="str">
        <x:v>Direct EU relevance</x:v>
      </x:c>
      <x:c r="M199" s="10" t="n">
        <x:v>15</x:v>
      </x:c>
      <x:c r="N199" s="10" t="str">
        <x:v>Peer-reviewed article</x:v>
      </x:c>
      <x:c r="O199" s="10" t="n">
        <x:v>5</x:v>
      </x:c>
      <x:c r="P199" s="10" t="str">
        <x:v>peer-reviewed article</x:v>
      </x:c>
      <x:c r="Q199" s="10" t="str">
        <x:v>direct</x:v>
      </x:c>
      <x:c r="R199" s="10" t="str">
        <x:v>https://doi.org/10.1007/s11192-026-05769-w</x:v>
      </x:c>
    </x:row>
    <x:row r="200">
      <x:c r="A200" s="10" t="n">
        <x:f>RANK.EQ(B200,$B$2:$B$446,0)+COUNTIF($B$2:B200,B200)-1</x:f>
        <x:v>199</x:v>
      </x:c>
      <x:c r="B200" s="22" t="n">
        <x:f>I200+K200+M200+O200</x:f>
        <x:v>83</x:v>
      </x:c>
      <x:c r="C200" s="10" t="str">
        <x:f>IF(B200&gt;=93,"A — Highest",IF(B200&gt;=85,"B — Very strong",IF(B200&gt;=75,"C — Strong",IF(B200&gt;=65,"D — Useful","E — Supporting"))))</x:f>
        <x:v>C — Strong</x:v>
      </x:c>
      <x:c r="D200" s="10" t="str">
        <x:v>Smart Innovations and Sustainability in EU Waste Material Trading: Evidence of Quantile Decomposition in EU Circular Economy Transitions</x:v>
      </x:c>
      <x:c r="E200" s="10" t="str">
        <x:v>2026-08-12</x:v>
      </x:c>
      <x:c r="F200" s="10" t="str">
        <x:v>A</x:v>
      </x:c>
      <x:c r="G200" s="10" t="str">
        <x:v>Circular Economy and Sustainability</x:v>
      </x:c>
      <x:c r="H200" s="10" t="str">
        <x:v>Eszter Lukács, Peter Németh, Md. Rashed, Mohammad Fakhrul Islam</x:v>
      </x:c>
      <x:c r="I200" s="10" t="n">
        <x:v>38</x:v>
      </x:c>
      <x:c r="J200" s="10" t="str">
        <x:v>Established peer-reviewed journal</x:v>
      </x:c>
      <x:c r="K200" s="10" t="n">
        <x:v>25</x:v>
      </x:c>
      <x:c r="L200" s="10" t="str">
        <x:v>Direct EU relevance</x:v>
      </x:c>
      <x:c r="M200" s="10" t="n">
        <x:v>15</x:v>
      </x:c>
      <x:c r="N200" s="10" t="str">
        <x:v>Peer-reviewed article</x:v>
      </x:c>
      <x:c r="O200" s="10" t="n">
        <x:v>5</x:v>
      </x:c>
      <x:c r="P200" s="10" t="str">
        <x:v>peer-reviewed article</x:v>
      </x:c>
      <x:c r="Q200" s="10" t="str">
        <x:v>direct</x:v>
      </x:c>
      <x:c r="R200" s="10" t="str">
        <x:v>https://doi.org/10.1007/s43615-026-01115-7</x:v>
      </x:c>
    </x:row>
    <x:row r="201">
      <x:c r="A201" s="10" t="n">
        <x:f>RANK.EQ(B201,$B$2:$B$446,0)+COUNTIF($B$2:B201,B201)-1</x:f>
        <x:v>200</x:v>
      </x:c>
      <x:c r="B201" s="22" t="n">
        <x:f>I201+K201+M201+O201</x:f>
        <x:v>83</x:v>
      </x:c>
      <x:c r="C201" s="10" t="str">
        <x:f>IF(B201&gt;=93,"A — Highest",IF(B201&gt;=85,"B — Very strong",IF(B201&gt;=75,"C — Strong",IF(B201&gt;=65,"D — Useful","E — Supporting"))))</x:f>
        <x:v>C — Strong</x:v>
      </x:c>
      <x:c r="D201" s="10" t="str">
        <x:v>Mission‐Led and Place‐Based Policy Outcomes in European Regions</x:v>
      </x:c>
      <x:c r="E201" s="10" t="str">
        <x:v>2026-08-09</x:v>
      </x:c>
      <x:c r="F201" s="10" t="str">
        <x:v>A</x:v>
      </x:c>
      <x:c r="G201" s="10" t="str">
        <x:v>JCMS: Journal of Common Market Studies</x:v>
      </x:c>
      <x:c r="H201" s="10" t="str">
        <x:v>Pablo Casas, Tryfonas Christou, Abián García‐Rodríguez, Nicholas Joseph Lazarou, Patrizio Lecca, Philippe Monfort, Simone Salotti</x:v>
      </x:c>
      <x:c r="I201" s="10" t="n">
        <x:v>38</x:v>
      </x:c>
      <x:c r="J201" s="10" t="str">
        <x:v>Established peer-reviewed journal</x:v>
      </x:c>
      <x:c r="K201" s="10" t="n">
        <x:v>25</x:v>
      </x:c>
      <x:c r="L201" s="10" t="str">
        <x:v>Direct EU relevance</x:v>
      </x:c>
      <x:c r="M201" s="10" t="n">
        <x:v>15</x:v>
      </x:c>
      <x:c r="N201" s="10" t="str">
        <x:v>Peer-reviewed article</x:v>
      </x:c>
      <x:c r="O201" s="10" t="n">
        <x:v>5</x:v>
      </x:c>
      <x:c r="P201" s="10" t="str">
        <x:v>peer-reviewed article</x:v>
      </x:c>
      <x:c r="Q201" s="10" t="str">
        <x:v>direct</x:v>
      </x:c>
      <x:c r="R201" s="10" t="str">
        <x:v>https://doi.org/10.1111/jcms.70149</x:v>
      </x:c>
    </x:row>
    <x:row r="202">
      <x:c r="A202" s="10" t="n">
        <x:f>RANK.EQ(B202,$B$2:$B$446,0)+COUNTIF($B$2:B202,B202)-1</x:f>
        <x:v>201</x:v>
      </x:c>
      <x:c r="B202" s="22" t="n">
        <x:f>I202+K202+M202+O202</x:f>
        <x:v>83</x:v>
      </x:c>
      <x:c r="C202" s="10" t="str">
        <x:f>IF(B202&gt;=93,"A — Highest",IF(B202&gt;=85,"B — Very strong",IF(B202&gt;=75,"C — Strong",IF(B202&gt;=65,"D — Useful","E — Supporting"))))</x:f>
        <x:v>C — Strong</x:v>
      </x:c>
      <x:c r="D202" s="10" t="str">
        <x:v>Adoption of circular economy innovations: the role of Artificial Intelligence</x:v>
      </x:c>
      <x:c r="E202" s="10" t="str">
        <x:v>2026-08-05</x:v>
      </x:c>
      <x:c r="F202" s="10" t="str">
        <x:v>A</x:v>
      </x:c>
      <x:c r="G202" s="10" t="str">
        <x:v>Industry and Innovation</x:v>
      </x:c>
      <x:c r="H202" s="10" t="str">
        <x:v>Dirk Czarnitzki, Robin Lepers, Maikel Pellens</x:v>
      </x:c>
      <x:c r="I202" s="10" t="n">
        <x:v>38</x:v>
      </x:c>
      <x:c r="J202" s="10" t="str">
        <x:v>Established peer-reviewed journal</x:v>
      </x:c>
      <x:c r="K202" s="10" t="n">
        <x:v>25</x:v>
      </x:c>
      <x:c r="L202" s="10" t="str">
        <x:v>Direct EU relevance</x:v>
      </x:c>
      <x:c r="M202" s="10" t="n">
        <x:v>15</x:v>
      </x:c>
      <x:c r="N202" s="10" t="str">
        <x:v>Peer-reviewed article</x:v>
      </x:c>
      <x:c r="O202" s="10" t="n">
        <x:v>5</x:v>
      </x:c>
      <x:c r="P202" s="10" t="str">
        <x:v>peer-reviewed article</x:v>
      </x:c>
      <x:c r="Q202" s="10" t="str">
        <x:v>direct</x:v>
      </x:c>
      <x:c r="R202" s="10" t="str">
        <x:v>https://doi.org/10.1080/13662716.2026.2713753</x:v>
      </x:c>
    </x:row>
    <x:row r="203">
      <x:c r="A203" s="10" t="n">
        <x:f>RANK.EQ(B203,$B$2:$B$446,0)+COUNTIF($B$2:B203,B203)-1</x:f>
        <x:v>202</x:v>
      </x:c>
      <x:c r="B203" s="22" t="n">
        <x:f>I203+K203+M203+O203</x:f>
        <x:v>83</x:v>
      </x:c>
      <x:c r="C203" s="10" t="str">
        <x:f>IF(B203&gt;=93,"A — Highest",IF(B203&gt;=85,"B — Very strong",IF(B203&gt;=75,"C — Strong",IF(B203&gt;=65,"D — Useful","E — Supporting"))))</x:f>
        <x:v>C — Strong</x:v>
      </x:c>
      <x:c r="D203" s="10" t="str">
        <x:v>Are we ready to handle PV waste? A review of PV recycling regulations in Europe, the United States, China, and India</x:v>
      </x:c>
      <x:c r="E203" s="10" t="str">
        <x:v>2026-08-05</x:v>
      </x:c>
      <x:c r="F203" s="10" t="str">
        <x:v>A</x:v>
      </x:c>
      <x:c r="G203" s="10" t="str">
        <x:v>Energy Sustainability and Society</x:v>
      </x:c>
      <x:c r="H203" s="10" t="str">
        <x:v>Umer Shahzad, Cristina Irene Mihai, Ian Marius Peters</x:v>
      </x:c>
      <x:c r="I203" s="10" t="n">
        <x:v>38</x:v>
      </x:c>
      <x:c r="J203" s="10" t="str">
        <x:v>Established peer-reviewed journal</x:v>
      </x:c>
      <x:c r="K203" s="10" t="n">
        <x:v>25</x:v>
      </x:c>
      <x:c r="L203" s="10" t="str">
        <x:v>Direct EU relevance</x:v>
      </x:c>
      <x:c r="M203" s="10" t="n">
        <x:v>15</x:v>
      </x:c>
      <x:c r="N203" s="10" t="str">
        <x:v>Peer-reviewed article</x:v>
      </x:c>
      <x:c r="O203" s="10" t="n">
        <x:v>5</x:v>
      </x:c>
      <x:c r="P203" s="10" t="str">
        <x:v>peer-reviewed article</x:v>
      </x:c>
      <x:c r="Q203" s="10" t="str">
        <x:v>direct</x:v>
      </x:c>
      <x:c r="R203" s="10" t="str">
        <x:v>https://doi.org/10.1186/s13705-026-00595-7</x:v>
      </x:c>
    </x:row>
    <x:row r="204">
      <x:c r="A204" s="10" t="n">
        <x:f>RANK.EQ(B204,$B$2:$B$446,0)+COUNTIF($B$2:B204,B204)-1</x:f>
        <x:v>203</x:v>
      </x:c>
      <x:c r="B204" s="22" t="n">
        <x:f>I204+K204+M204+O204</x:f>
        <x:v>83</x:v>
      </x:c>
      <x:c r="C204" s="10" t="str">
        <x:f>IF(B204&gt;=93,"A — Highest",IF(B204&gt;=85,"B — Very strong",IF(B204&gt;=75,"C — Strong",IF(B204&gt;=65,"D — Useful","E — Supporting"))))</x:f>
        <x:v>C — Strong</x:v>
      </x:c>
      <x:c r="D204" s="10" t="str">
        <x:v>Sustainable agricultural performance in the European Union in the context of ecological transition, economic fairness, and support policies</x:v>
      </x:c>
      <x:c r="E204" s="10" t="str">
        <x:v>2026-07-31</x:v>
      </x:c>
      <x:c r="F204" s="10" t="str">
        <x:v>A</x:v>
      </x:c>
      <x:c r="G204" s="10" t="str">
        <x:v>Agricultural Economics (Zemědělská ekonomika)</x:v>
      </x:c>
      <x:c r="H204" s="10" t="str">
        <x:v>Valentin Marian Antohi, Jean Vasile Andrei, Costinela Forțea, Dumitru Nancu</x:v>
      </x:c>
      <x:c r="I204" s="10" t="n">
        <x:v>38</x:v>
      </x:c>
      <x:c r="J204" s="10" t="str">
        <x:v>Established peer-reviewed journal</x:v>
      </x:c>
      <x:c r="K204" s="10" t="n">
        <x:v>25</x:v>
      </x:c>
      <x:c r="L204" s="10" t="str">
        <x:v>Direct EU relevance</x:v>
      </x:c>
      <x:c r="M204" s="10" t="n">
        <x:v>15</x:v>
      </x:c>
      <x:c r="N204" s="10" t="str">
        <x:v>Peer-reviewed article</x:v>
      </x:c>
      <x:c r="O204" s="10" t="n">
        <x:v>5</x:v>
      </x:c>
      <x:c r="P204" s="10" t="str">
        <x:v>peer-reviewed article</x:v>
      </x:c>
      <x:c r="Q204" s="10" t="str">
        <x:v>direct</x:v>
      </x:c>
      <x:c r="R204" s="10" t="str">
        <x:v>https://doi.org/10.17221/329/2025-agricecon</x:v>
      </x:c>
    </x:row>
    <x:row r="205">
      <x:c r="A205" s="10" t="n">
        <x:f>RANK.EQ(B205,$B$2:$B$446,0)+COUNTIF($B$2:B205,B205)-1</x:f>
        <x:v>204</x:v>
      </x:c>
      <x:c r="B205" s="22" t="n">
        <x:f>I205+K205+M205+O205</x:f>
        <x:v>83</x:v>
      </x:c>
      <x:c r="C205" s="10" t="str">
        <x:f>IF(B205&gt;=93,"A — Highest",IF(B205&gt;=85,"B — Very strong",IF(B205&gt;=75,"C — Strong",IF(B205&gt;=65,"D — Useful","E — Supporting"))))</x:f>
        <x:v>C — Strong</x:v>
      </x:c>
      <x:c r="D205" s="10" t="str">
        <x:v>Digital infrastructure, innovation capacity, and AI technology adoption in EU manufacturing</x:v>
      </x:c>
      <x:c r="E205" s="10" t="str">
        <x:v>2026-07-29</x:v>
      </x:c>
      <x:c r="F205" s="10" t="str">
        <x:v>A</x:v>
      </x:c>
      <x:c r="G205" s="10" t="str">
        <x:v>Economics of Innovation and New Technology</x:v>
      </x:c>
      <x:c r="H205" s="10" t="str">
        <x:v>Ruxandra Boghian</x:v>
      </x:c>
      <x:c r="I205" s="10" t="n">
        <x:v>38</x:v>
      </x:c>
      <x:c r="J205" s="10" t="str">
        <x:v>Established peer-reviewed journal</x:v>
      </x:c>
      <x:c r="K205" s="10" t="n">
        <x:v>25</x:v>
      </x:c>
      <x:c r="L205" s="10" t="str">
        <x:v>Direct EU relevance</x:v>
      </x:c>
      <x:c r="M205" s="10" t="n">
        <x:v>15</x:v>
      </x:c>
      <x:c r="N205" s="10" t="str">
        <x:v>Peer-reviewed article</x:v>
      </x:c>
      <x:c r="O205" s="10" t="n">
        <x:v>5</x:v>
      </x:c>
      <x:c r="P205" s="10" t="str">
        <x:v>peer-reviewed article</x:v>
      </x:c>
      <x:c r="Q205" s="10" t="str">
        <x:v>direct</x:v>
      </x:c>
      <x:c r="R205" s="10" t="str">
        <x:v>https://doi.org/10.1080/10438599.2026.2710994</x:v>
      </x:c>
    </x:row>
    <x:row r="206">
      <x:c r="A206" s="10" t="n">
        <x:f>RANK.EQ(B206,$B$2:$B$446,0)+COUNTIF($B$2:B206,B206)-1</x:f>
        <x:v>205</x:v>
      </x:c>
      <x:c r="B206" s="22" t="n">
        <x:f>I206+K206+M206+O206</x:f>
        <x:v>83</x:v>
      </x:c>
      <x:c r="C206" s="10" t="str">
        <x:f>IF(B206&gt;=93,"A — Highest",IF(B206&gt;=85,"B — Very strong",IF(B206&gt;=75,"C — Strong",IF(B206&gt;=65,"D — Useful","E — Supporting"))))</x:f>
        <x:v>C — Strong</x:v>
      </x:c>
      <x:c r="D206" s="10" t="str">
        <x:v>Preserving balance in the EU digital single market: How Like Company could reframe copyright and innovation in the generative AI era</x:v>
      </x:c>
      <x:c r="E206" s="10" t="str">
        <x:v>2026-07-27</x:v>
      </x:c>
      <x:c r="F206" s="10" t="str">
        <x:v>A</x:v>
      </x:c>
      <x:c r="G206" s="10" t="str">
        <x:v>The Journal of World Intellectual Property</x:v>
      </x:c>
      <x:c r="H206" s="10" t="str">
        <x:v>Enrico Bonadio, Giancarlo Frosio, Christophe Geiger, Andrés Guadamuz, Stavroula Karapapa, Irini Stamatoudi</x:v>
      </x:c>
      <x:c r="I206" s="10" t="n">
        <x:v>38</x:v>
      </x:c>
      <x:c r="J206" s="10" t="str">
        <x:v>Established peer-reviewed journal</x:v>
      </x:c>
      <x:c r="K206" s="10" t="n">
        <x:v>25</x:v>
      </x:c>
      <x:c r="L206" s="10" t="str">
        <x:v>Direct EU relevance</x:v>
      </x:c>
      <x:c r="M206" s="10" t="n">
        <x:v>15</x:v>
      </x:c>
      <x:c r="N206" s="10" t="str">
        <x:v>Peer-reviewed article</x:v>
      </x:c>
      <x:c r="O206" s="10" t="n">
        <x:v>5</x:v>
      </x:c>
      <x:c r="P206" s="10" t="str">
        <x:v>peer-reviewed article</x:v>
      </x:c>
      <x:c r="Q206" s="10" t="str">
        <x:v>direct</x:v>
      </x:c>
      <x:c r="R206" s="10" t="str">
        <x:v>https://doi.org/10.1111/jwip.70032</x:v>
      </x:c>
    </x:row>
    <x:row r="207">
      <x:c r="A207" s="10" t="n">
        <x:f>RANK.EQ(B207,$B$2:$B$446,0)+COUNTIF($B$2:B207,B207)-1</x:f>
        <x:v>206</x:v>
      </x:c>
      <x:c r="B207" s="22" t="n">
        <x:f>I207+K207+M207+O207</x:f>
        <x:v>83</x:v>
      </x:c>
      <x:c r="C207" s="10" t="str">
        <x:f>IF(B207&gt;=93,"A — Highest",IF(B207&gt;=85,"B — Very strong",IF(B207&gt;=75,"C — Strong",IF(B207&gt;=65,"D — Useful","E — Supporting"))))</x:f>
        <x:v>C — Strong</x:v>
      </x:c>
      <x:c r="D207" s="10" t="str">
        <x:v>From green thesis to green invention: tracing the contribution of PhDs to green technology transfer of german universities</x:v>
      </x:c>
      <x:c r="E207" s="10" t="str">
        <x:v>2026-07-21</x:v>
      </x:c>
      <x:c r="F207" s="10" t="str">
        <x:v>A</x:v>
      </x:c>
      <x:c r="G207" s="10" t="str">
        <x:v>Scientometrics</x:v>
      </x:c>
      <x:c r="H207" s="10" t="str">
        <x:v>Guido Buenstorf, Alana Hindiyeh, Johannes Koenig, Liam Paul Neumann, Burcu Ozgun</x:v>
      </x:c>
      <x:c r="I207" s="10" t="n">
        <x:v>38</x:v>
      </x:c>
      <x:c r="J207" s="10" t="str">
        <x:v>Established peer-reviewed journal</x:v>
      </x:c>
      <x:c r="K207" s="10" t="n">
        <x:v>25</x:v>
      </x:c>
      <x:c r="L207" s="10" t="str">
        <x:v>Direct EU relevance</x:v>
      </x:c>
      <x:c r="M207" s="10" t="n">
        <x:v>15</x:v>
      </x:c>
      <x:c r="N207" s="10" t="str">
        <x:v>Peer-reviewed article</x:v>
      </x:c>
      <x:c r="O207" s="10" t="n">
        <x:v>5</x:v>
      </x:c>
      <x:c r="P207" s="10" t="str">
        <x:v>peer-reviewed article</x:v>
      </x:c>
      <x:c r="Q207" s="10" t="str">
        <x:v>direct</x:v>
      </x:c>
      <x:c r="R207" s="10" t="str">
        <x:v>https://doi.org/10.1007/s11192-026-05736-5</x:v>
      </x:c>
    </x:row>
    <x:row r="208">
      <x:c r="A208" s="10" t="n">
        <x:f>RANK.EQ(B208,$B$2:$B$446,0)+COUNTIF($B$2:B208,B208)-1</x:f>
        <x:v>207</x:v>
      </x:c>
      <x:c r="B208" s="22" t="n">
        <x:f>I208+K208+M208+O208</x:f>
        <x:v>83</x:v>
      </x:c>
      <x:c r="C208" s="10" t="str">
        <x:f>IF(B208&gt;=93,"A — Highest",IF(B208&gt;=85,"B — Very strong",IF(B208&gt;=75,"C — Strong",IF(B208&gt;=65,"D — Useful","E — Supporting"))))</x:f>
        <x:v>C — Strong</x:v>
      </x:c>
      <x:c r="D208" s="10" t="str">
        <x:v>Guatemala scientific and professional diaspora in Spain: an initial characterization</x:v>
      </x:c>
      <x:c r="E208" s="10" t="str">
        <x:v>2026-07-16</x:v>
      </x:c>
      <x:c r="F208" s="10" t="str">
        <x:v>A</x:v>
      </x:c>
      <x:c r="G208" s="10" t="str">
        <x:v>Frontiers in Research Metrics and Analytics</x:v>
      </x:c>
      <x:c r="H208" s="10" t="str">
        <x:v>Kleinsy Bonilla, Claudia S. Romero-Oliva, Susana Arrechea, Juan Manuel Castillo-Zamora, Marie André Destarac</x:v>
      </x:c>
      <x:c r="I208" s="10" t="n">
        <x:v>38</x:v>
      </x:c>
      <x:c r="J208" s="10" t="str">
        <x:v>Established peer-reviewed journal</x:v>
      </x:c>
      <x:c r="K208" s="10" t="n">
        <x:v>25</x:v>
      </x:c>
      <x:c r="L208" s="10" t="str">
        <x:v>Direct EU relevance</x:v>
      </x:c>
      <x:c r="M208" s="10" t="n">
        <x:v>15</x:v>
      </x:c>
      <x:c r="N208" s="10" t="str">
        <x:v>Peer-reviewed article</x:v>
      </x:c>
      <x:c r="O208" s="10" t="n">
        <x:v>5</x:v>
      </x:c>
      <x:c r="P208" s="10" t="str">
        <x:v>peer-reviewed article</x:v>
      </x:c>
      <x:c r="Q208" s="10" t="str">
        <x:v>direct</x:v>
      </x:c>
      <x:c r="R208" s="10" t="str">
        <x:v>https://doi.org/10.3389/frma.2026.1860284</x:v>
      </x:c>
    </x:row>
    <x:row r="209">
      <x:c r="A209" s="10" t="n">
        <x:f>RANK.EQ(B209,$B$2:$B$446,0)+COUNTIF($B$2:B209,B209)-1</x:f>
        <x:v>208</x:v>
      </x:c>
      <x:c r="B209" s="22" t="n">
        <x:f>I209+K209+M209+O209</x:f>
        <x:v>83</x:v>
      </x:c>
      <x:c r="C209" s="10" t="str">
        <x:f>IF(B209&gt;=93,"A — Highest",IF(B209&gt;=85,"B — Very strong",IF(B209&gt;=75,"C — Strong",IF(B209&gt;=65,"D — Useful","E — Supporting"))))</x:f>
        <x:v>C — Strong</x:v>
      </x:c>
      <x:c r="D209" s="10" t="str">
        <x:v>After the pandemic: Optimal fiscal policies for Slovenia</x:v>
      </x:c>
      <x:c r="E209" s="10" t="str">
        <x:v>2026-07-11</x:v>
      </x:c>
      <x:c r="F209" s="10" t="str">
        <x:v>A</x:v>
      </x:c>
      <x:c r="G209" s="10" t="str">
        <x:v>Empirica</x:v>
      </x:c>
      <x:c r="H209" s="10" t="str">
        <x:v>Reinhard Neck, Dmitri Blueschke, Klaus Weyerstraß, Miroslav Verbič</x:v>
      </x:c>
      <x:c r="I209" s="10" t="n">
        <x:v>38</x:v>
      </x:c>
      <x:c r="J209" s="10" t="str">
        <x:v>Established peer-reviewed journal</x:v>
      </x:c>
      <x:c r="K209" s="10" t="n">
        <x:v>25</x:v>
      </x:c>
      <x:c r="L209" s="10" t="str">
        <x:v>Direct EU relevance</x:v>
      </x:c>
      <x:c r="M209" s="10" t="n">
        <x:v>15</x:v>
      </x:c>
      <x:c r="N209" s="10" t="str">
        <x:v>Peer-reviewed article</x:v>
      </x:c>
      <x:c r="O209" s="10" t="n">
        <x:v>5</x:v>
      </x:c>
      <x:c r="P209" s="10" t="str">
        <x:v>peer-reviewed article</x:v>
      </x:c>
      <x:c r="Q209" s="10" t="str">
        <x:v>direct</x:v>
      </x:c>
      <x:c r="R209" s="10" t="str">
        <x:v>https://doi.org/10.1007/s10663-026-09691-5</x:v>
      </x:c>
    </x:row>
    <x:row r="210">
      <x:c r="A210" s="10" t="n">
        <x:f>RANK.EQ(B210,$B$2:$B$446,0)+COUNTIF($B$2:B210,B210)-1</x:f>
        <x:v>209</x:v>
      </x:c>
      <x:c r="B210" s="22" t="n">
        <x:f>I210+K210+M210+O210</x:f>
        <x:v>83</x:v>
      </x:c>
      <x:c r="C210" s="10" t="str">
        <x:f>IF(B210&gt;=93,"A — Highest",IF(B210&gt;=85,"B — Very strong",IF(B210&gt;=75,"C — Strong",IF(B210&gt;=65,"D — Useful","E — Supporting"))))</x:f>
        <x:v>C — Strong</x:v>
      </x:c>
      <x:c r="D210" s="10" t="str">
        <x:v>Governance logics and foresight functions: European strategic foresight in contrastive perspective</x:v>
      </x:c>
      <x:c r="E210" s="10" t="str">
        <x:v>2026-07-09</x:v>
      </x:c>
      <x:c r="F210" s="10" t="str">
        <x:v>B</x:v>
      </x:c>
      <x:c r="G210" s="10" t="str">
        <x:v>European Journal of Futures Research</x:v>
      </x:c>
      <x:c r="H210" s="10" t="str">
        <x:v>Natalia Veselitskaya, Dina Malekova</x:v>
      </x:c>
      <x:c r="I210" s="10" t="n">
        <x:v>38</x:v>
      </x:c>
      <x:c r="J210" s="10" t="str">
        <x:v>Established peer-reviewed journal</x:v>
      </x:c>
      <x:c r="K210" s="10" t="n">
        <x:v>25</x:v>
      </x:c>
      <x:c r="L210" s="10" t="str">
        <x:v>Direct EU relevance</x:v>
      </x:c>
      <x:c r="M210" s="10" t="n">
        <x:v>15</x:v>
      </x:c>
      <x:c r="N210" s="10" t="str">
        <x:v>Peer-reviewed article</x:v>
      </x:c>
      <x:c r="O210" s="10" t="n">
        <x:v>5</x:v>
      </x:c>
      <x:c r="P210" s="10" t="str">
        <x:v>peer-reviewed article</x:v>
      </x:c>
      <x:c r="Q210" s="10" t="str">
        <x:v>direct</x:v>
      </x:c>
      <x:c r="R210" s="10" t="str">
        <x:v>https://doi.org/10.1186/s40309-026-00278-8</x:v>
      </x:c>
    </x:row>
    <x:row r="211">
      <x:c r="A211" s="10" t="n">
        <x:f>RANK.EQ(B211,$B$2:$B$446,0)+COUNTIF($B$2:B211,B211)-1</x:f>
        <x:v>210</x:v>
      </x:c>
      <x:c r="B211" s="22" t="n">
        <x:f>I211+K211+M211+O211</x:f>
        <x:v>83</x:v>
      </x:c>
      <x:c r="C211" s="10" t="str">
        <x:f>IF(B211&gt;=93,"A — Highest",IF(B211&gt;=85,"B — Very strong",IF(B211&gt;=75,"C — Strong",IF(B211&gt;=65,"D — Useful","E — Supporting"))))</x:f>
        <x:v>C — Strong</x:v>
      </x:c>
      <x:c r="D211" s="10" t="str">
        <x:v>Mapping Strategic Innovation Capacity and Sustainable Development in the European Union: Evidence from Grey Clustering</x:v>
      </x:c>
      <x:c r="E211" s="10" t="str">
        <x:v>2026-07-07</x:v>
      </x:c>
      <x:c r="F211" s="10" t="str">
        <x:v>A</x:v>
      </x:c>
      <x:c r="G211" s="10" t="str">
        <x:v>Sustainability</x:v>
      </x:c>
      <x:c r="H211" s="10" t="str">
        <x:v>Corina Ioanăș, Bianca-Raluca Cibu, Paul Diaconu, Florinel-Marian Sgărdea, Camelia Delcea</x:v>
      </x:c>
      <x:c r="I211" s="10" t="n">
        <x:v>38</x:v>
      </x:c>
      <x:c r="J211" s="10" t="str">
        <x:v>Established peer-reviewed journal</x:v>
      </x:c>
      <x:c r="K211" s="10" t="n">
        <x:v>25</x:v>
      </x:c>
      <x:c r="L211" s="10" t="str">
        <x:v>Direct EU relevance</x:v>
      </x:c>
      <x:c r="M211" s="10" t="n">
        <x:v>15</x:v>
      </x:c>
      <x:c r="N211" s="10" t="str">
        <x:v>Peer-reviewed article</x:v>
      </x:c>
      <x:c r="O211" s="10" t="n">
        <x:v>5</x:v>
      </x:c>
      <x:c r="P211" s="10" t="str">
        <x:v>peer-reviewed article</x:v>
      </x:c>
      <x:c r="Q211" s="10" t="str">
        <x:v>direct</x:v>
      </x:c>
      <x:c r="R211" s="10" t="str">
        <x:v>https://doi.org/10.3390/su18136912</x:v>
      </x:c>
    </x:row>
    <x:row r="212">
      <x:c r="A212" s="10" t="n">
        <x:f>RANK.EQ(B212,$B$2:$B$446,0)+COUNTIF($B$2:B212,B212)-1</x:f>
        <x:v>211</x:v>
      </x:c>
      <x:c r="B212" s="22" t="n">
        <x:f>I212+K212+M212+O212</x:f>
        <x:v>83</x:v>
      </x:c>
      <x:c r="C212" s="10" t="str">
        <x:f>IF(B212&gt;=93,"A — Highest",IF(B212&gt;=85,"B — Very strong",IF(B212&gt;=75,"C — Strong",IF(B212&gt;=65,"D — Useful","E — Supporting"))))</x:f>
        <x:v>C — Strong</x:v>
      </x:c>
      <x:c r="D212" s="10" t="str">
        <x:v>Balancing Doctor Mobility and Public Health Delivery: Human Resources for Health in Latvia</x:v>
      </x:c>
      <x:c r="E212" s="10" t="str">
        <x:v>2026-07-01</x:v>
      </x:c>
      <x:c r="F212" s="10" t="str">
        <x:v>A</x:v>
      </x:c>
      <x:c r="G212" s="10" t="str">
        <x:v>Social Inclusion</x:v>
      </x:c>
      <x:c r="H212" s="10" t="str">
        <x:v>Girts Jirgensons, Karina Palkova</x:v>
      </x:c>
      <x:c r="I212" s="10" t="n">
        <x:v>38</x:v>
      </x:c>
      <x:c r="J212" s="10" t="str">
        <x:v>Established peer-reviewed journal</x:v>
      </x:c>
      <x:c r="K212" s="10" t="n">
        <x:v>25</x:v>
      </x:c>
      <x:c r="L212" s="10" t="str">
        <x:v>Direct EU relevance</x:v>
      </x:c>
      <x:c r="M212" s="10" t="n">
        <x:v>15</x:v>
      </x:c>
      <x:c r="N212" s="10" t="str">
        <x:v>Peer-reviewed article</x:v>
      </x:c>
      <x:c r="O212" s="10" t="n">
        <x:v>5</x:v>
      </x:c>
      <x:c r="P212" s="10" t="str">
        <x:v>peer-reviewed article</x:v>
      </x:c>
      <x:c r="Q212" s="10" t="str">
        <x:v>direct</x:v>
      </x:c>
      <x:c r="R212" s="10" t="str">
        <x:v>https://doi.org/10.17645/si.12073</x:v>
      </x:c>
    </x:row>
    <x:row r="213">
      <x:c r="A213" s="10" t="n">
        <x:f>RANK.EQ(B213,$B$2:$B$446,0)+COUNTIF($B$2:B213,B213)-1</x:f>
        <x:v>212</x:v>
      </x:c>
      <x:c r="B213" s="22" t="n">
        <x:f>I213+K213+M213+O213</x:f>
        <x:v>83</x:v>
      </x:c>
      <x:c r="C213" s="10" t="str">
        <x:f>IF(B213&gt;=93,"A — Highest",IF(B213&gt;=85,"B — Very strong",IF(B213&gt;=75,"C — Strong",IF(B213&gt;=65,"D — Useful","E — Supporting"))))</x:f>
        <x:v>C — Strong</x:v>
      </x:c>
      <x:c r="D213" s="10" t="str">
        <x:v>Beyond ethics washing: evaluating the responsiveness of US, EU, and UN AI governance to expert warnings</x:v>
      </x:c>
      <x:c r="E213" s="10" t="str">
        <x:v>2026-07-01</x:v>
      </x:c>
      <x:c r="F213" s="10" t="str">
        <x:v>A</x:v>
      </x:c>
      <x:c r="G213" s="10" t="str">
        <x:v>AI and Ethics</x:v>
      </x:c>
      <x:c r="H213" s="10" t="str">
        <x:v>Mir Hasib, Lyombe Eko</x:v>
      </x:c>
      <x:c r="I213" s="10" t="n">
        <x:v>38</x:v>
      </x:c>
      <x:c r="J213" s="10" t="str">
        <x:v>Established peer-reviewed journal</x:v>
      </x:c>
      <x:c r="K213" s="10" t="n">
        <x:v>25</x:v>
      </x:c>
      <x:c r="L213" s="10" t="str">
        <x:v>Direct EU relevance</x:v>
      </x:c>
      <x:c r="M213" s="10" t="n">
        <x:v>15</x:v>
      </x:c>
      <x:c r="N213" s="10" t="str">
        <x:v>Peer-reviewed article</x:v>
      </x:c>
      <x:c r="O213" s="10" t="n">
        <x:v>5</x:v>
      </x:c>
      <x:c r="P213" s="10" t="str">
        <x:v>peer-reviewed article</x:v>
      </x:c>
      <x:c r="Q213" s="10" t="str">
        <x:v>direct</x:v>
      </x:c>
      <x:c r="R213" s="10" t="str">
        <x:v>https://doi.org/10.1007/s43681-026-01219-8</x:v>
      </x:c>
    </x:row>
    <x:row r="214">
      <x:c r="A214" s="10" t="n">
        <x:f>RANK.EQ(B214,$B$2:$B$446,0)+COUNTIF($B$2:B214,B214)-1</x:f>
        <x:v>213</x:v>
      </x:c>
      <x:c r="B214" s="22" t="n">
        <x:f>I214+K214+M214+O214</x:f>
        <x:v>83</x:v>
      </x:c>
      <x:c r="C214" s="10" t="str">
        <x:f>IF(B214&gt;=93,"A — Highest",IF(B214&gt;=85,"B — Very strong",IF(B214&gt;=75,"C — Strong",IF(B214&gt;=65,"D — Useful","E — Supporting"))))</x:f>
        <x:v>C — Strong</x:v>
      </x:c>
      <x:c r="D214" s="10" t="str">
        <x:v>Innovation in Sparse Environments: The Geographical Innovation Dilemma of The Swedish Food Industry</x:v>
      </x:c>
      <x:c r="E214" s="10" t="str">
        <x:v>2026-06-30</x:v>
      </x:c>
      <x:c r="F214" s="10" t="str">
        <x:v>A</x:v>
      </x:c>
      <x:c r="G214" s="10" t="str">
        <x:v>European Countryside</x:v>
      </x:c>
      <x:c r="H214" s="10" t="str">
        <x:v>Thomas Blom, Svante Karlsson</x:v>
      </x:c>
      <x:c r="I214" s="10" t="n">
        <x:v>38</x:v>
      </x:c>
      <x:c r="J214" s="10" t="str">
        <x:v>Established peer-reviewed journal</x:v>
      </x:c>
      <x:c r="K214" s="10" t="n">
        <x:v>25</x:v>
      </x:c>
      <x:c r="L214" s="10" t="str">
        <x:v>Direct EU relevance</x:v>
      </x:c>
      <x:c r="M214" s="10" t="n">
        <x:v>15</x:v>
      </x:c>
      <x:c r="N214" s="10" t="str">
        <x:v>Peer-reviewed article</x:v>
      </x:c>
      <x:c r="O214" s="10" t="n">
        <x:v>5</x:v>
      </x:c>
      <x:c r="P214" s="10" t="str">
        <x:v>peer-reviewed article</x:v>
      </x:c>
      <x:c r="Q214" s="10" t="str">
        <x:v>direct</x:v>
      </x:c>
      <x:c r="R214" s="10" t="str">
        <x:v>https://doi.org/10.2478/euco-2026-0015</x:v>
      </x:c>
    </x:row>
    <x:row r="215">
      <x:c r="A215" s="10" t="n">
        <x:f>RANK.EQ(B215,$B$2:$B$446,0)+COUNTIF($B$2:B215,B215)-1</x:f>
        <x:v>214</x:v>
      </x:c>
      <x:c r="B215" s="22" t="n">
        <x:f>I215+K215+M215+O215</x:f>
        <x:v>83</x:v>
      </x:c>
      <x:c r="C215" s="10" t="str">
        <x:f>IF(B215&gt;=93,"A — Highest",IF(B215&gt;=85,"B — Very strong",IF(B215&gt;=75,"C — Strong",IF(B215&gt;=65,"D — Useful","E — Supporting"))))</x:f>
        <x:v>C — Strong</x:v>
      </x:c>
      <x:c r="D215" s="10" t="str">
        <x:v>Rethinking technological complexity and investment: a sectoral analysis in the EU 1995–2020</x:v>
      </x:c>
      <x:c r="E215" s="10" t="str">
        <x:v>2026-06-18</x:v>
      </x:c>
      <x:c r="F215" s="10" t="str">
        <x:v>A</x:v>
      </x:c>
      <x:c r="G215" s="10" t="str">
        <x:v>Review of Evolutionary Political Economy</x:v>
      </x:c>
      <x:c r="H215" s="10" t="str">
        <x:v>Giannis Vrettos, Theofanis Papageorgiou</x:v>
      </x:c>
      <x:c r="I215" s="10" t="n">
        <x:v>38</x:v>
      </x:c>
      <x:c r="J215" s="10" t="str">
        <x:v>Established peer-reviewed journal</x:v>
      </x:c>
      <x:c r="K215" s="10" t="n">
        <x:v>25</x:v>
      </x:c>
      <x:c r="L215" s="10" t="str">
        <x:v>Direct EU relevance</x:v>
      </x:c>
      <x:c r="M215" s="10" t="n">
        <x:v>15</x:v>
      </x:c>
      <x:c r="N215" s="10" t="str">
        <x:v>Peer-reviewed article</x:v>
      </x:c>
      <x:c r="O215" s="10" t="n">
        <x:v>5</x:v>
      </x:c>
      <x:c r="P215" s="10" t="str">
        <x:v>peer-reviewed article</x:v>
      </x:c>
      <x:c r="Q215" s="10" t="str">
        <x:v>direct</x:v>
      </x:c>
      <x:c r="R215" s="10" t="str">
        <x:v>https://doi.org/10.1007/s43253-026-00186-4</x:v>
      </x:c>
    </x:row>
    <x:row r="216">
      <x:c r="A216" s="10" t="n">
        <x:f>RANK.EQ(B216,$B$2:$B$446,0)+COUNTIF($B$2:B216,B216)-1</x:f>
        <x:v>215</x:v>
      </x:c>
      <x:c r="B216" s="22" t="n">
        <x:f>I216+K216+M216+O216</x:f>
        <x:v>83</x:v>
      </x:c>
      <x:c r="C216" s="10" t="str">
        <x:f>IF(B216&gt;=93,"A — Highest",IF(B216&gt;=85,"B — Very strong",IF(B216&gt;=75,"C — Strong",IF(B216&gt;=65,"D — Useful","E — Supporting"))))</x:f>
        <x:v>C — Strong</x:v>
      </x:c>
      <x:c r="D216" s="10" t="str">
        <x:v>Making Soils into Carbon Sinks: A Sociology of Soil Carbon Quantification Through a French Model</x:v>
      </x:c>
      <x:c r="E216" s="10" t="str">
        <x:v>2026-06-12</x:v>
      </x:c>
      <x:c r="F216" s="10" t="str">
        <x:v>A</x:v>
      </x:c>
      <x:c r="G216" s="10" t="str">
        <x:v>Science, Technology, &amp; Human Values</x:v>
      </x:c>
      <x:c r="H216" s="10" t="str">
        <x:v>Céline Granjou, Hélène Guillemot, Laure Manach, Robin Leclerc, Antoine Doré, Léo Magnin, Stéphanie Barral</x:v>
      </x:c>
      <x:c r="I216" s="10" t="n">
        <x:v>38</x:v>
      </x:c>
      <x:c r="J216" s="10" t="str">
        <x:v>Established peer-reviewed journal</x:v>
      </x:c>
      <x:c r="K216" s="10" t="n">
        <x:v>25</x:v>
      </x:c>
      <x:c r="L216" s="10" t="str">
        <x:v>Direct EU relevance</x:v>
      </x:c>
      <x:c r="M216" s="10" t="n">
        <x:v>15</x:v>
      </x:c>
      <x:c r="N216" s="10" t="str">
        <x:v>Peer-reviewed article</x:v>
      </x:c>
      <x:c r="O216" s="10" t="n">
        <x:v>5</x:v>
      </x:c>
      <x:c r="P216" s="10" t="str">
        <x:v>peer-reviewed article</x:v>
      </x:c>
      <x:c r="Q216" s="10" t="str">
        <x:v>direct</x:v>
      </x:c>
      <x:c r="R216" s="10" t="str">
        <x:v>https://doi.org/10.1177/01622439261454869</x:v>
      </x:c>
    </x:row>
    <x:row r="217">
      <x:c r="A217" s="10" t="n">
        <x:f>RANK.EQ(B217,$B$2:$B$446,0)+COUNTIF($B$2:B217,B217)-1</x:f>
        <x:v>216</x:v>
      </x:c>
      <x:c r="B217" s="22" t="n">
        <x:f>I217+K217+M217+O217</x:f>
        <x:v>83</x:v>
      </x:c>
      <x:c r="C217" s="10" t="str">
        <x:f>IF(B217&gt;=93,"A — Highest",IF(B217&gt;=85,"B — Very strong",IF(B217&gt;=75,"C — Strong",IF(B217&gt;=65,"D — Useful","E — Supporting"))))</x:f>
        <x:v>C — Strong</x:v>
      </x:c>
      <x:c r="D217" s="10" t="str">
        <x:v>Bayesian dynamic analysis on innovation adjustment to SME human capital capacity in EU regions</x:v>
      </x:c>
      <x:c r="E217" s="10" t="str">
        <x:v>2026-06-06</x:v>
      </x:c>
      <x:c r="F217" s="10" t="str">
        <x:v>A</x:v>
      </x:c>
      <x:c r="G217" s="10" t="str">
        <x:v>The Journal of Technology Transfer</x:v>
      </x:c>
      <x:c r="H217" s="10" t="str">
        <x:v>Emmanuel Mamatzakis, Christos Staikouras, Constantinos Tsamadias</x:v>
      </x:c>
      <x:c r="I217" s="10" t="n">
        <x:v>38</x:v>
      </x:c>
      <x:c r="J217" s="10" t="str">
        <x:v>Established peer-reviewed journal</x:v>
      </x:c>
      <x:c r="K217" s="10" t="n">
        <x:v>25</x:v>
      </x:c>
      <x:c r="L217" s="10" t="str">
        <x:v>Direct EU relevance</x:v>
      </x:c>
      <x:c r="M217" s="10" t="n">
        <x:v>15</x:v>
      </x:c>
      <x:c r="N217" s="10" t="str">
        <x:v>Peer-reviewed article</x:v>
      </x:c>
      <x:c r="O217" s="10" t="n">
        <x:v>5</x:v>
      </x:c>
      <x:c r="P217" s="10" t="str">
        <x:v>peer-reviewed article</x:v>
      </x:c>
      <x:c r="Q217" s="10" t="str">
        <x:v>direct</x:v>
      </x:c>
      <x:c r="R217" s="10" t="str">
        <x:v>https://doi.org/10.1007/s10961-026-10348-5</x:v>
      </x:c>
    </x:row>
    <x:row r="218">
      <x:c r="A218" s="10" t="n">
        <x:f>RANK.EQ(B218,$B$2:$B$446,0)+COUNTIF($B$2:B218,B218)-1</x:f>
        <x:v>217</x:v>
      </x:c>
      <x:c r="B218" s="22" t="n">
        <x:f>I218+K218+M218+O218</x:f>
        <x:v>83</x:v>
      </x:c>
      <x:c r="C218" s="10" t="str">
        <x:f>IF(B218&gt;=93,"A — Highest",IF(B218&gt;=85,"B — Very strong",IF(B218&gt;=75,"C — Strong",IF(B218&gt;=65,"D — Useful","E — Supporting"))))</x:f>
        <x:v>C — Strong</x:v>
      </x:c>
      <x:c r="D218" s="10" t="str">
        <x:v>Economic polarization in the European Union: development models in the race for the best location</x:v>
      </x:c>
      <x:c r="E218" s="10" t="str">
        <x:v>2026-06-06</x:v>
      </x:c>
      <x:c r="F218" s="10" t="str">
        <x:v>A</x:v>
      </x:c>
      <x:c r="G218" s="10" t="str">
        <x:v>Review of Evolutionary Political Economy</x:v>
      </x:c>
      <x:c r="H218" s="10" t="str">
        <x:v>Jonas Dominy, Claudius Gräbner-Radkowitsch, Philipp Heimberger, Jakob Kapeller</x:v>
      </x:c>
      <x:c r="I218" s="10" t="n">
        <x:v>38</x:v>
      </x:c>
      <x:c r="J218" s="10" t="str">
        <x:v>Established peer-reviewed journal</x:v>
      </x:c>
      <x:c r="K218" s="10" t="n">
        <x:v>25</x:v>
      </x:c>
      <x:c r="L218" s="10" t="str">
        <x:v>Direct EU relevance</x:v>
      </x:c>
      <x:c r="M218" s="10" t="n">
        <x:v>15</x:v>
      </x:c>
      <x:c r="N218" s="10" t="str">
        <x:v>Peer-reviewed article</x:v>
      </x:c>
      <x:c r="O218" s="10" t="n">
        <x:v>5</x:v>
      </x:c>
      <x:c r="P218" s="10" t="str">
        <x:v>peer-reviewed article</x:v>
      </x:c>
      <x:c r="Q218" s="10" t="str">
        <x:v>direct</x:v>
      </x:c>
      <x:c r="R218" s="10" t="str">
        <x:v>https://doi.org/10.1007/s43253-026-00180-w</x:v>
      </x:c>
    </x:row>
    <x:row r="219">
      <x:c r="A219" s="10" t="n">
        <x:f>RANK.EQ(B219,$B$2:$B$446,0)+COUNTIF($B$2:B219,B219)-1</x:f>
        <x:v>218</x:v>
      </x:c>
      <x:c r="B219" s="22" t="n">
        <x:f>I219+K219+M219+O219</x:f>
        <x:v>83</x:v>
      </x:c>
      <x:c r="C219" s="10" t="str">
        <x:f>IF(B219&gt;=93,"A — Highest",IF(B219&gt;=85,"B — Very strong",IF(B219&gt;=75,"C — Strong",IF(B219&gt;=65,"D — Useful","E — Supporting"))))</x:f>
        <x:v>C — Strong</x:v>
      </x:c>
      <x:c r="D219" s="10" t="str">
        <x:v>Influence of Environmental Research and Development (R&amp;D) on the Sustainability Performance of Listed Non-Financial Firms on the Frankfurt Stock Exchange, Germany</x:v>
      </x:c>
      <x:c r="E219" s="10" t="str">
        <x:v>2026-06-01</x:v>
      </x:c>
      <x:c r="F219" s="10" t="str">
        <x:v>A</x:v>
      </x:c>
      <x:c r="G219" s="10" t="str">
        <x:v>Sustainability</x:v>
      </x:c>
      <x:c r="H219" s="10" t="str">
        <x:v>Abduala A. Ali Almaryoul, Opeoluwa Seun Ojekemi</x:v>
      </x:c>
      <x:c r="I219" s="10" t="n">
        <x:v>38</x:v>
      </x:c>
      <x:c r="J219" s="10" t="str">
        <x:v>Established peer-reviewed journal</x:v>
      </x:c>
      <x:c r="K219" s="10" t="n">
        <x:v>25</x:v>
      </x:c>
      <x:c r="L219" s="10" t="str">
        <x:v>Direct EU relevance</x:v>
      </x:c>
      <x:c r="M219" s="10" t="n">
        <x:v>15</x:v>
      </x:c>
      <x:c r="N219" s="10" t="str">
        <x:v>Peer-reviewed article</x:v>
      </x:c>
      <x:c r="O219" s="10" t="n">
        <x:v>5</x:v>
      </x:c>
      <x:c r="P219" s="10" t="str">
        <x:v>peer-reviewed article</x:v>
      </x:c>
      <x:c r="Q219" s="10" t="str">
        <x:v>direct</x:v>
      </x:c>
      <x:c r="R219" s="10" t="str">
        <x:v>https://doi.org/10.3390/su18115572</x:v>
      </x:c>
    </x:row>
    <x:row r="220">
      <x:c r="A220" s="10" t="n">
        <x:f>RANK.EQ(B220,$B$2:$B$446,0)+COUNTIF($B$2:B220,B220)-1</x:f>
        <x:v>219</x:v>
      </x:c>
      <x:c r="B220" s="22" t="n">
        <x:f>I220+K220+M220+O220</x:f>
        <x:v>83</x:v>
      </x:c>
      <x:c r="C220" s="10" t="str">
        <x:f>IF(B220&gt;=93,"A — Highest",IF(B220&gt;=85,"B — Very strong",IF(B220&gt;=75,"C — Strong",IF(B220&gt;=65,"D — Useful","E — Supporting"))))</x:f>
        <x:v>C — Strong</x:v>
      </x:c>
      <x:c r="D220" s="10" t="str">
        <x:v>Triangle of inequalities: gender, research funding and open access in Spain</x:v>
      </x:c>
      <x:c r="E220" s="10" t="str">
        <x:v>2026-05-29</x:v>
      </x:c>
      <x:c r="F220" s="10" t="str">
        <x:v>A</x:v>
      </x:c>
      <x:c r="G220" s="10" t="str">
        <x:v>Scientometrics</x:v>
      </x:c>
      <x:c r="H220" s="10" t="str">
        <x:v>Elvira González-Salmón, Zaida Chinchilla-Rodríguez</x:v>
      </x:c>
      <x:c r="I220" s="10" t="n">
        <x:v>38</x:v>
      </x:c>
      <x:c r="J220" s="10" t="str">
        <x:v>Established peer-reviewed journal</x:v>
      </x:c>
      <x:c r="K220" s="10" t="n">
        <x:v>25</x:v>
      </x:c>
      <x:c r="L220" s="10" t="str">
        <x:v>Direct EU relevance</x:v>
      </x:c>
      <x:c r="M220" s="10" t="n">
        <x:v>15</x:v>
      </x:c>
      <x:c r="N220" s="10" t="str">
        <x:v>Peer-reviewed article</x:v>
      </x:c>
      <x:c r="O220" s="10" t="n">
        <x:v>5</x:v>
      </x:c>
      <x:c r="P220" s="10" t="str">
        <x:v>peer-reviewed article</x:v>
      </x:c>
      <x:c r="Q220" s="10" t="str">
        <x:v>direct</x:v>
      </x:c>
      <x:c r="R220" s="10" t="str">
        <x:v>https://doi.org/10.1007/s11192-026-05629-7</x:v>
      </x:c>
    </x:row>
    <x:row r="221">
      <x:c r="A221" s="10" t="n">
        <x:f>RANK.EQ(B221,$B$2:$B$446,0)+COUNTIF($B$2:B221,B221)-1</x:f>
        <x:v>220</x:v>
      </x:c>
      <x:c r="B221" s="22" t="n">
        <x:f>I221+K221+M221+O221</x:f>
        <x:v>83</x:v>
      </x:c>
      <x:c r="C221" s="10" t="str">
        <x:f>IF(B221&gt;=93,"A — Highest",IF(B221&gt;=85,"B — Very strong",IF(B221&gt;=75,"C — Strong",IF(B221&gt;=65,"D — Useful","E — Supporting"))))</x:f>
        <x:v>C — Strong</x:v>
      </x:c>
      <x:c r="D221" s="10" t="str">
        <x:v>International collaboration in research: insights from pharmaceutical multinationals</x:v>
      </x:c>
      <x:c r="E221" s="10" t="str">
        <x:v>2026-05-20</x:v>
      </x:c>
      <x:c r="F221" s="10" t="str">
        <x:v>A</x:v>
      </x:c>
      <x:c r="G221" s="10" t="str">
        <x:v>The Journal of Technology Transfer</x:v>
      </x:c>
      <x:c r="H221" s="10" t="str">
        <x:v>Marzenna Anna Weresa, Artur Franciszek Tomeczek, Scott William Hegerty</x:v>
      </x:c>
      <x:c r="I221" s="10" t="n">
        <x:v>38</x:v>
      </x:c>
      <x:c r="J221" s="10" t="str">
        <x:v>Established peer-reviewed journal</x:v>
      </x:c>
      <x:c r="K221" s="10" t="n">
        <x:v>25</x:v>
      </x:c>
      <x:c r="L221" s="10" t="str">
        <x:v>Direct EU relevance</x:v>
      </x:c>
      <x:c r="M221" s="10" t="n">
        <x:v>15</x:v>
      </x:c>
      <x:c r="N221" s="10" t="str">
        <x:v>Peer-reviewed article</x:v>
      </x:c>
      <x:c r="O221" s="10" t="n">
        <x:v>5</x:v>
      </x:c>
      <x:c r="P221" s="10" t="str">
        <x:v>peer-reviewed article</x:v>
      </x:c>
      <x:c r="Q221" s="10" t="str">
        <x:v>direct</x:v>
      </x:c>
      <x:c r="R221" s="10" t="str">
        <x:v>https://doi.org/10.1007/s10961-026-10330-1</x:v>
      </x:c>
    </x:row>
    <x:row r="222">
      <x:c r="A222" s="10" t="n">
        <x:f>RANK.EQ(B222,$B$2:$B$446,0)+COUNTIF($B$2:B222,B222)-1</x:f>
        <x:v>221</x:v>
      </x:c>
      <x:c r="B222" s="22" t="n">
        <x:f>I222+K222+M222+O222</x:f>
        <x:v>83</x:v>
      </x:c>
      <x:c r="C222" s="10" t="str">
        <x:f>IF(B222&gt;=93,"A — Highest",IF(B222&gt;=85,"B — Very strong",IF(B222&gt;=75,"C — Strong",IF(B222&gt;=65,"D — Useful","E — Supporting"))))</x:f>
        <x:v>C — Strong</x:v>
      </x:c>
      <x:c r="D222" s="10" t="str">
        <x:v>Wires, Patents and Growth: An Explainable Machine Learning Approach for What Drives Digital Competitiveness in the European Union</x:v>
      </x:c>
      <x:c r="E222" s="10" t="str">
        <x:v>2026-05-19</x:v>
      </x:c>
      <x:c r="F222" s="10" t="str">
        <x:v>A</x:v>
      </x:c>
      <x:c r="G222" s="10" t="str">
        <x:v>Electronics</x:v>
      </x:c>
      <x:c r="H222" s="10" t="str">
        <x:v>Rareș Mihai Nițu, Raluca Iuliana Georgescu, Dumitru Alexandru Bodislav, Loredana Maria Popescu, Cristina Voicu, Andrei Josan</x:v>
      </x:c>
      <x:c r="I222" s="10" t="n">
        <x:v>38</x:v>
      </x:c>
      <x:c r="J222" s="10" t="str">
        <x:v>Established peer-reviewed journal</x:v>
      </x:c>
      <x:c r="K222" s="10" t="n">
        <x:v>25</x:v>
      </x:c>
      <x:c r="L222" s="10" t="str">
        <x:v>Direct EU relevance</x:v>
      </x:c>
      <x:c r="M222" s="10" t="n">
        <x:v>15</x:v>
      </x:c>
      <x:c r="N222" s="10" t="str">
        <x:v>Peer-reviewed article</x:v>
      </x:c>
      <x:c r="O222" s="10" t="n">
        <x:v>5</x:v>
      </x:c>
      <x:c r="P222" s="10" t="str">
        <x:v>peer-reviewed article</x:v>
      </x:c>
      <x:c r="Q222" s="10" t="str">
        <x:v>direct</x:v>
      </x:c>
      <x:c r="R222" s="10" t="str">
        <x:v>https://doi.org/10.3390/electronics15102190</x:v>
      </x:c>
    </x:row>
    <x:row r="223">
      <x:c r="A223" s="10" t="n">
        <x:f>RANK.EQ(B223,$B$2:$B$446,0)+COUNTIF($B$2:B223,B223)-1</x:f>
        <x:v>222</x:v>
      </x:c>
      <x:c r="B223" s="22" t="n">
        <x:f>I223+K223+M223+O223</x:f>
        <x:v>83</x:v>
      </x:c>
      <x:c r="C223" s="10" t="str">
        <x:f>IF(B223&gt;=93,"A — Highest",IF(B223&gt;=85,"B — Very strong",IF(B223&gt;=75,"C — Strong",IF(B223&gt;=65,"D — Useful","E — Supporting"))))</x:f>
        <x:v>C — Strong</x:v>
      </x:c>
      <x:c r="D223" s="10" t="str">
        <x:v>Responsible Artificial Intelligence for Earth observation: human rights and the EU AI act</x:v>
      </x:c>
      <x:c r="E223" s="10" t="str">
        <x:v>2026-05-15</x:v>
      </x:c>
      <x:c r="F223" s="10" t="str">
        <x:v>A</x:v>
      </x:c>
      <x:c r="G223" s="10" t="str">
        <x:v>AI and Ethics</x:v>
      </x:c>
      <x:c r="H223" s="10" t="str">
        <x:v>Caroline Margaux Gevaert, Sanja Šćepanović, Nadia Bernaz, Hannes Taubenböck, Mrinalini Kochupillai</x:v>
      </x:c>
      <x:c r="I223" s="10" t="n">
        <x:v>38</x:v>
      </x:c>
      <x:c r="J223" s="10" t="str">
        <x:v>Established peer-reviewed journal</x:v>
      </x:c>
      <x:c r="K223" s="10" t="n">
        <x:v>25</x:v>
      </x:c>
      <x:c r="L223" s="10" t="str">
        <x:v>Direct EU relevance</x:v>
      </x:c>
      <x:c r="M223" s="10" t="n">
        <x:v>15</x:v>
      </x:c>
      <x:c r="N223" s="10" t="str">
        <x:v>Peer-reviewed article</x:v>
      </x:c>
      <x:c r="O223" s="10" t="n">
        <x:v>5</x:v>
      </x:c>
      <x:c r="P223" s="10" t="str">
        <x:v>peer-reviewed article</x:v>
      </x:c>
      <x:c r="Q223" s="10" t="str">
        <x:v>direct</x:v>
      </x:c>
      <x:c r="R223" s="10" t="str">
        <x:v>https://doi.org/10.1007/s43681-026-01149-5</x:v>
      </x:c>
    </x:row>
    <x:row r="224">
      <x:c r="A224" s="10" t="n">
        <x:f>RANK.EQ(B224,$B$2:$B$446,0)+COUNTIF($B$2:B224,B224)-1</x:f>
        <x:v>223</x:v>
      </x:c>
      <x:c r="B224" s="22" t="n">
        <x:f>I224+K224+M224+O224</x:f>
        <x:v>83</x:v>
      </x:c>
      <x:c r="C224" s="10" t="str">
        <x:f>IF(B224&gt;=93,"A — Highest",IF(B224&gt;=85,"B — Very strong",IF(B224&gt;=75,"C — Strong",IF(B224&gt;=65,"D — Useful","E — Supporting"))))</x:f>
        <x:v>C — Strong</x:v>
      </x:c>
      <x:c r="D224" s="10" t="str">
        <x:v>Path-dependent energy innovation under carbon pricing and subsidy policies: challenges for Europe’s net-zero transition</x:v>
      </x:c>
      <x:c r="E224" s="10" t="str">
        <x:v>2026-05-14</x:v>
      </x:c>
      <x:c r="F224" s="10" t="str">
        <x:v>A</x:v>
      </x:c>
      <x:c r="G224" s="10" t="str">
        <x:v>Empirica</x:v>
      </x:c>
      <x:c r="H224" s="10" t="str">
        <x:v>Bilal Çayır, Onur Yeni</x:v>
      </x:c>
      <x:c r="I224" s="10" t="n">
        <x:v>38</x:v>
      </x:c>
      <x:c r="J224" s="10" t="str">
        <x:v>Established peer-reviewed journal</x:v>
      </x:c>
      <x:c r="K224" s="10" t="n">
        <x:v>25</x:v>
      </x:c>
      <x:c r="L224" s="10" t="str">
        <x:v>Direct EU relevance</x:v>
      </x:c>
      <x:c r="M224" s="10" t="n">
        <x:v>15</x:v>
      </x:c>
      <x:c r="N224" s="10" t="str">
        <x:v>Peer-reviewed article</x:v>
      </x:c>
      <x:c r="O224" s="10" t="n">
        <x:v>5</x:v>
      </x:c>
      <x:c r="P224" s="10" t="str">
        <x:v>peer-reviewed article</x:v>
      </x:c>
      <x:c r="Q224" s="10" t="str">
        <x:v>direct</x:v>
      </x:c>
      <x:c r="R224" s="10" t="str">
        <x:v>https://doi.org/10.1007/s10663-026-09683-5</x:v>
      </x:c>
    </x:row>
    <x:row r="225">
      <x:c r="A225" s="10" t="n">
        <x:f>RANK.EQ(B225,$B$2:$B$446,0)+COUNTIF($B$2:B225,B225)-1</x:f>
        <x:v>224</x:v>
      </x:c>
      <x:c r="B225" s="22" t="n">
        <x:f>I225+K225+M225+O225</x:f>
        <x:v>83</x:v>
      </x:c>
      <x:c r="C225" s="10" t="str">
        <x:f>IF(B225&gt;=93,"A — Highest",IF(B225&gt;=85,"B — Very strong",IF(B225&gt;=75,"C — Strong",IF(B225&gt;=65,"D — Useful","E — Supporting"))))</x:f>
        <x:v>C — Strong</x:v>
      </x:c>
      <x:c r="D225" s="10" t="str">
        <x:v>Reputation Management: Exploring the Commission's Communication on Innovation</x:v>
      </x:c>
      <x:c r="E225" s="10" t="str">
        <x:v>2026-05-10</x:v>
      </x:c>
      <x:c r="F225" s="10" t="str">
        <x:v>A</x:v>
      </x:c>
      <x:c r="G225" s="10" t="str">
        <x:v>JCMS: Journal of Common Market Studies</x:v>
      </x:c>
      <x:c r="H225" s="10" t="str">
        <x:v>Valentina Amuso</x:v>
      </x:c>
      <x:c r="I225" s="10" t="n">
        <x:v>38</x:v>
      </x:c>
      <x:c r="J225" s="10" t="str">
        <x:v>Established peer-reviewed journal</x:v>
      </x:c>
      <x:c r="K225" s="10" t="n">
        <x:v>25</x:v>
      </x:c>
      <x:c r="L225" s="10" t="str">
        <x:v>Direct EU relevance</x:v>
      </x:c>
      <x:c r="M225" s="10" t="n">
        <x:v>15</x:v>
      </x:c>
      <x:c r="N225" s="10" t="str">
        <x:v>Peer-reviewed article</x:v>
      </x:c>
      <x:c r="O225" s="10" t="n">
        <x:v>5</x:v>
      </x:c>
      <x:c r="P225" s="10" t="str">
        <x:v>peer-reviewed article</x:v>
      </x:c>
      <x:c r="Q225" s="10" t="str">
        <x:v>direct</x:v>
      </x:c>
      <x:c r="R225" s="10" t="str">
        <x:v>https://doi.org/10.1111/jcms.70103</x:v>
      </x:c>
    </x:row>
    <x:row r="226">
      <x:c r="A226" s="10" t="n">
        <x:f>RANK.EQ(B226,$B$2:$B$446,0)+COUNTIF($B$2:B226,B226)-1</x:f>
        <x:v>225</x:v>
      </x:c>
      <x:c r="B226" s="22" t="n">
        <x:f>I226+K226+M226+O226</x:f>
        <x:v>83</x:v>
      </x:c>
      <x:c r="C226" s="10" t="str">
        <x:f>IF(B226&gt;=93,"A — Highest",IF(B226&gt;=85,"B — Very strong",IF(B226&gt;=75,"C — Strong",IF(B226&gt;=65,"D — Useful","E — Supporting"))))</x:f>
        <x:v>C — Strong</x:v>
      </x:c>
      <x:c r="D226" s="10" t="str">
        <x:v>Evolving Scientific Collaboration Among EU Member States, Candidate Countries and Global Partners: 2000–2024</x:v>
      </x:c>
      <x:c r="E226" s="10" t="str">
        <x:v>2026-05-05</x:v>
      </x:c>
      <x:c r="F226" s="10" t="str">
        <x:v>A</x:v>
      </x:c>
      <x:c r="G226" s="10" t="str">
        <x:v>Journal of Data and Information Science</x:v>
      </x:c>
      <x:c r="H226" s="10" t="str">
        <x:v>Myroslava Hladchenko</x:v>
      </x:c>
      <x:c r="I226" s="10" t="n">
        <x:v>38</x:v>
      </x:c>
      <x:c r="J226" s="10" t="str">
        <x:v>Established peer-reviewed journal</x:v>
      </x:c>
      <x:c r="K226" s="10" t="n">
        <x:v>25</x:v>
      </x:c>
      <x:c r="L226" s="10" t="str">
        <x:v>Direct EU relevance</x:v>
      </x:c>
      <x:c r="M226" s="10" t="n">
        <x:v>15</x:v>
      </x:c>
      <x:c r="N226" s="10" t="str">
        <x:v>Peer-reviewed article</x:v>
      </x:c>
      <x:c r="O226" s="10" t="n">
        <x:v>5</x:v>
      </x:c>
      <x:c r="P226" s="10" t="str">
        <x:v>peer-reviewed article</x:v>
      </x:c>
      <x:c r="Q226" s="10" t="str">
        <x:v>direct</x:v>
      </x:c>
      <x:c r="R226" s="10" t="str">
        <x:v>https://doi.org/10.1515/jdis-2025-0374</x:v>
      </x:c>
    </x:row>
    <x:row r="227">
      <x:c r="A227" s="10" t="n">
        <x:f>RANK.EQ(B227,$B$2:$B$446,0)+COUNTIF($B$2:B227,B227)-1</x:f>
        <x:v>226</x:v>
      </x:c>
      <x:c r="B227" s="22" t="n">
        <x:f>I227+K227+M227+O227</x:f>
        <x:v>83</x:v>
      </x:c>
      <x:c r="C227" s="10" t="str">
        <x:f>IF(B227&gt;=93,"A — Highest",IF(B227&gt;=85,"B — Very strong",IF(B227&gt;=75,"C — Strong",IF(B227&gt;=65,"D — Useful","E — Supporting"))))</x:f>
        <x:v>C — Strong</x:v>
      </x:c>
      <x:c r="D227" s="10" t="str">
        <x:v>When barriers enable: reconsidering the role of innovation constraints in Central and Eastern European economies</x:v>
      </x:c>
      <x:c r="E227" s="10" t="str">
        <x:v>2026-05-04</x:v>
      </x:c>
      <x:c r="F227" s="10" t="str">
        <x:v>A</x:v>
      </x:c>
      <x:c r="G227" s="10" t="str">
        <x:v>European Journal of Innovation Management</x:v>
      </x:c>
      <x:c r="H227" s="10" t="str">
        <x:v>Dominika Brozkova, Tarlan Ahmadov, Marek Brokes, Cali Nuur, Viktor Prokop</x:v>
      </x:c>
      <x:c r="I227" s="10" t="n">
        <x:v>38</x:v>
      </x:c>
      <x:c r="J227" s="10" t="str">
        <x:v>Established peer-reviewed journal</x:v>
      </x:c>
      <x:c r="K227" s="10" t="n">
        <x:v>25</x:v>
      </x:c>
      <x:c r="L227" s="10" t="str">
        <x:v>Direct EU relevance</x:v>
      </x:c>
      <x:c r="M227" s="10" t="n">
        <x:v>15</x:v>
      </x:c>
      <x:c r="N227" s="10" t="str">
        <x:v>Peer-reviewed article</x:v>
      </x:c>
      <x:c r="O227" s="10" t="n">
        <x:v>5</x:v>
      </x:c>
      <x:c r="P227" s="10" t="str">
        <x:v>peer-reviewed article</x:v>
      </x:c>
      <x:c r="Q227" s="10" t="str">
        <x:v>direct</x:v>
      </x:c>
      <x:c r="R227" s="10" t="str">
        <x:v>https://doi.org/10.1108/ejim-12-2025-1649</x:v>
      </x:c>
    </x:row>
    <x:row r="228">
      <x:c r="A228" s="10" t="n">
        <x:f>RANK.EQ(B228,$B$2:$B$446,0)+COUNTIF($B$2:B228,B228)-1</x:f>
        <x:v>227</x:v>
      </x:c>
      <x:c r="B228" s="22" t="n">
        <x:f>I228+K228+M228+O228</x:f>
        <x:v>83</x:v>
      </x:c>
      <x:c r="C228" s="10" t="str">
        <x:f>IF(B228&gt;=93,"A — Highest",IF(B228&gt;=85,"B — Very strong",IF(B228&gt;=75,"C — Strong",IF(B228&gt;=65,"D — Useful","E — Supporting"))))</x:f>
        <x:v>C — Strong</x:v>
      </x:c>
      <x:c r="D228" s="10" t="str">
        <x:v>Investment Screening and Technology Transfers in the Times of Geopolitical Upheaval</x:v>
      </x:c>
      <x:c r="E228" s="10" t="str">
        <x:v>2026-05-01</x:v>
      </x:c>
      <x:c r="F228" s="10" t="str">
        <x:v>A</x:v>
      </x:c>
      <x:c r="G228" s="10" t="str">
        <x:v>Legal Issues of Economic Integration</x:v>
      </x:c>
      <x:c r="H228" s="10" t="str">
        <x:v>Szilárd Gáspár-Szilágyi</x:v>
      </x:c>
      <x:c r="I228" s="10" t="n">
        <x:v>38</x:v>
      </x:c>
      <x:c r="J228" s="10" t="str">
        <x:v>Established peer-reviewed journal</x:v>
      </x:c>
      <x:c r="K228" s="10" t="n">
        <x:v>25</x:v>
      </x:c>
      <x:c r="L228" s="10" t="str">
        <x:v>Direct EU relevance</x:v>
      </x:c>
      <x:c r="M228" s="10" t="n">
        <x:v>15</x:v>
      </x:c>
      <x:c r="N228" s="10" t="str">
        <x:v>Peer-reviewed article</x:v>
      </x:c>
      <x:c r="O228" s="10" t="n">
        <x:v>5</x:v>
      </x:c>
      <x:c r="P228" s="10" t="str">
        <x:v>peer-reviewed article</x:v>
      </x:c>
      <x:c r="Q228" s="10" t="str">
        <x:v>direct</x:v>
      </x:c>
      <x:c r="R228" s="10" t="str">
        <x:v>https://doi.org/10.54648/leie2026014</x:v>
      </x:c>
    </x:row>
    <x:row r="229">
      <x:c r="A229" s="10" t="n">
        <x:f>RANK.EQ(B229,$B$2:$B$446,0)+COUNTIF($B$2:B229,B229)-1</x:f>
        <x:v>228</x:v>
      </x:c>
      <x:c r="B229" s="22" t="n">
        <x:f>I229+K229+M229+O229</x:f>
        <x:v>82</x:v>
      </x:c>
      <x:c r="C229" s="10" t="str">
        <x:f>IF(B229&gt;=93,"A — Highest",IF(B229&gt;=85,"B — Very strong",IF(B229&gt;=75,"C — Strong",IF(B229&gt;=65,"D — Useful","E — Supporting"))))</x:f>
        <x:v>C — Strong</x:v>
      </x:c>
      <x:c r="D229" s="10" t="str">
        <x:v>European industrial policy: promoting innovation ecosystems and safeguarding open strategic autonomy</x:v>
      </x:c>
      <x:c r="E229" s="10" t="str">
        <x:v>2026-07-14</x:v>
      </x:c>
      <x:c r="F229" s="10" t="str">
        <x:v>A</x:v>
      </x:c>
      <x:c r="G229" s="10" t="str">
        <x:v>Edward Elgar Publishing</x:v>
      </x:c>
      <x:c r="H229" s="10" t="str">
        <x:v>Francesca Spigarelli; Lorenzo Compagnucci; Dominique Lepore</x:v>
      </x:c>
      <x:c r="I229" s="10" t="n">
        <x:v>38</x:v>
      </x:c>
      <x:c r="J229" s="10" t="str">
        <x:v>Established academic publisher</x:v>
      </x:c>
      <x:c r="K229" s="10" t="n">
        <x:v>25</x:v>
      </x:c>
      <x:c r="L229" s="10" t="str">
        <x:v>Direct EU relevance</x:v>
      </x:c>
      <x:c r="M229" s="10" t="n">
        <x:v>14</x:v>
      </x:c>
      <x:c r="N229" s="10" t="str">
        <x:v>Manually verified research/policy source</x:v>
      </x:c>
      <x:c r="O229" s="10" t="n">
        <x:v>5</x:v>
      </x:c>
      <x:c r="P229" s="10" t="str">
        <x:v>manual-verified scholarly/policy source</x:v>
      </x:c>
      <x:c r="Q229" s="10" t="str">
        <x:v>direct</x:v>
      </x:c>
      <x:c r="R229" s="10" t="str">
        <x:v>https://www.elgaronline.com/doi/10.4337/9781035365616.00011</x:v>
      </x:c>
    </x:row>
    <x:row r="230">
      <x:c r="A230" s="10" t="n">
        <x:f>RANK.EQ(B230,$B$2:$B$446,0)+COUNTIF($B$2:B230,B230)-1</x:f>
        <x:v>229</x:v>
      </x:c>
      <x:c r="B230" s="22" t="n">
        <x:f>I230+K230+M230+O230</x:f>
        <x:v>82</x:v>
      </x:c>
      <x:c r="C230" s="10" t="str">
        <x:f>IF(B230&gt;=93,"A — Highest",IF(B230&gt;=85,"B — Very strong",IF(B230&gt;=75,"C — Strong",IF(B230&gt;=65,"D — Useful","E — Supporting"))))</x:f>
        <x:v>C — Strong</x:v>
      </x:c>
      <x:c r="D230" s="10" t="str">
        <x:v>Technological Dependencies of the European Union</x:v>
      </x:c>
      <x:c r="E230" s="10" t="str">
        <x:v>2026-05-08</x:v>
      </x:c>
      <x:c r="F230" s="10" t="str">
        <x:v>A</x:v>
      </x:c>
      <x:c r="G230" s="10" t="str">
        <x:v>Routledge</x:v>
      </x:c>
      <x:c r="H230" s="10" t="str">
        <x:v>Christian Reiner; Roman Stöllinger</x:v>
      </x:c>
      <x:c r="I230" s="10" t="n">
        <x:v>38</x:v>
      </x:c>
      <x:c r="J230" s="10" t="str">
        <x:v>Established academic publisher</x:v>
      </x:c>
      <x:c r="K230" s="10" t="n">
        <x:v>25</x:v>
      </x:c>
      <x:c r="L230" s="10" t="str">
        <x:v>Direct EU relevance</x:v>
      </x:c>
      <x:c r="M230" s="10" t="n">
        <x:v>14</x:v>
      </x:c>
      <x:c r="N230" s="10" t="str">
        <x:v>Manually verified research/policy source</x:v>
      </x:c>
      <x:c r="O230" s="10" t="n">
        <x:v>5</x:v>
      </x:c>
      <x:c r="P230" s="10" t="str">
        <x:v>manual-verified scholarly/policy source</x:v>
      </x:c>
      <x:c r="Q230" s="10" t="str">
        <x:v>direct</x:v>
      </x:c>
      <x:c r="R230" s="10" t="str">
        <x:v>https://doi.org/10.4324/9781003745563-5</x:v>
      </x:c>
    </x:row>
    <x:row r="231">
      <x:c r="A231" s="10" t="n">
        <x:f>RANK.EQ(B231,$B$2:$B$446,0)+COUNTIF($B$2:B231,B231)-1</x:f>
        <x:v>230</x:v>
      </x:c>
      <x:c r="B231" s="22" t="n">
        <x:f>I231+K231+M231+O231</x:f>
        <x:v>81</x:v>
      </x:c>
      <x:c r="C231" s="10" t="str">
        <x:f>IF(B231&gt;=93,"A — Highest",IF(B231&gt;=85,"B — Very strong",IF(B231&gt;=75,"C — Strong",IF(B231&gt;=65,"D — Useful","E — Supporting"))))</x:f>
        <x:v>C — Strong</x:v>
      </x:c>
      <x:c r="D231" s="10" t="str">
        <x:v>A sustainable platform for federated health data access, AI innovation, and regulatory acceptance in alignment with the European Health Data Space principles</x:v>
      </x:c>
      <x:c r="E231" s="10" t="str">
        <x:v>2026-08-26</x:v>
      </x:c>
      <x:c r="F231" s="10" t="str">
        <x:v>A</x:v>
      </x:c>
      <x:c r="G231" s="10" t="str">
        <x:v>Open Research Europe</x:v>
      </x:c>
      <x:c r="H231" s="10" t="str">
        <x:v>Erwin Boutsma, Katja Herzog, Rebecca C. Rancourt, Torsten Gerriet Blum, Alberto Moreno, Francisco J. Núñez-Benjumea, Hanna Ćwiek-Kupczyńska, Rada Hussein, et al.</x:v>
      </x:c>
      <x:c r="I231" s="10" t="n">
        <x:v>36</x:v>
      </x:c>
      <x:c r="J231" s="10" t="str">
        <x:v>EU-supported peer-reviewed platform</x:v>
      </x:c>
      <x:c r="K231" s="10" t="n">
        <x:v>25</x:v>
      </x:c>
      <x:c r="L231" s="10" t="str">
        <x:v>Direct EU relevance</x:v>
      </x:c>
      <x:c r="M231" s="10" t="n">
        <x:v>15</x:v>
      </x:c>
      <x:c r="N231" s="10" t="str">
        <x:v>Peer-reviewed article</x:v>
      </x:c>
      <x:c r="O231" s="10" t="n">
        <x:v>5</x:v>
      </x:c>
      <x:c r="P231" s="10" t="str">
        <x:v>peer-reviewed article</x:v>
      </x:c>
      <x:c r="Q231" s="10" t="str">
        <x:v>direct</x:v>
      </x:c>
      <x:c r="R231" s="10" t="str">
        <x:v>https://doi.org/10.12688/openreseurope.23459.2</x:v>
      </x:c>
    </x:row>
    <x:row r="232">
      <x:c r="A232" s="10" t="n">
        <x:f>RANK.EQ(B232,$B$2:$B$446,0)+COUNTIF($B$2:B232,B232)-1</x:f>
        <x:v>231</x:v>
      </x:c>
      <x:c r="B232" s="22" t="n">
        <x:f>I232+K232+M232+O232</x:f>
        <x:v>81</x:v>
      </x:c>
      <x:c r="C232" s="10" t="str">
        <x:f>IF(B232&gt;=93,"A — Highest",IF(B232&gt;=85,"B — Very strong",IF(B232&gt;=75,"C — Strong",IF(B232&gt;=65,"D — Useful","E — Supporting"))))</x:f>
        <x:v>C — Strong</x:v>
      </x:c>
      <x:c r="D232" s="10" t="str">
        <x:v>Achieving resilience through reconfigurability: The role of digitisation for improved strategy and decision-making for EU manufacturing industries</x:v>
      </x:c>
      <x:c r="E232" s="10" t="str">
        <x:v>2026-08-07</x:v>
      </x:c>
      <x:c r="F232" s="10" t="str">
        <x:v>A</x:v>
      </x:c>
      <x:c r="G232" s="10" t="str">
        <x:v>Open Research Europe</x:v>
      </x:c>
      <x:c r="H232" s="10" t="str">
        <x:v>Emmanouil Bakopoulos, Tjerk Timan, Alexander Dementyev, Kosmas Alexopoulos, Adrian Jacob, Karol Kozak, Domenico Perfido</x:v>
      </x:c>
      <x:c r="I232" s="10" t="n">
        <x:v>36</x:v>
      </x:c>
      <x:c r="J232" s="10" t="str">
        <x:v>EU-supported peer-reviewed platform</x:v>
      </x:c>
      <x:c r="K232" s="10" t="n">
        <x:v>25</x:v>
      </x:c>
      <x:c r="L232" s="10" t="str">
        <x:v>Direct EU relevance</x:v>
      </x:c>
      <x:c r="M232" s="10" t="n">
        <x:v>15</x:v>
      </x:c>
      <x:c r="N232" s="10" t="str">
        <x:v>Peer-reviewed article</x:v>
      </x:c>
      <x:c r="O232" s="10" t="n">
        <x:v>5</x:v>
      </x:c>
      <x:c r="P232" s="10" t="str">
        <x:v>peer-reviewed article</x:v>
      </x:c>
      <x:c r="Q232" s="10" t="str">
        <x:v>direct</x:v>
      </x:c>
      <x:c r="R232" s="10" t="str">
        <x:v>https://doi.org/10.12688/openreseurope.23989.1</x:v>
      </x:c>
    </x:row>
    <x:row r="233">
      <x:c r="A233" s="10" t="n">
        <x:f>RANK.EQ(B233,$B$2:$B$446,0)+COUNTIF($B$2:B233,B233)-1</x:f>
        <x:v>232</x:v>
      </x:c>
      <x:c r="B233" s="22" t="n">
        <x:f>I233+K233+M233+O233</x:f>
        <x:v>81</x:v>
      </x:c>
      <x:c r="C233" s="10" t="str">
        <x:f>IF(B233&gt;=93,"A — Highest",IF(B233&gt;=85,"B — Very strong",IF(B233&gt;=75,"C — Strong",IF(B233&gt;=65,"D — Useful","E — Supporting"))))</x:f>
        <x:v>C — Strong</x:v>
      </x:c>
      <x:c r="D233" s="10" t="str">
        <x:v>Physical Activity and Healthy Ageing &amp; Longevity Data: Interoperability, Reuse, and Innovation in a Federated European Context</x:v>
      </x:c>
      <x:c r="E233" s="10" t="str">
        <x:v>2026-07-29</x:v>
      </x:c>
      <x:c r="F233" s="10" t="str">
        <x:v>A</x:v>
      </x:c>
      <x:c r="G233" s="10" t="str">
        <x:v>Open Research Europe</x:v>
      </x:c>
      <x:c r="H233" s="10" t="str">
        <x:v>Theo Zacharis</x:v>
      </x:c>
      <x:c r="I233" s="10" t="n">
        <x:v>36</x:v>
      </x:c>
      <x:c r="J233" s="10" t="str">
        <x:v>EU-supported peer-reviewed platform</x:v>
      </x:c>
      <x:c r="K233" s="10" t="n">
        <x:v>25</x:v>
      </x:c>
      <x:c r="L233" s="10" t="str">
        <x:v>Direct EU relevance</x:v>
      </x:c>
      <x:c r="M233" s="10" t="n">
        <x:v>15</x:v>
      </x:c>
      <x:c r="N233" s="10" t="str">
        <x:v>Peer-reviewed article</x:v>
      </x:c>
      <x:c r="O233" s="10" t="n">
        <x:v>5</x:v>
      </x:c>
      <x:c r="P233" s="10" t="str">
        <x:v>peer-reviewed article</x:v>
      </x:c>
      <x:c r="Q233" s="10" t="str">
        <x:v>direct</x:v>
      </x:c>
      <x:c r="R233" s="10" t="str">
        <x:v>https://doi.org/10.12688/openreseurope.23637.1</x:v>
      </x:c>
    </x:row>
    <x:row r="234">
      <x:c r="A234" s="10" t="n">
        <x:f>RANK.EQ(B234,$B$2:$B$446,0)+COUNTIF($B$2:B234,B234)-1</x:f>
        <x:v>233</x:v>
      </x:c>
      <x:c r="B234" s="22" t="n">
        <x:f>I234+K234+M234+O234</x:f>
        <x:v>81</x:v>
      </x:c>
      <x:c r="C234" s="10" t="str">
        <x:f>IF(B234&gt;=93,"A — Highest",IF(B234&gt;=85,"B — Very strong",IF(B234&gt;=75,"C — Strong",IF(B234&gt;=65,"D — Useful","E — Supporting"))))</x:f>
        <x:v>C — Strong</x:v>
      </x:c>
      <x:c r="D234" s="10" t="str">
        <x:v>Developing Researchers’ Competencies through CARE–KNOW–DO and upSKILL.map, aligned with EU and UNESCO Priorities</x:v>
      </x:c>
      <x:c r="E234" s="10" t="str">
        <x:v>2026-07-16</x:v>
      </x:c>
      <x:c r="F234" s="10" t="str">
        <x:v>A</x:v>
      </x:c>
      <x:c r="G234" s="10" t="str">
        <x:v>Open Research Europe</x:v>
      </x:c>
      <x:c r="H234" s="10" t="str">
        <x:v>Alexandra Okada, Kieron Sheehy, Klaus-Dieter Rossade, Arosha K. Bandara</x:v>
      </x:c>
      <x:c r="I234" s="10" t="n">
        <x:v>36</x:v>
      </x:c>
      <x:c r="J234" s="10" t="str">
        <x:v>EU-supported peer-reviewed platform</x:v>
      </x:c>
      <x:c r="K234" s="10" t="n">
        <x:v>25</x:v>
      </x:c>
      <x:c r="L234" s="10" t="str">
        <x:v>Direct EU relevance</x:v>
      </x:c>
      <x:c r="M234" s="10" t="n">
        <x:v>15</x:v>
      </x:c>
      <x:c r="N234" s="10" t="str">
        <x:v>Peer-reviewed article</x:v>
      </x:c>
      <x:c r="O234" s="10" t="n">
        <x:v>5</x:v>
      </x:c>
      <x:c r="P234" s="10" t="str">
        <x:v>peer-reviewed article</x:v>
      </x:c>
      <x:c r="Q234" s="10" t="str">
        <x:v>direct</x:v>
      </x:c>
      <x:c r="R234" s="10" t="str">
        <x:v>https://doi.org/10.12688/openreseurope.21408.4</x:v>
      </x:c>
    </x:row>
    <x:row r="235">
      <x:c r="A235" s="10" t="n">
        <x:f>RANK.EQ(B235,$B$2:$B$446,0)+COUNTIF($B$2:B235,B235)-1</x:f>
        <x:v>234</x:v>
      </x:c>
      <x:c r="B235" s="22" t="n">
        <x:f>I235+K235+M235+O235</x:f>
        <x:v>81</x:v>
      </x:c>
      <x:c r="C235" s="10" t="str">
        <x:f>IF(B235&gt;=93,"A — Highest",IF(B235&gt;=85,"B — Very strong",IF(B235&gt;=75,"C — Strong",IF(B235&gt;=65,"D — Useful","E — Supporting"))))</x:f>
        <x:v>C — Strong</x:v>
      </x:c>
      <x:c r="D235" s="10" t="str">
        <x:v>Beyond Borders: Chinese Use of Foreign Interference Tactics in Dutch Strategic Industries - HCSS</x:v>
      </x:c>
      <x:c r="E235" s="10" t="str">
        <x:v>2026-07-03</x:v>
      </x:c>
      <x:c r="F235" s="10" t="str">
        <x:v>A</x:v>
      </x:c>
      <x:c r="G235" s="10" t="str">
        <x:v>The Hague Centre for Strategic Studies</x:v>
      </x:c>
      <x:c r="H235" s="10" t="str">
        <x:v>The Hague Centre for Strategic Studies</x:v>
      </x:c>
      <x:c r="I235" s="10" t="n">
        <x:v>37</x:v>
      </x:c>
      <x:c r="J235" s="10" t="str">
        <x:v>Established policy / research source</x:v>
      </x:c>
      <x:c r="K235" s="10" t="n">
        <x:v>25</x:v>
      </x:c>
      <x:c r="L235" s="10" t="str">
        <x:v>Direct EU relevance</x:v>
      </x:c>
      <x:c r="M235" s="10" t="n">
        <x:v>14</x:v>
      </x:c>
      <x:c r="N235" s="10" t="str">
        <x:v>Institutional report</x:v>
      </x:c>
      <x:c r="O235" s="10" t="n">
        <x:v>5</x:v>
      </x:c>
      <x:c r="P235" s="10" t="str">
        <x:v>institutional report</x:v>
      </x:c>
      <x:c r="Q235" s="10" t="str">
        <x:v>direct</x:v>
      </x:c>
      <x:c r="R235" s="10" t="str">
        <x:v>https://hcss.nl/wp-content/uploads/2026/08/Think-First-Prompt-Second-AI-Code-of-Conduct-HCSS-2026.pdf</x:v>
      </x:c>
    </x:row>
    <x:row r="236">
      <x:c r="A236" s="10" t="n">
        <x:f>RANK.EQ(B236,$B$2:$B$446,0)+COUNTIF($B$2:B236,B236)-1</x:f>
        <x:v>235</x:v>
      </x:c>
      <x:c r="B236" s="22" t="n">
        <x:f>I236+K236+M236+O236</x:f>
        <x:v>81</x:v>
      </x:c>
      <x:c r="C236" s="10" t="str">
        <x:f>IF(B236&gt;=93,"A — Highest",IF(B236&gt;=85,"B — Very strong",IF(B236&gt;=75,"C — Strong",IF(B236&gt;=65,"D — Useful","E — Supporting"))))</x:f>
        <x:v>C — Strong</x:v>
      </x:c>
      <x:c r="D236" s="10" t="str">
        <x:v>Developing Researchers’ Competencies through CARE–KNOW–DO and upSKILL.map, aligned with EU and UNESCO Priorities</x:v>
      </x:c>
      <x:c r="E236" s="10" t="str">
        <x:v>2026-05-29</x:v>
      </x:c>
      <x:c r="F236" s="10" t="str">
        <x:v>A</x:v>
      </x:c>
      <x:c r="G236" s="10" t="str">
        <x:v>Open Research Europe</x:v>
      </x:c>
      <x:c r="H236" s="10" t="str">
        <x:v>Alexandra Okada, Kieron Sheehy, Klaus-Dieter Rossade, Arosha K. Bandara</x:v>
      </x:c>
      <x:c r="I236" s="10" t="n">
        <x:v>36</x:v>
      </x:c>
      <x:c r="J236" s="10" t="str">
        <x:v>EU-supported peer-reviewed platform</x:v>
      </x:c>
      <x:c r="K236" s="10" t="n">
        <x:v>25</x:v>
      </x:c>
      <x:c r="L236" s="10" t="str">
        <x:v>Direct EU relevance</x:v>
      </x:c>
      <x:c r="M236" s="10" t="n">
        <x:v>15</x:v>
      </x:c>
      <x:c r="N236" s="10" t="str">
        <x:v>Peer-reviewed article</x:v>
      </x:c>
      <x:c r="O236" s="10" t="n">
        <x:v>5</x:v>
      </x:c>
      <x:c r="P236" s="10" t="str">
        <x:v>peer-reviewed article</x:v>
      </x:c>
      <x:c r="Q236" s="10" t="str">
        <x:v>direct</x:v>
      </x:c>
      <x:c r="R236" s="10" t="str">
        <x:v>https://doi.org/10.12688/openreseurope.21408.3</x:v>
      </x:c>
    </x:row>
    <x:row r="237">
      <x:c r="A237" s="10" t="n">
        <x:f>RANK.EQ(B237,$B$2:$B$446,0)+COUNTIF($B$2:B237,B237)-1</x:f>
        <x:v>236</x:v>
      </x:c>
      <x:c r="B237" s="22" t="n">
        <x:f>I237+K237+M237+O237</x:f>
        <x:v>81</x:v>
      </x:c>
      <x:c r="C237" s="10" t="str">
        <x:f>IF(B237&gt;=93,"A — Highest",IF(B237&gt;=85,"B — Very strong",IF(B237&gt;=75,"C — Strong",IF(B237&gt;=65,"D — Useful","E — Supporting"))))</x:f>
        <x:v>C — Strong</x:v>
      </x:c>
      <x:c r="D237" s="10" t="str">
        <x:v>A sustainable platform for federated health data access, AI innovation, and regulatory acceptance in alignment with the European Health Data Space principles</x:v>
      </x:c>
      <x:c r="E237" s="10" t="str">
        <x:v>2026-05-28</x:v>
      </x:c>
      <x:c r="F237" s="10" t="str">
        <x:v>A</x:v>
      </x:c>
      <x:c r="G237" s="10" t="str">
        <x:v>Open Research Europe</x:v>
      </x:c>
      <x:c r="H237" s="10" t="str">
        <x:v>Erwin Boutsma, Katja Herzog, Rebecca C. Rancourt, Torsten Gerriet Blum, Alberto Moreno, Francisco J. Núñez-Benjumea, Hanna Ćwiek-Kupczyńska, Rada Hussein, et al.</x:v>
      </x:c>
      <x:c r="I237" s="10" t="n">
        <x:v>36</x:v>
      </x:c>
      <x:c r="J237" s="10" t="str">
        <x:v>EU-supported peer-reviewed platform</x:v>
      </x:c>
      <x:c r="K237" s="10" t="n">
        <x:v>25</x:v>
      </x:c>
      <x:c r="L237" s="10" t="str">
        <x:v>Direct EU relevance</x:v>
      </x:c>
      <x:c r="M237" s="10" t="n">
        <x:v>15</x:v>
      </x:c>
      <x:c r="N237" s="10" t="str">
        <x:v>Peer-reviewed article</x:v>
      </x:c>
      <x:c r="O237" s="10" t="n">
        <x:v>5</x:v>
      </x:c>
      <x:c r="P237" s="10" t="str">
        <x:v>peer-reviewed article</x:v>
      </x:c>
      <x:c r="Q237" s="10" t="str">
        <x:v>direct</x:v>
      </x:c>
      <x:c r="R237" s="10" t="str">
        <x:v>https://doi.org/10.12688/openreseurope.23459.1</x:v>
      </x:c>
    </x:row>
    <x:row r="238">
      <x:c r="A238" s="10" t="n">
        <x:f>RANK.EQ(B238,$B$2:$B$446,0)+COUNTIF($B$2:B238,B238)-1</x:f>
        <x:v>237</x:v>
      </x:c>
      <x:c r="B238" s="22" t="n">
        <x:f>I238+K238+M238+O238</x:f>
        <x:v>81</x:v>
      </x:c>
      <x:c r="C238" s="10" t="str">
        <x:f>IF(B238&gt;=93,"A — Highest",IF(B238&gt;=85,"B — Very strong",IF(B238&gt;=75,"C — Strong",IF(B238&gt;=65,"D — Useful","E — Supporting"))))</x:f>
        <x:v>C — Strong</x:v>
      </x:c>
      <x:c r="D238" s="10" t="str">
        <x:v>New ERA-LEARN Country Report for Portugal</x:v>
      </x:c>
      <x:c r="E238" s="10" t="str">
        <x:v>2026-05-20</x:v>
      </x:c>
      <x:c r="F238" s="10" t="str">
        <x:v>A</x:v>
      </x:c>
      <x:c r="G238" s="10" t="str">
        <x:v>ERA-LEARN</x:v>
      </x:c>
      <x:c r="H238" s="10" t="str">
        <x:v>ERA-LEARN</x:v>
      </x:c>
      <x:c r="I238" s="10" t="n">
        <x:v>37</x:v>
      </x:c>
      <x:c r="J238" s="10" t="str">
        <x:v>Established policy / research source</x:v>
      </x:c>
      <x:c r="K238" s="10" t="n">
        <x:v>25</x:v>
      </x:c>
      <x:c r="L238" s="10" t="str">
        <x:v>Direct EU relevance</x:v>
      </x:c>
      <x:c r="M238" s="10" t="n">
        <x:v>14</x:v>
      </x:c>
      <x:c r="N238" s="10" t="str">
        <x:v>Institutional report</x:v>
      </x:c>
      <x:c r="O238" s="10" t="n">
        <x:v>5</x:v>
      </x:c>
      <x:c r="P238" s="10" t="str">
        <x:v>institutional report</x:v>
      </x:c>
      <x:c r="Q238" s="10" t="str">
        <x:v>direct</x:v>
      </x:c>
      <x:c r="R238" s="10" t="str">
        <x:v>https://www.era-learn.eu/documents/era-learn_country_report_portugal.pdf</x:v>
      </x:c>
    </x:row>
    <x:row r="239">
      <x:c r="A239" s="10" t="n">
        <x:f>RANK.EQ(B239,$B$2:$B$446,0)+COUNTIF($B$2:B239,B239)-1</x:f>
        <x:v>238</x:v>
      </x:c>
      <x:c r="B239" s="22" t="n">
        <x:f>I239+K239+M239+O239</x:f>
        <x:v>80</x:v>
      </x:c>
      <x:c r="C239" s="10" t="str">
        <x:f>IF(B239&gt;=93,"A — Highest",IF(B239&gt;=85,"B — Very strong",IF(B239&gt;=75,"C — Strong",IF(B239&gt;=65,"D — Useful","E — Supporting"))))</x:f>
        <x:v>C — Strong</x:v>
      </x:c>
      <x:c r="D239" s="10" t="str">
        <x:v>The EU's Tech Sovereignty Package and the future of European digital power | Digital Watch Observatory</x:v>
      </x:c>
      <x:c r="E239" s="10" t="str">
        <x:v>2026-06-10</x:v>
      </x:c>
      <x:c r="F239" s="10" t="str">
        <x:v>A</x:v>
      </x:c>
      <x:c r="G239" s="10" t="str">
        <x:v>Digital Watch Observatory.</x:v>
      </x:c>
      <x:c r="H239" s="10" t="str">
        <x:v>reyhand@diplomacy.edu</x:v>
      </x:c>
      <x:c r="I239" s="10" t="n">
        <x:v>37</x:v>
      </x:c>
      <x:c r="J239" s="10" t="str">
        <x:v>Established policy / research source</x:v>
      </x:c>
      <x:c r="K239" s="10" t="n">
        <x:v>25</x:v>
      </x:c>
      <x:c r="L239" s="10" t="str">
        <x:v>Direct EU relevance</x:v>
      </x:c>
      <x:c r="M239" s="10" t="n">
        <x:v>13</x:v>
      </x:c>
      <x:c r="N239" s="10" t="str">
        <x:v>Research/policy paper</x:v>
      </x:c>
      <x:c r="O239" s="10" t="n">
        <x:v>5</x:v>
      </x:c>
      <x:c r="P239" s="10" t="str">
        <x:v>research/policy paper</x:v>
      </x:c>
      <x:c r="Q239" s="10" t="str">
        <x:v>direct</x:v>
      </x:c>
      <x:c r="R239" s="10" t="str">
        <x:v>https://dig.watch/updates/the-eus-tech-sovereignty-package-and-the-future-of-european-digital-power</x:v>
      </x:c>
    </x:row>
    <x:row r="240">
      <x:c r="A240" s="10" t="n">
        <x:f>RANK.EQ(B240,$B$2:$B$446,0)+COUNTIF($B$2:B240,B240)-1</x:f>
        <x:v>239</x:v>
      </x:c>
      <x:c r="B240" s="22" t="n">
        <x:f>I240+K240+M240+O240</x:f>
        <x:v>77</x:v>
      </x:c>
      <x:c r="C240" s="10" t="str">
        <x:f>IF(B240&gt;=93,"A — Highest",IF(B240&gt;=85,"B — Very strong",IF(B240&gt;=75,"C — Strong",IF(B240&gt;=65,"D — Useful","E — Supporting"))))</x:f>
        <x:v>C — Strong</x:v>
      </x:c>
      <x:c r="D240" s="10" t="str">
        <x:v>‘Like a light switch that is on and off at the same time’. A content analysis of signaled metaphors for quantum science and technology in Dutch newspapers</x:v>
      </x:c>
      <x:c r="E240" s="10" t="str">
        <x:v>2026-08-29</x:v>
      </x:c>
      <x:c r="F240" s="10" t="str">
        <x:v>A</x:v>
      </x:c>
      <x:c r="G240" s="10" t="str">
        <x:v>Language &amp; Communication</x:v>
      </x:c>
      <x:c r="H240" s="10" t="str">
        <x:v>Dunja Wackers, Aletta Meinsma, Gudrun Reijnierse, Margriet van der Heijden, Ionica Smeets, Julia Cramer</x:v>
      </x:c>
      <x:c r="I240" s="10" t="n">
        <x:v>32</x:v>
      </x:c>
      <x:c r="J240" s="10" t="str">
        <x:v>Peer-reviewed journal</x:v>
      </x:c>
      <x:c r="K240" s="10" t="n">
        <x:v>25</x:v>
      </x:c>
      <x:c r="L240" s="10" t="str">
        <x:v>Direct EU relevance</x:v>
      </x:c>
      <x:c r="M240" s="10" t="n">
        <x:v>15</x:v>
      </x:c>
      <x:c r="N240" s="10" t="str">
        <x:v>Peer-reviewed article</x:v>
      </x:c>
      <x:c r="O240" s="10" t="n">
        <x:v>5</x:v>
      </x:c>
      <x:c r="P240" s="10" t="str">
        <x:v>peer-reviewed article</x:v>
      </x:c>
      <x:c r="Q240" s="10" t="str">
        <x:v>direct</x:v>
      </x:c>
      <x:c r="R240" s="10" t="str">
        <x:v>https://doi.org/10.1016/j.langcom.2026.07.004</x:v>
      </x:c>
    </x:row>
    <x:row r="241">
      <x:c r="A241" s="10" t="n">
        <x:f>RANK.EQ(B241,$B$2:$B$446,0)+COUNTIF($B$2:B241,B241)-1</x:f>
        <x:v>240</x:v>
      </x:c>
      <x:c r="B241" s="22" t="n">
        <x:f>I241+K241+M241+O241</x:f>
        <x:v>77</x:v>
      </x:c>
      <x:c r="C241" s="10" t="str">
        <x:f>IF(B241&gt;=93,"A — Highest",IF(B241&gt;=85,"B — Very strong",IF(B241&gt;=75,"C — Strong",IF(B241&gt;=65,"D — Useful","E — Supporting"))))</x:f>
        <x:v>C — Strong</x:v>
      </x:c>
      <x:c r="D241" s="10" t="str">
        <x:v>Exploring the European climate services landscape: Can we make it more equitable?</x:v>
      </x:c>
      <x:c r="E241" s="10" t="str">
        <x:v>2026-08-27</x:v>
      </x:c>
      <x:c r="F241" s="10" t="str">
        <x:v>A</x:v>
      </x:c>
      <x:c r="G241" s="10" t="str">
        <x:v>Climate Services</x:v>
      </x:c>
      <x:c r="H241" s="10" t="str">
        <x:v>Paula Checchia, Francisco Doblas-Reyes, Adrian Carrascosa, Marta Terrado</x:v>
      </x:c>
      <x:c r="I241" s="10" t="n">
        <x:v>32</x:v>
      </x:c>
      <x:c r="J241" s="10" t="str">
        <x:v>Peer-reviewed journal</x:v>
      </x:c>
      <x:c r="K241" s="10" t="n">
        <x:v>25</x:v>
      </x:c>
      <x:c r="L241" s="10" t="str">
        <x:v>Direct EU relevance</x:v>
      </x:c>
      <x:c r="M241" s="10" t="n">
        <x:v>15</x:v>
      </x:c>
      <x:c r="N241" s="10" t="str">
        <x:v>Peer-reviewed article</x:v>
      </x:c>
      <x:c r="O241" s="10" t="n">
        <x:v>5</x:v>
      </x:c>
      <x:c r="P241" s="10" t="str">
        <x:v>peer-reviewed article</x:v>
      </x:c>
      <x:c r="Q241" s="10" t="str">
        <x:v>direct</x:v>
      </x:c>
      <x:c r="R241" s="10" t="str">
        <x:v>https://doi.org/10.1016/j.cliser.2026.100702</x:v>
      </x:c>
    </x:row>
    <x:row r="242">
      <x:c r="A242" s="10" t="n">
        <x:f>RANK.EQ(B242,$B$2:$B$446,0)+COUNTIF($B$2:B242,B242)-1</x:f>
        <x:v>241</x:v>
      </x:c>
      <x:c r="B242" s="22" t="n">
        <x:f>I242+K242+M242+O242</x:f>
        <x:v>77</x:v>
      </x:c>
      <x:c r="C242" s="10" t="str">
        <x:f>IF(B242&gt;=93,"A — Highest",IF(B242&gt;=85,"B — Very strong",IF(B242&gt;=75,"C — Strong",IF(B242&gt;=65,"D — Useful","E — Supporting"))))</x:f>
        <x:v>C — Strong</x:v>
      </x:c>
      <x:c r="D242" s="10" t="str">
        <x:v>Research and technology infrastructures in the European hydrogen economy: Status, needs and innovation concepts</x:v>
      </x:c>
      <x:c r="E242" s="10" t="str">
        <x:v>2026-08-27</x:v>
      </x:c>
      <x:c r="F242" s="10" t="str">
        <x:v>A</x:v>
      </x:c>
      <x:c r="G242" s="10" t="str">
        <x:v>International Journal of Hydrogen Energy</x:v>
      </x:c>
      <x:c r="H242" s="10" t="str">
        <x:v>S. Abermann, Viviana Cigolotti, Mariya Ivanova, Marie Macherhammer, Louis Mazurkiewicz, Julie Mougin, Julián Puszkiel</x:v>
      </x:c>
      <x:c r="I242" s="10" t="n">
        <x:v>32</x:v>
      </x:c>
      <x:c r="J242" s="10" t="str">
        <x:v>Peer-reviewed journal</x:v>
      </x:c>
      <x:c r="K242" s="10" t="n">
        <x:v>25</x:v>
      </x:c>
      <x:c r="L242" s="10" t="str">
        <x:v>Direct EU relevance</x:v>
      </x:c>
      <x:c r="M242" s="10" t="n">
        <x:v>15</x:v>
      </x:c>
      <x:c r="N242" s="10" t="str">
        <x:v>Peer-reviewed article</x:v>
      </x:c>
      <x:c r="O242" s="10" t="n">
        <x:v>5</x:v>
      </x:c>
      <x:c r="P242" s="10" t="str">
        <x:v>peer-reviewed article</x:v>
      </x:c>
      <x:c r="Q242" s="10" t="str">
        <x:v>direct</x:v>
      </x:c>
      <x:c r="R242" s="10" t="str">
        <x:v>https://doi.org/10.1016/j.ijhydene.2026.157061</x:v>
      </x:c>
    </x:row>
    <x:row r="243">
      <x:c r="A243" s="10" t="n">
        <x:f>RANK.EQ(B243,$B$2:$B$446,0)+COUNTIF($B$2:B243,B243)-1</x:f>
        <x:v>242</x:v>
      </x:c>
      <x:c r="B243" s="22" t="n">
        <x:f>I243+K243+M243+O243</x:f>
        <x:v>77</x:v>
      </x:c>
      <x:c r="C243" s="10" t="str">
        <x:f>IF(B243&gt;=93,"A — Highest",IF(B243&gt;=85,"B — Very strong",IF(B243&gt;=75,"C — Strong",IF(B243&gt;=65,"D — Useful","E — Supporting"))))</x:f>
        <x:v>C — Strong</x:v>
      </x:c>
      <x:c r="D243" s="10" t="str">
        <x:v>Strategic competitiveness between the EU and the United States in artificial intelligence development – human capital, legal frameworks and data</x:v>
      </x:c>
      <x:c r="E243" s="10" t="str">
        <x:v>2026-08-27</x:v>
      </x:c>
      <x:c r="F243" s="10" t="str">
        <x:v>A</x:v>
      </x:c>
      <x:c r="G243" s="10" t="str">
        <x:v>Kortowski Przegląd Prawniczy</x:v>
      </x:c>
      <x:c r="H243" s="10" t="str">
        <x:v>Robert Lizak</x:v>
      </x:c>
      <x:c r="I243" s="10" t="n">
        <x:v>32</x:v>
      </x:c>
      <x:c r="J243" s="10" t="str">
        <x:v>Peer-reviewed journal</x:v>
      </x:c>
      <x:c r="K243" s="10" t="n">
        <x:v>25</x:v>
      </x:c>
      <x:c r="L243" s="10" t="str">
        <x:v>Direct EU relevance</x:v>
      </x:c>
      <x:c r="M243" s="10" t="n">
        <x:v>15</x:v>
      </x:c>
      <x:c r="N243" s="10" t="str">
        <x:v>Peer-reviewed article</x:v>
      </x:c>
      <x:c r="O243" s="10" t="n">
        <x:v>5</x:v>
      </x:c>
      <x:c r="P243" s="10" t="str">
        <x:v>peer-reviewed article</x:v>
      </x:c>
      <x:c r="Q243" s="10" t="str">
        <x:v>direct</x:v>
      </x:c>
      <x:c r="R243" s="10" t="str">
        <x:v>https://doi.org/10.31648/kpp.12912</x:v>
      </x:c>
    </x:row>
    <x:row r="244">
      <x:c r="A244" s="10" t="n">
        <x:f>RANK.EQ(B244,$B$2:$B$446,0)+COUNTIF($B$2:B244,B244)-1</x:f>
        <x:v>243</x:v>
      </x:c>
      <x:c r="B244" s="22" t="n">
        <x:f>I244+K244+M244+O244</x:f>
        <x:v>77</x:v>
      </x:c>
      <x:c r="C244" s="10" t="str">
        <x:f>IF(B244&gt;=93,"A — Highest",IF(B244&gt;=85,"B — Very strong",IF(B244&gt;=75,"C — Strong",IF(B244&gt;=65,"D — Useful","E — Supporting"))))</x:f>
        <x:v>C — Strong</x:v>
      </x:c>
      <x:c r="D244" s="10" t="str">
        <x:v>Creative hubs and regional innovation: Intermediary institutions in the mediterranean textile sector</x:v>
      </x:c>
      <x:c r="E244" s="10" t="str">
        <x:v>2026-08-26</x:v>
      </x:c>
      <x:c r="F244" s="10" t="str">
        <x:v>A</x:v>
      </x:c>
      <x:c r="G244" s="10" t="str">
        <x:v>Regional Science Policy &amp; Practice</x:v>
      </x:c>
      <x:c r="H244" s="10" t="str">
        <x:v>Raül Abeledo-Sanchís, Virgilio Pérez, Pau Rausell Köster</x:v>
      </x:c>
      <x:c r="I244" s="10" t="n">
        <x:v>32</x:v>
      </x:c>
      <x:c r="J244" s="10" t="str">
        <x:v>Peer-reviewed journal</x:v>
      </x:c>
      <x:c r="K244" s="10" t="n">
        <x:v>25</x:v>
      </x:c>
      <x:c r="L244" s="10" t="str">
        <x:v>Direct EU relevance</x:v>
      </x:c>
      <x:c r="M244" s="10" t="n">
        <x:v>15</x:v>
      </x:c>
      <x:c r="N244" s="10" t="str">
        <x:v>Peer-reviewed article</x:v>
      </x:c>
      <x:c r="O244" s="10" t="n">
        <x:v>5</x:v>
      </x:c>
      <x:c r="P244" s="10" t="str">
        <x:v>peer-reviewed article</x:v>
      </x:c>
      <x:c r="Q244" s="10" t="str">
        <x:v>direct</x:v>
      </x:c>
      <x:c r="R244" s="10" t="str">
        <x:v>https://doi.org/10.1016/j.rspp.2026.100343</x:v>
      </x:c>
    </x:row>
    <x:row r="245">
      <x:c r="A245" s="10" t="n">
        <x:f>RANK.EQ(B245,$B$2:$B$446,0)+COUNTIF($B$2:B245,B245)-1</x:f>
        <x:v>244</x:v>
      </x:c>
      <x:c r="B245" s="22" t="n">
        <x:f>I245+K245+M245+O245</x:f>
        <x:v>77</x:v>
      </x:c>
      <x:c r="C245" s="10" t="str">
        <x:f>IF(B245&gt;=93,"A — Highest",IF(B245&gt;=85,"B — Very strong",IF(B245&gt;=75,"C — Strong",IF(B245&gt;=65,"D — Useful","E — Supporting"))))</x:f>
        <x:v>C — Strong</x:v>
      </x:c>
      <x:c r="D245" s="10" t="str">
        <x:v>Beyond Economic Growth: Reassessing Economic Development as a Driver of Sustainable Development Goal Achievement</x:v>
      </x:c>
      <x:c r="E245" s="10" t="str">
        <x:v>2026-08-25</x:v>
      </x:c>
      <x:c r="F245" s="10" t="str">
        <x:v>A</x:v>
      </x:c>
      <x:c r="G245" s="10" t="str">
        <x:v>Inverge Journal of Social Sciences</x:v>
      </x:c>
      <x:c r="H245" s="10" t="str">
        <x:v>Prof. Dr. Afaq Ali Khan, Shumaila Khan, Abdul Jabar, Samrana Afzal</x:v>
      </x:c>
      <x:c r="I245" s="10" t="n">
        <x:v>32</x:v>
      </x:c>
      <x:c r="J245" s="10" t="str">
        <x:v>Peer-reviewed journal</x:v>
      </x:c>
      <x:c r="K245" s="10" t="n">
        <x:v>25</x:v>
      </x:c>
      <x:c r="L245" s="10" t="str">
        <x:v>Direct EU relevance</x:v>
      </x:c>
      <x:c r="M245" s="10" t="n">
        <x:v>15</x:v>
      </x:c>
      <x:c r="N245" s="10" t="str">
        <x:v>Peer-reviewed article</x:v>
      </x:c>
      <x:c r="O245" s="10" t="n">
        <x:v>5</x:v>
      </x:c>
      <x:c r="P245" s="10" t="str">
        <x:v>peer-reviewed article</x:v>
      </x:c>
      <x:c r="Q245" s="10" t="str">
        <x:v>direct</x:v>
      </x:c>
      <x:c r="R245" s="10" t="str">
        <x:v>https://doi.org/10.63544/ijss.v5i4.331</x:v>
      </x:c>
    </x:row>
    <x:row r="246">
      <x:c r="A246" s="10" t="n">
        <x:f>RANK.EQ(B246,$B$2:$B$446,0)+COUNTIF($B$2:B246,B246)-1</x:f>
        <x:v>245</x:v>
      </x:c>
      <x:c r="B246" s="22" t="n">
        <x:f>I246+K246+M246+O246</x:f>
        <x:v>77</x:v>
      </x:c>
      <x:c r="C246" s="10" t="str">
        <x:f>IF(B246&gt;=93,"A — Highest",IF(B246&gt;=85,"B — Very strong",IF(B246&gt;=75,"C — Strong",IF(B246&gt;=65,"D — Useful","E — Supporting"))))</x:f>
        <x:v>C — Strong</x:v>
      </x:c>
      <x:c r="D246" s="10" t="str">
        <x:v>Internationalization of higher education in Ukraine: strategic priorities for integration into the European higher education area</x:v>
      </x:c>
      <x:c r="E246" s="10" t="str">
        <x:v>2026-08-25</x:v>
      </x:c>
      <x:c r="F246" s="10" t="str">
        <x:v>A</x:v>
      </x:c>
      <x:c r="G246" s="10" t="str">
        <x:v>Academic Visions</x:v>
      </x:c>
      <x:c r="H246" s="10" t="str">
        <x:v>Nataliia Lazurina, Yuliia Haidenko, Iryna Nosach</x:v>
      </x:c>
      <x:c r="I246" s="10" t="n">
        <x:v>32</x:v>
      </x:c>
      <x:c r="J246" s="10" t="str">
        <x:v>Peer-reviewed journal</x:v>
      </x:c>
      <x:c r="K246" s="10" t="n">
        <x:v>25</x:v>
      </x:c>
      <x:c r="L246" s="10" t="str">
        <x:v>Direct EU relevance</x:v>
      </x:c>
      <x:c r="M246" s="10" t="n">
        <x:v>15</x:v>
      </x:c>
      <x:c r="N246" s="10" t="str">
        <x:v>Peer-reviewed article</x:v>
      </x:c>
      <x:c r="O246" s="10" t="n">
        <x:v>5</x:v>
      </x:c>
      <x:c r="P246" s="10" t="str">
        <x:v>peer-reviewed article</x:v>
      </x:c>
      <x:c r="Q246" s="10" t="str">
        <x:v>direct</x:v>
      </x:c>
      <x:c r="R246" s="10" t="str">
        <x:v>https://doi.org/10.66556/2786-586x.58.lazurina-n</x:v>
      </x:c>
    </x:row>
    <x:row r="247">
      <x:c r="A247" s="10" t="n">
        <x:f>RANK.EQ(B247,$B$2:$B$446,0)+COUNTIF($B$2:B247,B247)-1</x:f>
        <x:v>246</x:v>
      </x:c>
      <x:c r="B247" s="22" t="n">
        <x:f>I247+K247+M247+O247</x:f>
        <x:v>77</x:v>
      </x:c>
      <x:c r="C247" s="10" t="str">
        <x:f>IF(B247&gt;=93,"A — Highest",IF(B247&gt;=85,"B — Very strong",IF(B247&gt;=75,"C — Strong",IF(B247&gt;=65,"D — Useful","E — Supporting"))))</x:f>
        <x:v>C — Strong</x:v>
      </x:c>
      <x:c r="D247" s="10" t="str">
        <x:v>Project-Mediated Europeanisation in Poland–Ukraine University Cooperation: A Document-Based Case Study</x:v>
      </x:c>
      <x:c r="E247" s="10" t="str">
        <x:v>2026-08-21</x:v>
      </x:c>
      <x:c r="F247" s="10" t="str">
        <x:v>A</x:v>
      </x:c>
      <x:c r="G247" s="10" t="str">
        <x:v>AI, Law, Politics</x:v>
      </x:c>
      <x:c r="H247" s="10" t="str">
        <x:v>Olena Semenog</x:v>
      </x:c>
      <x:c r="I247" s="10" t="n">
        <x:v>32</x:v>
      </x:c>
      <x:c r="J247" s="10" t="str">
        <x:v>Peer-reviewed journal</x:v>
      </x:c>
      <x:c r="K247" s="10" t="n">
        <x:v>25</x:v>
      </x:c>
      <x:c r="L247" s="10" t="str">
        <x:v>Direct EU relevance</x:v>
      </x:c>
      <x:c r="M247" s="10" t="n">
        <x:v>15</x:v>
      </x:c>
      <x:c r="N247" s="10" t="str">
        <x:v>Peer-reviewed article</x:v>
      </x:c>
      <x:c r="O247" s="10" t="n">
        <x:v>5</x:v>
      </x:c>
      <x:c r="P247" s="10" t="str">
        <x:v>peer-reviewed article</x:v>
      </x:c>
      <x:c r="Q247" s="10" t="str">
        <x:v>direct</x:v>
      </x:c>
      <x:c r="R247" s="10" t="str">
        <x:v>https://doi.org/10.5709/alp-02.s1.2026-03</x:v>
      </x:c>
    </x:row>
    <x:row r="248">
      <x:c r="A248" s="10" t="n">
        <x:f>RANK.EQ(B248,$B$2:$B$446,0)+COUNTIF($B$2:B248,B248)-1</x:f>
        <x:v>247</x:v>
      </x:c>
      <x:c r="B248" s="22" t="n">
        <x:f>I248+K248+M248+O248</x:f>
        <x:v>77</x:v>
      </x:c>
      <x:c r="C248" s="10" t="str">
        <x:f>IF(B248&gt;=93,"A — Highest",IF(B248&gt;=85,"B — Very strong",IF(B248&gt;=75,"C — Strong",IF(B248&gt;=65,"D — Useful","E — Supporting"))))</x:f>
        <x:v>C — Strong</x:v>
      </x:c>
      <x:c r="D248" s="10" t="str">
        <x:v>Business enterprise expenditure on research and development in the European Union in an international context</x:v>
      </x:c>
      <x:c r="E248" s="10" t="str">
        <x:v>2026-08-20</x:v>
      </x:c>
      <x:c r="F248" s="10" t="str">
        <x:v>A</x:v>
      </x:c>
      <x:c r="G248" s="10" t="str">
        <x:v>Journal of Entrepreneurship and Sustainability Issues</x:v>
      </x:c>
      <x:c r="H248" s="10" t="str">
        <x:v>Tomáš Cejpek, Michal Ruschak, Petra Mrázová</x:v>
      </x:c>
      <x:c r="I248" s="10" t="n">
        <x:v>32</x:v>
      </x:c>
      <x:c r="J248" s="10" t="str">
        <x:v>Peer-reviewed journal</x:v>
      </x:c>
      <x:c r="K248" s="10" t="n">
        <x:v>25</x:v>
      </x:c>
      <x:c r="L248" s="10" t="str">
        <x:v>Direct EU relevance</x:v>
      </x:c>
      <x:c r="M248" s="10" t="n">
        <x:v>15</x:v>
      </x:c>
      <x:c r="N248" s="10" t="str">
        <x:v>Peer-reviewed article</x:v>
      </x:c>
      <x:c r="O248" s="10" t="n">
        <x:v>5</x:v>
      </x:c>
      <x:c r="P248" s="10" t="str">
        <x:v>peer-reviewed article</x:v>
      </x:c>
      <x:c r="Q248" s="10" t="str">
        <x:v>direct</x:v>
      </x:c>
      <x:c r="R248" s="10" t="str">
        <x:v>https://doi.org/10.9770/x5483448482</x:v>
      </x:c>
    </x:row>
    <x:row r="249">
      <x:c r="A249" s="10" t="n">
        <x:f>RANK.EQ(B249,$B$2:$B$446,0)+COUNTIF($B$2:B249,B249)-1</x:f>
        <x:v>248</x:v>
      </x:c>
      <x:c r="B249" s="22" t="n">
        <x:f>I249+K249+M249+O249</x:f>
        <x:v>77</x:v>
      </x:c>
      <x:c r="C249" s="10" t="str">
        <x:f>IF(B249&gt;=93,"A — Highest",IF(B249&gt;=85,"B — Very strong",IF(B249&gt;=75,"C — Strong",IF(B249&gt;=65,"D — Useful","E — Supporting"))))</x:f>
        <x:v>C — Strong</x:v>
      </x:c>
      <x:c r="D249" s="10" t="str">
        <x:v>Drivers of carbon emissions in G7 economies: Evidence on energy use, globalisation, urbanisation, industrialisation and innovation</x:v>
      </x:c>
      <x:c r="E249" s="10" t="str">
        <x:v>2026-08-20</x:v>
      </x:c>
      <x:c r="F249" s="10" t="str">
        <x:v>A</x:v>
      </x:c>
      <x:c r="G249" s="10" t="str">
        <x:v>Energy Reports</x:v>
      </x:c>
      <x:c r="H249" s="10" t="str">
        <x:v>Lohansa Weerasinghe, Nadeesha Vithanage, Dinidu Rupasinghe, Chandrakumar Keesha, Ruwan Jayathilaka</x:v>
      </x:c>
      <x:c r="I249" s="10" t="n">
        <x:v>32</x:v>
      </x:c>
      <x:c r="J249" s="10" t="str">
        <x:v>Peer-reviewed journal</x:v>
      </x:c>
      <x:c r="K249" s="10" t="n">
        <x:v>25</x:v>
      </x:c>
      <x:c r="L249" s="10" t="str">
        <x:v>Direct EU relevance</x:v>
      </x:c>
      <x:c r="M249" s="10" t="n">
        <x:v>15</x:v>
      </x:c>
      <x:c r="N249" s="10" t="str">
        <x:v>Peer-reviewed article</x:v>
      </x:c>
      <x:c r="O249" s="10" t="n">
        <x:v>5</x:v>
      </x:c>
      <x:c r="P249" s="10" t="str">
        <x:v>peer-reviewed article</x:v>
      </x:c>
      <x:c r="Q249" s="10" t="str">
        <x:v>direct</x:v>
      </x:c>
      <x:c r="R249" s="10" t="str">
        <x:v>https://doi.org/10.1016/j.egyr.2026.109642</x:v>
      </x:c>
    </x:row>
    <x:row r="250">
      <x:c r="A250" s="10" t="n">
        <x:f>RANK.EQ(B250,$B$2:$B$446,0)+COUNTIF($B$2:B250,B250)-1</x:f>
        <x:v>249</x:v>
      </x:c>
      <x:c r="B250" s="22" t="n">
        <x:f>I250+K250+M250+O250</x:f>
        <x:v>77</x:v>
      </x:c>
      <x:c r="C250" s="10" t="str">
        <x:f>IF(B250&gt;=93,"A — Highest",IF(B250&gt;=85,"B — Very strong",IF(B250&gt;=75,"C — Strong",IF(B250&gt;=65,"D — Useful","E — Supporting"))))</x:f>
        <x:v>C — Strong</x:v>
      </x:c>
      <x:c r="D250" s="10" t="str">
        <x:v>A Systems-Informed Assessment of Türkiye’s Digital, Human-Capability, and Innovation Enablers for Industry 5.0 Relative to the EU-27: An Integrated CRITIC–MARCOS and Entropy–TOPSIS Approach</x:v>
      </x:c>
      <x:c r="E250" s="10" t="str">
        <x:v>2026-08-18</x:v>
      </x:c>
      <x:c r="F250" s="10" t="str">
        <x:v>A</x:v>
      </x:c>
      <x:c r="G250" s="10" t="str">
        <x:v>Systems</x:v>
      </x:c>
      <x:c r="H250" s="10" t="str">
        <x:v>Alaeddin Koska</x:v>
      </x:c>
      <x:c r="I250" s="10" t="n">
        <x:v>32</x:v>
      </x:c>
      <x:c r="J250" s="10" t="str">
        <x:v>Peer-reviewed journal</x:v>
      </x:c>
      <x:c r="K250" s="10" t="n">
        <x:v>25</x:v>
      </x:c>
      <x:c r="L250" s="10" t="str">
        <x:v>Direct EU relevance</x:v>
      </x:c>
      <x:c r="M250" s="10" t="n">
        <x:v>15</x:v>
      </x:c>
      <x:c r="N250" s="10" t="str">
        <x:v>Peer-reviewed article</x:v>
      </x:c>
      <x:c r="O250" s="10" t="n">
        <x:v>5</x:v>
      </x:c>
      <x:c r="P250" s="10" t="str">
        <x:v>peer-reviewed article</x:v>
      </x:c>
      <x:c r="Q250" s="10" t="str">
        <x:v>direct</x:v>
      </x:c>
      <x:c r="R250" s="10" t="str">
        <x:v>https://doi.org/10.3390/systems14081017</x:v>
      </x:c>
    </x:row>
    <x:row r="251">
      <x:c r="A251" s="10" t="n">
        <x:f>RANK.EQ(B251,$B$2:$B$446,0)+COUNTIF($B$2:B251,B251)-1</x:f>
        <x:v>250</x:v>
      </x:c>
      <x:c r="B251" s="22" t="n">
        <x:f>I251+K251+M251+O251</x:f>
        <x:v>77</x:v>
      </x:c>
      <x:c r="C251" s="10" t="str">
        <x:f>IF(B251&gt;=93,"A — Highest",IF(B251&gt;=85,"B — Very strong",IF(B251&gt;=75,"C — Strong",IF(B251&gt;=65,"D — Useful","E — Supporting"))))</x:f>
        <x:v>C — Strong</x:v>
      </x:c>
      <x:c r="D251" s="10" t="str">
        <x:v>Opportunities for vein‐to‐vein datasets from a blood establishment perspective: Towards a ‘Pan‐European Transfusion Research InfrAstructure ’</x:v>
      </x:c>
      <x:c r="E251" s="10" t="str">
        <x:v>2026-08-18</x:v>
      </x:c>
      <x:c r="F251" s="10" t="str">
        <x:v>A</x:v>
      </x:c>
      <x:c r="G251" s="10" t="str">
        <x:v>Vox Sanguinis</x:v>
      </x:c>
      <x:c r="H251" s="10" t="str">
        <x:v>Sophie M. T. Wehrens, Mikko Arvas, Suzanne F. Fustolo‐Gunnink, Matea Vinković Vlah, Allison Waters, Christian Erikstrup, Louise Ørnskov Drechsler, Simon J. Stanworth, et al.</x:v>
      </x:c>
      <x:c r="I251" s="10" t="n">
        <x:v>32</x:v>
      </x:c>
      <x:c r="J251" s="10" t="str">
        <x:v>Peer-reviewed journal</x:v>
      </x:c>
      <x:c r="K251" s="10" t="n">
        <x:v>25</x:v>
      </x:c>
      <x:c r="L251" s="10" t="str">
        <x:v>Direct EU relevance</x:v>
      </x:c>
      <x:c r="M251" s="10" t="n">
        <x:v>15</x:v>
      </x:c>
      <x:c r="N251" s="10" t="str">
        <x:v>Peer-reviewed article</x:v>
      </x:c>
      <x:c r="O251" s="10" t="n">
        <x:v>5</x:v>
      </x:c>
      <x:c r="P251" s="10" t="str">
        <x:v>peer-reviewed article</x:v>
      </x:c>
      <x:c r="Q251" s="10" t="str">
        <x:v>direct</x:v>
      </x:c>
      <x:c r="R251" s="10" t="str">
        <x:v>https://doi.org/10.1111/vox.70340</x:v>
      </x:c>
    </x:row>
    <x:row r="252">
      <x:c r="A252" s="10" t="n">
        <x:f>RANK.EQ(B252,$B$2:$B$446,0)+COUNTIF($B$2:B252,B252)-1</x:f>
        <x:v>251</x:v>
      </x:c>
      <x:c r="B252" s="22" t="n">
        <x:f>I252+K252+M252+O252</x:f>
        <x:v>77</x:v>
      </x:c>
      <x:c r="C252" s="10" t="str">
        <x:f>IF(B252&gt;=93,"A — Highest",IF(B252&gt;=85,"B — Very strong",IF(B252&gt;=75,"C — Strong",IF(B252&gt;=65,"D — Useful","E — Supporting"))))</x:f>
        <x:v>C — Strong</x:v>
      </x:c>
      <x:c r="D252" s="10" t="str">
        <x:v>From prototype to infrastructure: building a cross-realm European alert system for invasive alien species</x:v>
      </x:c>
      <x:c r="E252" s="10" t="str">
        <x:v>2026-08-17</x:v>
      </x:c>
      <x:c r="F252" s="10" t="str">
        <x:v>A</x:v>
      </x:c>
      <x:c r="G252" s="10" t="str">
        <x:v>ARPHA Conference Abstracts</x:v>
      </x:c>
      <x:c r="H252" s="10" t="str">
        <x:v>Quentin Groom, Tim Adriaens, Lissa Breugelmans, Nicolas Noé, Damiano Oldoni</x:v>
      </x:c>
      <x:c r="I252" s="10" t="n">
        <x:v>32</x:v>
      </x:c>
      <x:c r="J252" s="10" t="str">
        <x:v>Peer-reviewed journal</x:v>
      </x:c>
      <x:c r="K252" s="10" t="n">
        <x:v>25</x:v>
      </x:c>
      <x:c r="L252" s="10" t="str">
        <x:v>Direct EU relevance</x:v>
      </x:c>
      <x:c r="M252" s="10" t="n">
        <x:v>15</x:v>
      </x:c>
      <x:c r="N252" s="10" t="str">
        <x:v>Peer-reviewed article</x:v>
      </x:c>
      <x:c r="O252" s="10" t="n">
        <x:v>5</x:v>
      </x:c>
      <x:c r="P252" s="10" t="str">
        <x:v>peer-reviewed article</x:v>
      </x:c>
      <x:c r="Q252" s="10" t="str">
        <x:v>direct</x:v>
      </x:c>
      <x:c r="R252" s="10" t="str">
        <x:v>https://doi.org/10.3897/aca.9.e202294</x:v>
      </x:c>
    </x:row>
    <x:row r="253">
      <x:c r="A253" s="10" t="n">
        <x:f>RANK.EQ(B253,$B$2:$B$446,0)+COUNTIF($B$2:B253,B253)-1</x:f>
        <x:v>252</x:v>
      </x:c>
      <x:c r="B253" s="22" t="n">
        <x:f>I253+K253+M253+O253</x:f>
        <x:v>77</x:v>
      </x:c>
      <x:c r="C253" s="10" t="str">
        <x:f>IF(B253&gt;=93,"A — Highest",IF(B253&gt;=85,"B — Very strong",IF(B253&gt;=75,"C — Strong",IF(B253&gt;=65,"D — Useful","E — Supporting"))))</x:f>
        <x:v>C — Strong</x:v>
      </x:c>
      <x:c r="D253" s="10" t="str">
        <x:v>Small “Arctic Superpowers”: Technological Capabilities in the A rctic as Symbolic Capital in the Strategic Cultures of Norway and Finland</x:v>
      </x:c>
      <x:c r="E253" s="10" t="str">
        <x:v>2026-08-17</x:v>
      </x:c>
      <x:c r="F253" s="10" t="str">
        <x:v>A</x:v>
      </x:c>
      <x:c r="G253" s="10" t="str">
        <x:v>Journal of International Analytics</x:v>
      </x:c>
      <x:c r="H253" s="10" t="str">
        <x:v>Липунов Н. С.</x:v>
      </x:c>
      <x:c r="I253" s="10" t="n">
        <x:v>32</x:v>
      </x:c>
      <x:c r="J253" s="10" t="str">
        <x:v>Peer-reviewed journal</x:v>
      </x:c>
      <x:c r="K253" s="10" t="n">
        <x:v>25</x:v>
      </x:c>
      <x:c r="L253" s="10" t="str">
        <x:v>Direct EU relevance</x:v>
      </x:c>
      <x:c r="M253" s="10" t="n">
        <x:v>15</x:v>
      </x:c>
      <x:c r="N253" s="10" t="str">
        <x:v>Peer-reviewed article</x:v>
      </x:c>
      <x:c r="O253" s="10" t="n">
        <x:v>5</x:v>
      </x:c>
      <x:c r="P253" s="10" t="str">
        <x:v>peer-reviewed article</x:v>
      </x:c>
      <x:c r="Q253" s="10" t="str">
        <x:v>direct</x:v>
      </x:c>
      <x:c r="R253" s="10" t="str">
        <x:v>https://doi.org/10.46272/2587-8476-2026-17-2-139-155</x:v>
      </x:c>
    </x:row>
    <x:row r="254">
      <x:c r="A254" s="10" t="n">
        <x:f>RANK.EQ(B254,$B$2:$B$446,0)+COUNTIF($B$2:B254,B254)-1</x:f>
        <x:v>253</x:v>
      </x:c>
      <x:c r="B254" s="22" t="n">
        <x:f>I254+K254+M254+O254</x:f>
        <x:v>77</x:v>
      </x:c>
      <x:c r="C254" s="10" t="str">
        <x:f>IF(B254&gt;=93,"A — Highest",IF(B254&gt;=85,"B — Very strong",IF(B254&gt;=75,"C — Strong",IF(B254&gt;=65,"D — Useful","E — Supporting"))))</x:f>
        <x:v>C — Strong</x:v>
      </x:c>
      <x:c r="D254" s="10" t="str">
        <x:v>When less data is better: Exploratory privacy-by-design in AI-based human resource analytics based on synthetic data</x:v>
      </x:c>
      <x:c r="E254" s="10" t="str">
        <x:v>2026-08-17</x:v>
      </x:c>
      <x:c r="F254" s="10" t="str">
        <x:v>A</x:v>
      </x:c>
      <x:c r="G254" s="10" t="str">
        <x:v>Journal of King Saud University - Computer and Information Sciences</x:v>
      </x:c>
      <x:c r="H254" s="10" t="str">
        <x:v>Cristina Iancu, Simona‐Vasilica Oprea, Adela Bârã, Denisa-Maria Iordache</x:v>
      </x:c>
      <x:c r="I254" s="10" t="n">
        <x:v>32</x:v>
      </x:c>
      <x:c r="J254" s="10" t="str">
        <x:v>Peer-reviewed journal</x:v>
      </x:c>
      <x:c r="K254" s="10" t="n">
        <x:v>25</x:v>
      </x:c>
      <x:c r="L254" s="10" t="str">
        <x:v>Direct EU relevance</x:v>
      </x:c>
      <x:c r="M254" s="10" t="n">
        <x:v>15</x:v>
      </x:c>
      <x:c r="N254" s="10" t="str">
        <x:v>Peer-reviewed article</x:v>
      </x:c>
      <x:c r="O254" s="10" t="n">
        <x:v>5</x:v>
      </x:c>
      <x:c r="P254" s="10" t="str">
        <x:v>peer-reviewed article</x:v>
      </x:c>
      <x:c r="Q254" s="10" t="str">
        <x:v>direct</x:v>
      </x:c>
      <x:c r="R254" s="10" t="str">
        <x:v>https://doi.org/10.1007/s44443-026-01108-4</x:v>
      </x:c>
    </x:row>
    <x:row r="255">
      <x:c r="A255" s="10" t="n">
        <x:f>RANK.EQ(B255,$B$2:$B$446,0)+COUNTIF($B$2:B255,B255)-1</x:f>
        <x:v>254</x:v>
      </x:c>
      <x:c r="B255" s="22" t="n">
        <x:f>I255+K255+M255+O255</x:f>
        <x:v>77</x:v>
      </x:c>
      <x:c r="C255" s="10" t="str">
        <x:f>IF(B255&gt;=93,"A — Highest",IF(B255&gt;=85,"B — Very strong",IF(B255&gt;=75,"C — Strong",IF(B255&gt;=65,"D — Useful","E — Supporting"))))</x:f>
        <x:v>C — Strong</x:v>
      </x:c>
      <x:c r="D255" s="10" t="str">
        <x:v>Which job offers may mitigate brain drain? An analysis of Italian PhD students</x:v>
      </x:c>
      <x:c r="E255" s="10" t="str">
        <x:v>2026-08-16</x:v>
      </x:c>
      <x:c r="F255" s="10" t="str">
        <x:v>A</x:v>
      </x:c>
      <x:c r="G255" s="10" t="str">
        <x:v>Industry and Higher Education</x:v>
      </x:c>
      <x:c r="H255" s="10" t="str">
        <x:v>Monique Wangyi Dai, Giulio Marini, Hugo Horta</x:v>
      </x:c>
      <x:c r="I255" s="10" t="n">
        <x:v>32</x:v>
      </x:c>
      <x:c r="J255" s="10" t="str">
        <x:v>Peer-reviewed journal</x:v>
      </x:c>
      <x:c r="K255" s="10" t="n">
        <x:v>25</x:v>
      </x:c>
      <x:c r="L255" s="10" t="str">
        <x:v>Direct EU relevance</x:v>
      </x:c>
      <x:c r="M255" s="10" t="n">
        <x:v>15</x:v>
      </x:c>
      <x:c r="N255" s="10" t="str">
        <x:v>Peer-reviewed article</x:v>
      </x:c>
      <x:c r="O255" s="10" t="n">
        <x:v>5</x:v>
      </x:c>
      <x:c r="P255" s="10" t="str">
        <x:v>peer-reviewed article</x:v>
      </x:c>
      <x:c r="Q255" s="10" t="str">
        <x:v>direct</x:v>
      </x:c>
      <x:c r="R255" s="10" t="str">
        <x:v>https://doi.org/10.1177/09504222261478187</x:v>
      </x:c>
    </x:row>
    <x:row r="256">
      <x:c r="A256" s="10" t="n">
        <x:f>RANK.EQ(B256,$B$2:$B$446,0)+COUNTIF($B$2:B256,B256)-1</x:f>
        <x:v>255</x:v>
      </x:c>
      <x:c r="B256" s="22" t="n">
        <x:f>I256+K256+M256+O256</x:f>
        <x:v>77</x:v>
      </x:c>
      <x:c r="C256" s="10" t="str">
        <x:f>IF(B256&gt;=93,"A — Highest",IF(B256&gt;=85,"B — Very strong",IF(B256&gt;=75,"C — Strong",IF(B256&gt;=65,"D — Useful","E — Supporting"))))</x:f>
        <x:v>C — Strong</x:v>
      </x:c>
      <x:c r="D256" s="10" t="str">
        <x:v>Reconfiguring University Missions in the Knowledge Society: The Case of Portuguese Universities in European Alliances</x:v>
      </x:c>
      <x:c r="E256" s="10" t="str">
        <x:v>2026-08-15</x:v>
      </x:c>
      <x:c r="F256" s="10" t="str">
        <x:v>A</x:v>
      </x:c>
      <x:c r="G256" s="10" t="str">
        <x:v>Higher Education Quarterly</x:v>
      </x:c>
      <x:c r="H256" s="10" t="str">
        <x:v>Teresa Carvalho, Maria J. Rosa, Estela Cunha, Ricardo Ayala, Ana I. Melo, Carina Jordão, Cláudia Figueiredo, José Pedro Silva, et al.</x:v>
      </x:c>
      <x:c r="I256" s="10" t="n">
        <x:v>32</x:v>
      </x:c>
      <x:c r="J256" s="10" t="str">
        <x:v>Peer-reviewed journal</x:v>
      </x:c>
      <x:c r="K256" s="10" t="n">
        <x:v>25</x:v>
      </x:c>
      <x:c r="L256" s="10" t="str">
        <x:v>Direct EU relevance</x:v>
      </x:c>
      <x:c r="M256" s="10" t="n">
        <x:v>15</x:v>
      </x:c>
      <x:c r="N256" s="10" t="str">
        <x:v>Peer-reviewed article</x:v>
      </x:c>
      <x:c r="O256" s="10" t="n">
        <x:v>5</x:v>
      </x:c>
      <x:c r="P256" s="10" t="str">
        <x:v>peer-reviewed article</x:v>
      </x:c>
      <x:c r="Q256" s="10" t="str">
        <x:v>direct</x:v>
      </x:c>
      <x:c r="R256" s="10" t="str">
        <x:v>https://doi.org/10.1111/hequ.70152</x:v>
      </x:c>
    </x:row>
    <x:row r="257">
      <x:c r="A257" s="10" t="n">
        <x:f>RANK.EQ(B257,$B$2:$B$446,0)+COUNTIF($B$2:B257,B257)-1</x:f>
        <x:v>256</x:v>
      </x:c>
      <x:c r="B257" s="22" t="n">
        <x:f>I257+K257+M257+O257</x:f>
        <x:v>77</x:v>
      </x:c>
      <x:c r="C257" s="10" t="str">
        <x:f>IF(B257&gt;=93,"A — Highest",IF(B257&gt;=85,"B — Very strong",IF(B257&gt;=75,"C — Strong",IF(B257&gt;=65,"D — Useful","E — Supporting"))))</x:f>
        <x:v>C — Strong</x:v>
      </x:c>
      <x:c r="D257" s="10" t="str">
        <x:v>Digital Transformation of Portugal’s Marine Industry: Practical Logic, Strategic Framework, Challenges, and Implications</x:v>
      </x:c>
      <x:c r="E257" s="10" t="str">
        <x:v>2026-08-14</x:v>
      </x:c>
      <x:c r="F257" s="10" t="str">
        <x:v>A</x:v>
      </x:c>
      <x:c r="G257" s="10" t="str">
        <x:v>Critical humanistic social theory.</x:v>
      </x:c>
      <x:c r="H257" s="10" t="str">
        <x:v>Xiaonan Li, Yixin Hao, Zhixing Yin</x:v>
      </x:c>
      <x:c r="I257" s="10" t="n">
        <x:v>32</x:v>
      </x:c>
      <x:c r="J257" s="10" t="str">
        <x:v>Peer-reviewed journal</x:v>
      </x:c>
      <x:c r="K257" s="10" t="n">
        <x:v>25</x:v>
      </x:c>
      <x:c r="L257" s="10" t="str">
        <x:v>Direct EU relevance</x:v>
      </x:c>
      <x:c r="M257" s="10" t="n">
        <x:v>15</x:v>
      </x:c>
      <x:c r="N257" s="10" t="str">
        <x:v>Peer-reviewed article</x:v>
      </x:c>
      <x:c r="O257" s="10" t="n">
        <x:v>5</x:v>
      </x:c>
      <x:c r="P257" s="10" t="str">
        <x:v>peer-reviewed article</x:v>
      </x:c>
      <x:c r="Q257" s="10" t="str">
        <x:v>direct</x:v>
      </x:c>
      <x:c r="R257" s="10" t="str">
        <x:v>https://doi.org/10.62177/chst.v3i3.1610</x:v>
      </x:c>
    </x:row>
    <x:row r="258">
      <x:c r="A258" s="10" t="n">
        <x:f>RANK.EQ(B258,$B$2:$B$446,0)+COUNTIF($B$2:B258,B258)-1</x:f>
        <x:v>257</x:v>
      </x:c>
      <x:c r="B258" s="22" t="n">
        <x:f>I258+K258+M258+O258</x:f>
        <x:v>77</x:v>
      </x:c>
      <x:c r="C258" s="10" t="str">
        <x:f>IF(B258&gt;=93,"A — Highest",IF(B258&gt;=85,"B — Very strong",IF(B258&gt;=75,"C — Strong",IF(B258&gt;=65,"D — Useful","E — Supporting"))))</x:f>
        <x:v>C — Strong</x:v>
      </x:c>
      <x:c r="D258" s="10" t="str">
        <x:v>Regulatory Research Priorities for AI Use in the Medicine Lifecycle: A European Perspective with Global Relevance</x:v>
      </x:c>
      <x:c r="E258" s="10" t="str">
        <x:v>2026-08-13</x:v>
      </x:c>
      <x:c r="F258" s="10" t="str">
        <x:v>A</x:v>
      </x:c>
      <x:c r="G258" s="10" t="str">
        <x:v>Clinical Pharmacology &amp; Therapeutics</x:v>
      </x:c>
      <x:c r="H258" s="10" t="str">
        <x:v>Luis C. Pinheiro, Amanda C. Langston, Marie Orre, Joerg Zinserling, Konstantina Boumaki, Bastian V. H. Hornung, Siobhan O'Sullivan, Gabriel Westman, et al.</x:v>
      </x:c>
      <x:c r="I258" s="10" t="n">
        <x:v>32</x:v>
      </x:c>
      <x:c r="J258" s="10" t="str">
        <x:v>Peer-reviewed journal</x:v>
      </x:c>
      <x:c r="K258" s="10" t="n">
        <x:v>25</x:v>
      </x:c>
      <x:c r="L258" s="10" t="str">
        <x:v>Direct EU relevance</x:v>
      </x:c>
      <x:c r="M258" s="10" t="n">
        <x:v>15</x:v>
      </x:c>
      <x:c r="N258" s="10" t="str">
        <x:v>Peer-reviewed article</x:v>
      </x:c>
      <x:c r="O258" s="10" t="n">
        <x:v>5</x:v>
      </x:c>
      <x:c r="P258" s="10" t="str">
        <x:v>peer-reviewed article</x:v>
      </x:c>
      <x:c r="Q258" s="10" t="str">
        <x:v>direct</x:v>
      </x:c>
      <x:c r="R258" s="10" t="str">
        <x:v>https://doi.org/10.1002/cpt.70400</x:v>
      </x:c>
    </x:row>
    <x:row r="259">
      <x:c r="A259" s="10" t="n">
        <x:f>RANK.EQ(B259,$B$2:$B$446,0)+COUNTIF($B$2:B259,B259)-1</x:f>
        <x:v>258</x:v>
      </x:c>
      <x:c r="B259" s="22" t="n">
        <x:f>I259+K259+M259+O259</x:f>
        <x:v>77</x:v>
      </x:c>
      <x:c r="C259" s="10" t="str">
        <x:f>IF(B259&gt;=93,"A — Highest",IF(B259&gt;=85,"B — Very strong",IF(B259&gt;=75,"C — Strong",IF(B259&gt;=65,"D — Useful","E — Supporting"))))</x:f>
        <x:v>C — Strong</x:v>
      </x:c>
      <x:c r="D259" s="10" t="str">
        <x:v>EUMETSAT turns 40: International cooperation as a driver of global leadership in Earth observation</x:v>
      </x:c>
      <x:c r="E259" s="10" t="str">
        <x:v>2026-08-12</x:v>
      </x:c>
      <x:c r="F259" s="10" t="str">
        <x:v>A</x:v>
      </x:c>
      <x:c r="G259" s="10" t="str">
        <x:v>Journal of the European Meteorological Society.</x:v>
      </x:c>
      <x:c r="H259" s="10" t="str">
        <x:v>Paul Counet, Antoine Berment</x:v>
      </x:c>
      <x:c r="I259" s="10" t="n">
        <x:v>32</x:v>
      </x:c>
      <x:c r="J259" s="10" t="str">
        <x:v>Peer-reviewed journal</x:v>
      </x:c>
      <x:c r="K259" s="10" t="n">
        <x:v>25</x:v>
      </x:c>
      <x:c r="L259" s="10" t="str">
        <x:v>Direct EU relevance</x:v>
      </x:c>
      <x:c r="M259" s="10" t="n">
        <x:v>15</x:v>
      </x:c>
      <x:c r="N259" s="10" t="str">
        <x:v>Peer-reviewed article</x:v>
      </x:c>
      <x:c r="O259" s="10" t="n">
        <x:v>5</x:v>
      </x:c>
      <x:c r="P259" s="10" t="str">
        <x:v>peer-reviewed article</x:v>
      </x:c>
      <x:c r="Q259" s="10" t="str">
        <x:v>direct</x:v>
      </x:c>
      <x:c r="R259" s="10" t="str">
        <x:v>https://doi.org/10.1016/j.jemets.2026.100047</x:v>
      </x:c>
    </x:row>
    <x:row r="260">
      <x:c r="A260" s="10" t="n">
        <x:f>RANK.EQ(B260,$B$2:$B$446,0)+COUNTIF($B$2:B260,B260)-1</x:f>
        <x:v>259</x:v>
      </x:c>
      <x:c r="B260" s="22" t="n">
        <x:f>I260+K260+M260+O260</x:f>
        <x:v>77</x:v>
      </x:c>
      <x:c r="C260" s="10" t="str">
        <x:f>IF(B260&gt;=93,"A — Highest",IF(B260&gt;=85,"B — Very strong",IF(B260&gt;=75,"C — Strong",IF(B260&gt;=65,"D — Useful","E — Supporting"))))</x:f>
        <x:v>C — Strong</x:v>
      </x:c>
      <x:c r="D260" s="10" t="str">
        <x:v>System Leadership for SDG-Aligned Research Security in Ireland</x:v>
      </x:c>
      <x:c r="E260" s="10" t="str">
        <x:v>2026-08-12</x:v>
      </x:c>
      <x:c r="F260" s="10" t="str">
        <x:v>A</x:v>
      </x:c>
      <x:c r="G260" s="10" t="str">
        <x:v>Journal of Research Management and Administration</x:v>
      </x:c>
      <x:c r="H260" s="10" t="str">
        <x:v>Seán Lacey</x:v>
      </x:c>
      <x:c r="I260" s="10" t="n">
        <x:v>32</x:v>
      </x:c>
      <x:c r="J260" s="10" t="str">
        <x:v>Peer-reviewed journal</x:v>
      </x:c>
      <x:c r="K260" s="10" t="n">
        <x:v>25</x:v>
      </x:c>
      <x:c r="L260" s="10" t="str">
        <x:v>Direct EU relevance</x:v>
      </x:c>
      <x:c r="M260" s="10" t="n">
        <x:v>15</x:v>
      </x:c>
      <x:c r="N260" s="10" t="str">
        <x:v>Peer-reviewed article</x:v>
      </x:c>
      <x:c r="O260" s="10" t="n">
        <x:v>5</x:v>
      </x:c>
      <x:c r="P260" s="10" t="str">
        <x:v>peer-reviewed article</x:v>
      </x:c>
      <x:c r="Q260" s="10" t="str">
        <x:v>direct</x:v>
      </x:c>
      <x:c r="R260" s="10" t="str">
        <x:v>https://doi.org/10.18552/jorma.v5i1.1450</x:v>
      </x:c>
    </x:row>
    <x:row r="261">
      <x:c r="A261" s="10" t="n">
        <x:f>RANK.EQ(B261,$B$2:$B$446,0)+COUNTIF($B$2:B261,B261)-1</x:f>
        <x:v>260</x:v>
      </x:c>
      <x:c r="B261" s="22" t="n">
        <x:f>I261+K261+M261+O261</x:f>
        <x:v>77</x:v>
      </x:c>
      <x:c r="C261" s="10" t="str">
        <x:f>IF(B261&gt;=93,"A — Highest",IF(B261&gt;=85,"B — Very strong",IF(B261&gt;=75,"C — Strong",IF(B261&gt;=65,"D — Useful","E — Supporting"))))</x:f>
        <x:v>C — Strong</x:v>
      </x:c>
      <x:c r="D261" s="10" t="str">
        <x:v>Artificial Intelligence and Family Law: The Impact of the EU AI Act Regulatory Framework and Principles on the Use of AI in Family Proceedings</x:v>
      </x:c>
      <x:c r="E261" s="10" t="str">
        <x:v>2026-08-11</x:v>
      </x:c>
      <x:c r="F261" s="10" t="str">
        <x:v>A</x:v>
      </x:c>
      <x:c r="G261" s="10" t="str">
        <x:v>European Journal of Risk Regulation</x:v>
      </x:c>
      <x:c r="H261" s="10" t="str">
        <x:v>Michał A. Piegzik</x:v>
      </x:c>
      <x:c r="I261" s="10" t="n">
        <x:v>32</x:v>
      </x:c>
      <x:c r="J261" s="10" t="str">
        <x:v>Peer-reviewed journal</x:v>
      </x:c>
      <x:c r="K261" s="10" t="n">
        <x:v>25</x:v>
      </x:c>
      <x:c r="L261" s="10" t="str">
        <x:v>Direct EU relevance</x:v>
      </x:c>
      <x:c r="M261" s="10" t="n">
        <x:v>15</x:v>
      </x:c>
      <x:c r="N261" s="10" t="str">
        <x:v>Peer-reviewed article</x:v>
      </x:c>
      <x:c r="O261" s="10" t="n">
        <x:v>5</x:v>
      </x:c>
      <x:c r="P261" s="10" t="str">
        <x:v>peer-reviewed article</x:v>
      </x:c>
      <x:c r="Q261" s="10" t="str">
        <x:v>direct</x:v>
      </x:c>
      <x:c r="R261" s="10" t="str">
        <x:v>https://doi.org/10.1017/err.2026.10143</x:v>
      </x:c>
    </x:row>
    <x:row r="262">
      <x:c r="A262" s="10" t="n">
        <x:f>RANK.EQ(B262,$B$2:$B$446,0)+COUNTIF($B$2:B262,B262)-1</x:f>
        <x:v>261</x:v>
      </x:c>
      <x:c r="B262" s="22" t="n">
        <x:f>I262+K262+M262+O262</x:f>
        <x:v>77</x:v>
      </x:c>
      <x:c r="C262" s="10" t="str">
        <x:f>IF(B262&gt;=93,"A — Highest",IF(B262&gt;=85,"B — Very strong",IF(B262&gt;=75,"C — Strong",IF(B262&gt;=65,"D — Useful","E — Supporting"))))</x:f>
        <x:v>C — Strong</x:v>
      </x:c>
      <x:c r="D262" s="10" t="str">
        <x:v>Research Infrastructures as Bottleneck Resources: A Pathway-Based Evaluation of Support in Challenge-Driven Access</x:v>
      </x:c>
      <x:c r="E262" s="10" t="str">
        <x:v>2026-08-11</x:v>
      </x:c>
      <x:c r="F262" s="10" t="str">
        <x:v>A</x:v>
      </x:c>
      <x:c r="G262" s="10" t="str">
        <x:v>EPJ Research Infrastructures</x:v>
      </x:c>
      <x:c r="H262" s="10" t="str">
        <x:v>Nicolas V. Rüffin, Katharina C. Cramer</x:v>
      </x:c>
      <x:c r="I262" s="10" t="n">
        <x:v>32</x:v>
      </x:c>
      <x:c r="J262" s="10" t="str">
        <x:v>Peer-reviewed journal</x:v>
      </x:c>
      <x:c r="K262" s="10" t="n">
        <x:v>25</x:v>
      </x:c>
      <x:c r="L262" s="10" t="str">
        <x:v>Direct EU relevance</x:v>
      </x:c>
      <x:c r="M262" s="10" t="n">
        <x:v>15</x:v>
      </x:c>
      <x:c r="N262" s="10" t="str">
        <x:v>Peer-reviewed article</x:v>
      </x:c>
      <x:c r="O262" s="10" t="n">
        <x:v>5</x:v>
      </x:c>
      <x:c r="P262" s="10" t="str">
        <x:v>peer-reviewed article</x:v>
      </x:c>
      <x:c r="Q262" s="10" t="str">
        <x:v>direct</x:v>
      </x:c>
      <x:c r="R262" s="10" t="str">
        <x:v>https://doi.org/10.1007/s41781-026-00178-3</x:v>
      </x:c>
    </x:row>
    <x:row r="263">
      <x:c r="A263" s="10" t="n">
        <x:f>RANK.EQ(B263,$B$2:$B$446,0)+COUNTIF($B$2:B263,B263)-1</x:f>
        <x:v>262</x:v>
      </x:c>
      <x:c r="B263" s="22" t="n">
        <x:f>I263+K263+M263+O263</x:f>
        <x:v>77</x:v>
      </x:c>
      <x:c r="C263" s="10" t="str">
        <x:f>IF(B263&gt;=93,"A — Highest",IF(B263&gt;=85,"B — Very strong",IF(B263&gt;=75,"C — Strong",IF(B263&gt;=65,"D — Useful","E — Supporting"))))</x:f>
        <x:v>C — Strong</x:v>
      </x:c>
      <x:c r="D263" s="10" t="str">
        <x:v>Quantum Technologies as a Driver of Future Industrial Policy</x:v>
      </x:c>
      <x:c r="E263" s="10" t="str">
        <x:v>2026-08-08</x:v>
      </x:c>
      <x:c r="F263" s="10" t="str">
        <x:v>A</x:v>
      </x:c>
      <x:c r="G263" s="10" t="str">
        <x:v>Industrial Policy</x:v>
      </x:c>
      <x:c r="H263" s="10" t="str">
        <x:v>Kerim Tolgahan Narin, Sabri Öz</x:v>
      </x:c>
      <x:c r="I263" s="10" t="n">
        <x:v>32</x:v>
      </x:c>
      <x:c r="J263" s="10" t="str">
        <x:v>Peer-reviewed journal</x:v>
      </x:c>
      <x:c r="K263" s="10" t="n">
        <x:v>25</x:v>
      </x:c>
      <x:c r="L263" s="10" t="str">
        <x:v>Direct EU relevance</x:v>
      </x:c>
      <x:c r="M263" s="10" t="n">
        <x:v>15</x:v>
      </x:c>
      <x:c r="N263" s="10" t="str">
        <x:v>Peer-reviewed article</x:v>
      </x:c>
      <x:c r="O263" s="10" t="n">
        <x:v>5</x:v>
      </x:c>
      <x:c r="P263" s="10" t="str">
        <x:v>peer-reviewed article</x:v>
      </x:c>
      <x:c r="Q263" s="10" t="str">
        <x:v>direct</x:v>
      </x:c>
      <x:c r="R263" s="10" t="str">
        <x:v>https://doi.org/10.61192/indpol.1829442</x:v>
      </x:c>
    </x:row>
    <x:row r="264">
      <x:c r="A264" s="10" t="n">
        <x:f>RANK.EQ(B264,$B$2:$B$446,0)+COUNTIF($B$2:B264,B264)-1</x:f>
        <x:v>263</x:v>
      </x:c>
      <x:c r="B264" s="22" t="n">
        <x:f>I264+K264+M264+O264</x:f>
        <x:v>77</x:v>
      </x:c>
      <x:c r="C264" s="10" t="str">
        <x:f>IF(B264&gt;=93,"A — Highest",IF(B264&gt;=85,"B — Very strong",IF(B264&gt;=75,"C — Strong",IF(B264&gt;=65,"D — Useful","E — Supporting"))))</x:f>
        <x:v>C — Strong</x:v>
      </x:c>
      <x:c r="D264" s="10" t="str">
        <x:v>Coordinated clinical trial networks in nephrology: strengthening research infrastructure and improving trial delivery</x:v>
      </x:c>
      <x:c r="E264" s="10" t="str">
        <x:v>2026-08-06</x:v>
      </x:c>
      <x:c r="F264" s="10" t="str">
        <x:v>A</x:v>
      </x:c>
      <x:c r="G264" s="10" t="str">
        <x:v>Clinical Kidney Journal</x:v>
      </x:c>
      <x:c r="H264" s="10" t="str">
        <x:v>Martin H de Borst, Aaltje Y Adema, Jeetindra Balak, Hiddo J L Heerspink, Melanie Schoutteten, Ellen K Hoogeveen, Ewout J Hoorn, Niki Leenders, et al.</x:v>
      </x:c>
      <x:c r="I264" s="10" t="n">
        <x:v>32</x:v>
      </x:c>
      <x:c r="J264" s="10" t="str">
        <x:v>Peer-reviewed journal</x:v>
      </x:c>
      <x:c r="K264" s="10" t="n">
        <x:v>25</x:v>
      </x:c>
      <x:c r="L264" s="10" t="str">
        <x:v>Direct EU relevance</x:v>
      </x:c>
      <x:c r="M264" s="10" t="n">
        <x:v>15</x:v>
      </x:c>
      <x:c r="N264" s="10" t="str">
        <x:v>Peer-reviewed article</x:v>
      </x:c>
      <x:c r="O264" s="10" t="n">
        <x:v>5</x:v>
      </x:c>
      <x:c r="P264" s="10" t="str">
        <x:v>peer-reviewed article</x:v>
      </x:c>
      <x:c r="Q264" s="10" t="str">
        <x:v>direct</x:v>
      </x:c>
      <x:c r="R264" s="10" t="str">
        <x:v>https://doi.org/10.1093/ckj/sfag257</x:v>
      </x:c>
    </x:row>
    <x:row r="265">
      <x:c r="A265" s="10" t="n">
        <x:f>RANK.EQ(B265,$B$2:$B$446,0)+COUNTIF($B$2:B265,B265)-1</x:f>
        <x:v>264</x:v>
      </x:c>
      <x:c r="B265" s="22" t="n">
        <x:f>I265+K265+M265+O265</x:f>
        <x:v>77</x:v>
      </x:c>
      <x:c r="C265" s="10" t="str">
        <x:f>IF(B265&gt;=93,"A — Highest",IF(B265&gt;=85,"B — Very strong",IF(B265&gt;=75,"C — Strong",IF(B265&gt;=65,"D — Useful","E — Supporting"))))</x:f>
        <x:v>C — Strong</x:v>
      </x:c>
      <x:c r="D265" s="10" t="str">
        <x:v>Epistemic Authority, Centres, and Peripheries: Geopolitical Inequalities in Processes of Science-Making in Sub-Saharan African–West European Research Collaborations</x:v>
      </x:c>
      <x:c r="E265" s="10" t="str">
        <x:v>2026-08-05</x:v>
      </x:c>
      <x:c r="F265" s="10" t="str">
        <x:v>A</x:v>
      </x:c>
      <x:c r="G265" s="10" t="str">
        <x:v>Engaging Science Technology and Society</x:v>
      </x:c>
      <x:c r="H265" s="10" t="str">
        <x:v>Camilla Tetley</x:v>
      </x:c>
      <x:c r="I265" s="10" t="n">
        <x:v>32</x:v>
      </x:c>
      <x:c r="J265" s="10" t="str">
        <x:v>Peer-reviewed journal</x:v>
      </x:c>
      <x:c r="K265" s="10" t="n">
        <x:v>25</x:v>
      </x:c>
      <x:c r="L265" s="10" t="str">
        <x:v>Direct EU relevance</x:v>
      </x:c>
      <x:c r="M265" s="10" t="n">
        <x:v>15</x:v>
      </x:c>
      <x:c r="N265" s="10" t="str">
        <x:v>Peer-reviewed article</x:v>
      </x:c>
      <x:c r="O265" s="10" t="n">
        <x:v>5</x:v>
      </x:c>
      <x:c r="P265" s="10" t="str">
        <x:v>peer-reviewed article</x:v>
      </x:c>
      <x:c r="Q265" s="10" t="str">
        <x:v>direct</x:v>
      </x:c>
      <x:c r="R265" s="10" t="str">
        <x:v>https://doi.org/10.17351/ests2023.3113</x:v>
      </x:c>
    </x:row>
    <x:row r="266">
      <x:c r="A266" s="10" t="n">
        <x:f>RANK.EQ(B266,$B$2:$B$446,0)+COUNTIF($B$2:B266,B266)-1</x:f>
        <x:v>265</x:v>
      </x:c>
      <x:c r="B266" s="22" t="n">
        <x:f>I266+K266+M266+O266</x:f>
        <x:v>77</x:v>
      </x:c>
      <x:c r="C266" s="10" t="str">
        <x:f>IF(B266&gt;=93,"A — Highest",IF(B266&gt;=85,"B — Very strong",IF(B266&gt;=75,"C — Strong",IF(B266&gt;=65,"D — Useful","E — Supporting"))))</x:f>
        <x:v>C — Strong</x:v>
      </x:c>
      <x:c r="D266" s="10" t="str">
        <x:v>A paradigm shift in fertility care? Discourses on AI for IVF in the Netherlands and the UK</x:v>
      </x:c>
      <x:c r="E266" s="10" t="str">
        <x:v>2026-08-04</x:v>
      </x:c>
      <x:c r="F266" s="10" t="str">
        <x:v>A</x:v>
      </x:c>
      <x:c r="G266" s="10" t="str">
        <x:v>Social Science &amp; Medicine</x:v>
      </x:c>
      <x:c r="H266" s="10" t="str">
        <x:v>Esca van Blarikom, Manuela Perrotta</x:v>
      </x:c>
      <x:c r="I266" s="10" t="n">
        <x:v>32</x:v>
      </x:c>
      <x:c r="J266" s="10" t="str">
        <x:v>Peer-reviewed journal</x:v>
      </x:c>
      <x:c r="K266" s="10" t="n">
        <x:v>25</x:v>
      </x:c>
      <x:c r="L266" s="10" t="str">
        <x:v>Direct EU relevance</x:v>
      </x:c>
      <x:c r="M266" s="10" t="n">
        <x:v>15</x:v>
      </x:c>
      <x:c r="N266" s="10" t="str">
        <x:v>Peer-reviewed article</x:v>
      </x:c>
      <x:c r="O266" s="10" t="n">
        <x:v>5</x:v>
      </x:c>
      <x:c r="P266" s="10" t="str">
        <x:v>peer-reviewed article</x:v>
      </x:c>
      <x:c r="Q266" s="10" t="str">
        <x:v>direct</x:v>
      </x:c>
      <x:c r="R266" s="10" t="str">
        <x:v>https://doi.org/10.1016/j.socscimed.2026.119665</x:v>
      </x:c>
    </x:row>
    <x:row r="267">
      <x:c r="A267" s="10" t="n">
        <x:f>RANK.EQ(B267,$B$2:$B$446,0)+COUNTIF($B$2:B267,B267)-1</x:f>
        <x:v>266</x:v>
      </x:c>
      <x:c r="B267" s="22" t="n">
        <x:f>I267+K267+M267+O267</x:f>
        <x:v>77</x:v>
      </x:c>
      <x:c r="C267" s="10" t="str">
        <x:f>IF(B267&gt;=93,"A — Highest",IF(B267&gt;=85,"B — Very strong",IF(B267&gt;=75,"C — Strong",IF(B267&gt;=65,"D — Useful","E — Supporting"))))</x:f>
        <x:v>C — Strong</x:v>
      </x:c>
      <x:c r="D267" s="10" t="str">
        <x:v>Transforming viticulture through genomic innovation and integrated pest management for sustainable grape production</x:v>
      </x:c>
      <x:c r="E267" s="10" t="str">
        <x:v>2026-08-04</x:v>
      </x:c>
      <x:c r="F267" s="10" t="str">
        <x:v>A</x:v>
      </x:c>
      <x:c r="G267" s="10" t="str">
        <x:v>npj Science of Plants</x:v>
      </x:c>
      <x:c r="H267" s="10" t="str">
        <x:v>Giorgio Gambino, Lara Agnoli, Walter Chitarra, Marc Dressler, Andreia Figueiredo, Mario de la Fuente, Gabriele Di Gaspero, Ludger Hausmann, et al.</x:v>
      </x:c>
      <x:c r="I267" s="10" t="n">
        <x:v>32</x:v>
      </x:c>
      <x:c r="J267" s="10" t="str">
        <x:v>Peer-reviewed journal</x:v>
      </x:c>
      <x:c r="K267" s="10" t="n">
        <x:v>25</x:v>
      </x:c>
      <x:c r="L267" s="10" t="str">
        <x:v>Direct EU relevance</x:v>
      </x:c>
      <x:c r="M267" s="10" t="n">
        <x:v>15</x:v>
      </x:c>
      <x:c r="N267" s="10" t="str">
        <x:v>Peer-reviewed article</x:v>
      </x:c>
      <x:c r="O267" s="10" t="n">
        <x:v>5</x:v>
      </x:c>
      <x:c r="P267" s="10" t="str">
        <x:v>peer-reviewed article</x:v>
      </x:c>
      <x:c r="Q267" s="10" t="str">
        <x:v>direct</x:v>
      </x:c>
      <x:c r="R267" s="10" t="str">
        <x:v>https://doi.org/10.1038/s44383-026-00038-4</x:v>
      </x:c>
    </x:row>
    <x:row r="268">
      <x:c r="A268" s="10" t="n">
        <x:f>RANK.EQ(B268,$B$2:$B$446,0)+COUNTIF($B$2:B268,B268)-1</x:f>
        <x:v>267</x:v>
      </x:c>
      <x:c r="B268" s="22" t="n">
        <x:f>I268+K268+M268+O268</x:f>
        <x:v>77</x:v>
      </x:c>
      <x:c r="C268" s="10" t="str">
        <x:f>IF(B268&gt;=93,"A — Highest",IF(B268&gt;=85,"B — Very strong",IF(B268&gt;=75,"C — Strong",IF(B268&gt;=65,"D — Useful","E — Supporting"))))</x:f>
        <x:v>C — Strong</x:v>
      </x:c>
      <x:c r="D268" s="10" t="str">
        <x:v>Drivers and Barriers to Innovation Adoption in the EU Agro‐Food Sector: A Structured Literature Review of Firms and Farms</x:v>
      </x:c>
      <x:c r="E268" s="10" t="str">
        <x:v>2026-08-03</x:v>
      </x:c>
      <x:c r="F268" s="10" t="str">
        <x:v>A</x:v>
      </x:c>
      <x:c r="G268" s="10" t="str">
        <x:v>Journal of Economic Surveys</x:v>
      </x:c>
      <x:c r="H268" s="10" t="str">
        <x:v>Ginevra Coletti, Andrea Pronti, Emy Zecca</x:v>
      </x:c>
      <x:c r="I268" s="10" t="n">
        <x:v>32</x:v>
      </x:c>
      <x:c r="J268" s="10" t="str">
        <x:v>Peer-reviewed journal</x:v>
      </x:c>
      <x:c r="K268" s="10" t="n">
        <x:v>25</x:v>
      </x:c>
      <x:c r="L268" s="10" t="str">
        <x:v>Direct EU relevance</x:v>
      </x:c>
      <x:c r="M268" s="10" t="n">
        <x:v>15</x:v>
      </x:c>
      <x:c r="N268" s="10" t="str">
        <x:v>Peer-reviewed article</x:v>
      </x:c>
      <x:c r="O268" s="10" t="n">
        <x:v>5</x:v>
      </x:c>
      <x:c r="P268" s="10" t="str">
        <x:v>peer-reviewed article</x:v>
      </x:c>
      <x:c r="Q268" s="10" t="str">
        <x:v>direct</x:v>
      </x:c>
      <x:c r="R268" s="10" t="str">
        <x:v>https://doi.org/10.1111/joes.70144</x:v>
      </x:c>
    </x:row>
    <x:row r="269">
      <x:c r="A269" s="10" t="n">
        <x:f>RANK.EQ(B269,$B$2:$B$446,0)+COUNTIF($B$2:B269,B269)-1</x:f>
        <x:v>268</x:v>
      </x:c>
      <x:c r="B269" s="22" t="n">
        <x:f>I269+K269+M269+O269</x:f>
        <x:v>77</x:v>
      </x:c>
      <x:c r="C269" s="10" t="str">
        <x:f>IF(B269&gt;=93,"A — Highest",IF(B269&gt;=85,"B — Very strong",IF(B269&gt;=75,"C — Strong",IF(B269&gt;=65,"D — Useful","E — Supporting"))))</x:f>
        <x:v>C — Strong</x:v>
      </x:c>
      <x:c r="D269" s="10" t="str">
        <x:v>The sustainability turn in smart specialization: well-Being promotion as a dimension of place-based regional transformation</x:v>
      </x:c>
      <x:c r="E269" s="10" t="str">
        <x:v>2026-08-03</x:v>
      </x:c>
      <x:c r="F269" s="10" t="str">
        <x:v>A</x:v>
      </x:c>
      <x:c r="G269" s="10" t="str">
        <x:v>Innovation The European Journal of Social Science Research</x:v>
      </x:c>
      <x:c r="H269" s="10" t="str">
        <x:v>Riikka Poikela, Antti Mäenpää, Jaana Leinonen</x:v>
      </x:c>
      <x:c r="I269" s="10" t="n">
        <x:v>32</x:v>
      </x:c>
      <x:c r="J269" s="10" t="str">
        <x:v>Peer-reviewed journal</x:v>
      </x:c>
      <x:c r="K269" s="10" t="n">
        <x:v>25</x:v>
      </x:c>
      <x:c r="L269" s="10" t="str">
        <x:v>Direct EU relevance</x:v>
      </x:c>
      <x:c r="M269" s="10" t="n">
        <x:v>15</x:v>
      </x:c>
      <x:c r="N269" s="10" t="str">
        <x:v>Peer-reviewed article</x:v>
      </x:c>
      <x:c r="O269" s="10" t="n">
        <x:v>5</x:v>
      </x:c>
      <x:c r="P269" s="10" t="str">
        <x:v>peer-reviewed article</x:v>
      </x:c>
      <x:c r="Q269" s="10" t="str">
        <x:v>direct</x:v>
      </x:c>
      <x:c r="R269" s="10" t="str">
        <x:v>https://doi.org/10.1080/13511610.2026.2704157</x:v>
      </x:c>
    </x:row>
    <x:row r="270">
      <x:c r="A270" s="10" t="n">
        <x:f>RANK.EQ(B270,$B$2:$B$446,0)+COUNTIF($B$2:B270,B270)-1</x:f>
        <x:v>269</x:v>
      </x:c>
      <x:c r="B270" s="22" t="n">
        <x:f>I270+K270+M270+O270</x:f>
        <x:v>77</x:v>
      </x:c>
      <x:c r="C270" s="10" t="str">
        <x:f>IF(B270&gt;=93,"A — Highest",IF(B270&gt;=85,"B — Very strong",IF(B270&gt;=75,"C — Strong",IF(B270&gt;=65,"D — Useful","E — Supporting"))))</x:f>
        <x:v>C — Strong</x:v>
      </x:c>
      <x:c r="D270" s="10" t="str">
        <x:v>AI Adoption and National Economic Competitiveness: A Comparative Study of Industrial and Economic Leadership in Pakistan and the UK</x:v>
      </x:c>
      <x:c r="E270" s="10" t="str">
        <x:v>2026-08-01</x:v>
      </x:c>
      <x:c r="F270" s="10" t="str">
        <x:v>A</x:v>
      </x:c>
      <x:c r="G270" s="10" t="str">
        <x:v>Journal of Business Insight and Innovation</x:v>
      </x:c>
      <x:c r="H270" s="10" t="str">
        <x:v>Gilal Ashfaque Ali, Muhammad Irfan Syed, Saima Saqib, Syed Adil Abbas Rizvi, Saba Naz</x:v>
      </x:c>
      <x:c r="I270" s="10" t="n">
        <x:v>32</x:v>
      </x:c>
      <x:c r="J270" s="10" t="str">
        <x:v>Peer-reviewed journal</x:v>
      </x:c>
      <x:c r="K270" s="10" t="n">
        <x:v>25</x:v>
      </x:c>
      <x:c r="L270" s="10" t="str">
        <x:v>Direct EU relevance</x:v>
      </x:c>
      <x:c r="M270" s="10" t="n">
        <x:v>15</x:v>
      </x:c>
      <x:c r="N270" s="10" t="str">
        <x:v>Peer-reviewed article</x:v>
      </x:c>
      <x:c r="O270" s="10" t="n">
        <x:v>5</x:v>
      </x:c>
      <x:c r="P270" s="10" t="str">
        <x:v>peer-reviewed article</x:v>
      </x:c>
      <x:c r="Q270" s="10" t="str">
        <x:v>direct</x:v>
      </x:c>
      <x:c r="R270" s="10" t="str">
        <x:v>https://doi.org/10.63544/jbii.v5i8.129</x:v>
      </x:c>
    </x:row>
    <x:row r="271">
      <x:c r="A271" s="10" t="n">
        <x:f>RANK.EQ(B271,$B$2:$B$446,0)+COUNTIF($B$2:B271,B271)-1</x:f>
        <x:v>270</x:v>
      </x:c>
      <x:c r="B271" s="22" t="n">
        <x:f>I271+K271+M271+O271</x:f>
        <x:v>77</x:v>
      </x:c>
      <x:c r="C271" s="10" t="str">
        <x:f>IF(B271&gt;=93,"A — Highest",IF(B271&gt;=85,"B — Very strong",IF(B271&gt;=75,"C — Strong",IF(B271&gt;=65,"D — Useful","E — Supporting"))))</x:f>
        <x:v>C — Strong</x:v>
      </x:c>
      <x:c r="D271" s="10" t="str">
        <x:v>Digital architecture of information governance for education and research in Ukraine</x:v>
      </x:c>
      <x:c r="E271" s="10" t="str">
        <x:v>2026-08-01</x:v>
      </x:c>
      <x:c r="F271" s="10" t="str">
        <x:v>A</x:v>
      </x:c>
      <x:c r="G271" s="10" t="str">
        <x:v>International Science Journal of Engineering &amp; Agriculture</x:v>
      </x:c>
      <x:c r="H271" s="10" t="str">
        <x:v>Anastasiya Ilyina</x:v>
      </x:c>
      <x:c r="I271" s="10" t="n">
        <x:v>32</x:v>
      </x:c>
      <x:c r="J271" s="10" t="str">
        <x:v>Peer-reviewed journal</x:v>
      </x:c>
      <x:c r="K271" s="10" t="n">
        <x:v>25</x:v>
      </x:c>
      <x:c r="L271" s="10" t="str">
        <x:v>Direct EU relevance</x:v>
      </x:c>
      <x:c r="M271" s="10" t="n">
        <x:v>15</x:v>
      </x:c>
      <x:c r="N271" s="10" t="str">
        <x:v>Peer-reviewed article</x:v>
      </x:c>
      <x:c r="O271" s="10" t="n">
        <x:v>5</x:v>
      </x:c>
      <x:c r="P271" s="10" t="str">
        <x:v>peer-reviewed article</x:v>
      </x:c>
      <x:c r="Q271" s="10" t="str">
        <x:v>direct</x:v>
      </x:c>
      <x:c r="R271" s="10" t="str">
        <x:v>https://doi.org/10.46299/j.isjea.20260504.07</x:v>
      </x:c>
    </x:row>
    <x:row r="272">
      <x:c r="A272" s="10" t="n">
        <x:f>RANK.EQ(B272,$B$2:$B$446,0)+COUNTIF($B$2:B272,B272)-1</x:f>
        <x:v>271</x:v>
      </x:c>
      <x:c r="B272" s="22" t="n">
        <x:f>I272+K272+M272+O272</x:f>
        <x:v>77</x:v>
      </x:c>
      <x:c r="C272" s="10" t="str">
        <x:f>IF(B272&gt;=93,"A — Highest",IF(B272&gt;=85,"B — Very strong",IF(B272&gt;=75,"C — Strong",IF(B272&gt;=65,"D — Useful","E — Supporting"))))</x:f>
        <x:v>C — Strong</x:v>
      </x:c>
      <x:c r="D272" s="10" t="str">
        <x:v>Spatial analysis of environmental policy stringency effect on the environmental performance of European countries: mitigation options through green growth and green technological innovation</x:v>
      </x:c>
      <x:c r="E272" s="10" t="str">
        <x:v>2026-08-01</x:v>
      </x:c>
      <x:c r="F272" s="10" t="str">
        <x:v>A</x:v>
      </x:c>
      <x:c r="G272" s="10" t="str">
        <x:v>Environment Development and Sustainability</x:v>
      </x:c>
      <x:c r="H272" s="10" t="str">
        <x:v>Maria Shabir, Asif Javed, Snober Fazal, Nimra Usman</x:v>
      </x:c>
      <x:c r="I272" s="10" t="n">
        <x:v>32</x:v>
      </x:c>
      <x:c r="J272" s="10" t="str">
        <x:v>Peer-reviewed journal</x:v>
      </x:c>
      <x:c r="K272" s="10" t="n">
        <x:v>25</x:v>
      </x:c>
      <x:c r="L272" s="10" t="str">
        <x:v>Direct EU relevance</x:v>
      </x:c>
      <x:c r="M272" s="10" t="n">
        <x:v>15</x:v>
      </x:c>
      <x:c r="N272" s="10" t="str">
        <x:v>Peer-reviewed article</x:v>
      </x:c>
      <x:c r="O272" s="10" t="n">
        <x:v>5</x:v>
      </x:c>
      <x:c r="P272" s="10" t="str">
        <x:v>peer-reviewed article</x:v>
      </x:c>
      <x:c r="Q272" s="10" t="str">
        <x:v>direct</x:v>
      </x:c>
      <x:c r="R272" s="10" t="str">
        <x:v>https://doi.org/10.1007/s10668-026-08013-w</x:v>
      </x:c>
    </x:row>
    <x:row r="273">
      <x:c r="A273" s="10" t="n">
        <x:f>RANK.EQ(B273,$B$2:$B$446,0)+COUNTIF($B$2:B273,B273)-1</x:f>
        <x:v>272</x:v>
      </x:c>
      <x:c r="B273" s="22" t="n">
        <x:f>I273+K273+M273+O273</x:f>
        <x:v>77</x:v>
      </x:c>
      <x:c r="C273" s="10" t="str">
        <x:f>IF(B273&gt;=93,"A — Highest",IF(B273&gt;=85,"B — Very strong",IF(B273&gt;=75,"C — Strong",IF(B273&gt;=65,"D — Useful","E — Supporting"))))</x:f>
        <x:v>C — Strong</x:v>
      </x:c>
      <x:c r="D273" s="10" t="str">
        <x:v>The Economic and Technological Resilience in the European Union: Geopolitical Fragmentation, Economic Security and the Future of Competitiveness</x:v>
      </x:c>
      <x:c r="E273" s="10" t="str">
        <x:v>2026-08-01</x:v>
      </x:c>
      <x:c r="F273" s="10" t="str">
        <x:v>A</x:v>
      </x:c>
      <x:c r="G273" s="10" t="str">
        <x:v>World</x:v>
      </x:c>
      <x:c r="H273" s="10" t="str">
        <x:v>Kristína Králiková, Agneša Víghová</x:v>
      </x:c>
      <x:c r="I273" s="10" t="n">
        <x:v>32</x:v>
      </x:c>
      <x:c r="J273" s="10" t="str">
        <x:v>Peer-reviewed journal</x:v>
      </x:c>
      <x:c r="K273" s="10" t="n">
        <x:v>25</x:v>
      </x:c>
      <x:c r="L273" s="10" t="str">
        <x:v>Direct EU relevance</x:v>
      </x:c>
      <x:c r="M273" s="10" t="n">
        <x:v>15</x:v>
      </x:c>
      <x:c r="N273" s="10" t="str">
        <x:v>Peer-reviewed article</x:v>
      </x:c>
      <x:c r="O273" s="10" t="n">
        <x:v>5</x:v>
      </x:c>
      <x:c r="P273" s="10" t="str">
        <x:v>peer-reviewed article</x:v>
      </x:c>
      <x:c r="Q273" s="10" t="str">
        <x:v>direct</x:v>
      </x:c>
      <x:c r="R273" s="10" t="str">
        <x:v>https://doi.org/10.3390/world7080135</x:v>
      </x:c>
    </x:row>
    <x:row r="274">
      <x:c r="A274" s="10" t="n">
        <x:f>RANK.EQ(B274,$B$2:$B$446,0)+COUNTIF($B$2:B274,B274)-1</x:f>
        <x:v>273</x:v>
      </x:c>
      <x:c r="B274" s="22" t="n">
        <x:f>I274+K274+M274+O274</x:f>
        <x:v>77</x:v>
      </x:c>
      <x:c r="C274" s="10" t="str">
        <x:f>IF(B274&gt;=93,"A — Highest",IF(B274&gt;=85,"B — Very strong",IF(B274&gt;=75,"C — Strong",IF(B274&gt;=65,"D — Useful","E — Supporting"))))</x:f>
        <x:v>C — Strong</x:v>
      </x:c>
      <x:c r="D274" s="10" t="str">
        <x:v>Pockets of Excellence in Romanian Municipalities Between the New European Bauhaus and the AI Act</x:v>
      </x:c>
      <x:c r="E274" s="10" t="str">
        <x:v>2026-07-31</x:v>
      </x:c>
      <x:c r="F274" s="10" t="str">
        <x:v>A</x:v>
      </x:c>
      <x:c r="G274" s="10" t="str">
        <x:v>Applied Research in Administrative Sciences</x:v>
      </x:c>
      <x:c r="H274" s="10" t="str">
        <x:v>Akhilesh KUMAR SRIVASTAVA, Raluca Antonie, Alex BUTEAN, Jared HANSEN</x:v>
      </x:c>
      <x:c r="I274" s="10" t="n">
        <x:v>32</x:v>
      </x:c>
      <x:c r="J274" s="10" t="str">
        <x:v>Peer-reviewed journal</x:v>
      </x:c>
      <x:c r="K274" s="10" t="n">
        <x:v>25</x:v>
      </x:c>
      <x:c r="L274" s="10" t="str">
        <x:v>Direct EU relevance</x:v>
      </x:c>
      <x:c r="M274" s="10" t="n">
        <x:v>15</x:v>
      </x:c>
      <x:c r="N274" s="10" t="str">
        <x:v>Peer-reviewed article</x:v>
      </x:c>
      <x:c r="O274" s="10" t="n">
        <x:v>5</x:v>
      </x:c>
      <x:c r="P274" s="10" t="str">
        <x:v>peer-reviewed article</x:v>
      </x:c>
      <x:c r="Q274" s="10" t="str">
        <x:v>direct</x:v>
      </x:c>
      <x:c r="R274" s="10" t="str">
        <x:v>https://doi.org/10.24818/aras/2026/7/2.03</x:v>
      </x:c>
    </x:row>
    <x:row r="275">
      <x:c r="A275" s="10" t="n">
        <x:f>RANK.EQ(B275,$B$2:$B$446,0)+COUNTIF($B$2:B275,B275)-1</x:f>
        <x:v>274</x:v>
      </x:c>
      <x:c r="B275" s="22" t="n">
        <x:f>I275+K275+M275+O275</x:f>
        <x:v>77</x:v>
      </x:c>
      <x:c r="C275" s="10" t="str">
        <x:f>IF(B275&gt;=93,"A — Highest",IF(B275&gt;=85,"B — Very strong",IF(B275&gt;=75,"C — Strong",IF(B275&gt;=65,"D — Useful","E — Supporting"))))</x:f>
        <x:v>C — Strong</x:v>
      </x:c>
      <x:c r="D275" s="10" t="str">
        <x:v>SUSTAINABLE AI INTEGRATION IN LOCAL GOVERNANCE: HUMAN RIGHTS, ECONOMIC SUSTAINABILITY AND OVERCOMING DONOR DEPENDENCY</x:v>
      </x:c>
      <x:c r="E275" s="10" t="str">
        <x:v>2026-07-31</x:v>
      </x:c>
      <x:c r="F275" s="10" t="str">
        <x:v>A</x:v>
      </x:c>
      <x:c r="G275" s="10" t="str">
        <x:v>Baltic Journal of Economic Studies</x:v>
      </x:c>
      <x:c r="H275" s="10" t="str">
        <x:v>Zoia Ivantsova, Vitalii Barvinenko, Natalia Mishyna</x:v>
      </x:c>
      <x:c r="I275" s="10" t="n">
        <x:v>32</x:v>
      </x:c>
      <x:c r="J275" s="10" t="str">
        <x:v>Peer-reviewed journal</x:v>
      </x:c>
      <x:c r="K275" s="10" t="n">
        <x:v>25</x:v>
      </x:c>
      <x:c r="L275" s="10" t="str">
        <x:v>Direct EU relevance</x:v>
      </x:c>
      <x:c r="M275" s="10" t="n">
        <x:v>15</x:v>
      </x:c>
      <x:c r="N275" s="10" t="str">
        <x:v>Peer-reviewed article</x:v>
      </x:c>
      <x:c r="O275" s="10" t="n">
        <x:v>5</x:v>
      </x:c>
      <x:c r="P275" s="10" t="str">
        <x:v>peer-reviewed article</x:v>
      </x:c>
      <x:c r="Q275" s="10" t="str">
        <x:v>direct</x:v>
      </x:c>
      <x:c r="R275" s="10" t="str">
        <x:v>https://doi.org/10.30525/2256-0742/2026-12-3-363-368</x:v>
      </x:c>
    </x:row>
    <x:row r="276">
      <x:c r="A276" s="10" t="n">
        <x:f>RANK.EQ(B276,$B$2:$B$446,0)+COUNTIF($B$2:B276,B276)-1</x:f>
        <x:v>275</x:v>
      </x:c>
      <x:c r="B276" s="22" t="n">
        <x:f>I276+K276+M276+O276</x:f>
        <x:v>77</x:v>
      </x:c>
      <x:c r="C276" s="10" t="str">
        <x:f>IF(B276&gt;=93,"A — Highest",IF(B276&gt;=85,"B — Very strong",IF(B276&gt;=75,"C — Strong",IF(B276&gt;=65,"D — Useful","E — Supporting"))))</x:f>
        <x:v>C — Strong</x:v>
      </x:c>
      <x:c r="D276" s="10" t="str">
        <x:v>THE IMPACT OF THE DIGITAL ECONOMY ON DEVELOPMENT THE ASIA-PACIFIC REGION: MEASUREMENT ON GLOBAL VALUE CHAIN</x:v>
      </x:c>
      <x:c r="E276" s="10" t="str">
        <x:v>2026-07-31</x:v>
      </x:c>
      <x:c r="F276" s="10" t="str">
        <x:v>A</x:v>
      </x:c>
      <x:c r="G276" s="10" t="str">
        <x:v>Baltic Journal of Economic Studies</x:v>
      </x:c>
      <x:c r="H276" s="10" t="str">
        <x:v>Тетяна Харченко, Zhao Min</x:v>
      </x:c>
      <x:c r="I276" s="10" t="n">
        <x:v>32</x:v>
      </x:c>
      <x:c r="J276" s="10" t="str">
        <x:v>Peer-reviewed journal</x:v>
      </x:c>
      <x:c r="K276" s="10" t="n">
        <x:v>25</x:v>
      </x:c>
      <x:c r="L276" s="10" t="str">
        <x:v>Direct EU relevance</x:v>
      </x:c>
      <x:c r="M276" s="10" t="n">
        <x:v>15</x:v>
      </x:c>
      <x:c r="N276" s="10" t="str">
        <x:v>Peer-reviewed article</x:v>
      </x:c>
      <x:c r="O276" s="10" t="n">
        <x:v>5</x:v>
      </x:c>
      <x:c r="P276" s="10" t="str">
        <x:v>peer-reviewed article</x:v>
      </x:c>
      <x:c r="Q276" s="10" t="str">
        <x:v>direct</x:v>
      </x:c>
      <x:c r="R276" s="10" t="str">
        <x:v>https://doi.org/10.30525/2256-0742/2026-12-3-399-409</x:v>
      </x:c>
    </x:row>
    <x:row r="277">
      <x:c r="A277" s="10" t="n">
        <x:f>RANK.EQ(B277,$B$2:$B$446,0)+COUNTIF($B$2:B277,B277)-1</x:f>
        <x:v>276</x:v>
      </x:c>
      <x:c r="B277" s="22" t="n">
        <x:f>I277+K277+M277+O277</x:f>
        <x:v>77</x:v>
      </x:c>
      <x:c r="C277" s="10" t="str">
        <x:f>IF(B277&gt;=93,"A — Highest",IF(B277&gt;=85,"B — Very strong",IF(B277&gt;=75,"C — Strong",IF(B277&gt;=65,"D — Useful","E — Supporting"))))</x:f>
        <x:v>C — Strong</x:v>
      </x:c>
      <x:c r="D277" s="10" t="str">
        <x:v>No one builds alone: The geopolitics of AI chips</x:v>
      </x:c>
      <x:c r="E277" s="10" t="str">
        <x:v>2026-07-30</x:v>
      </x:c>
      <x:c r="F277" s="10" t="str">
        <x:v>A</x:v>
      </x:c>
      <x:c r="G277" s="10" t="str">
        <x:v>MIT Science Policy Review</x:v>
      </x:c>
      <x:c r="H277" s="10" t="str">
        <x:v>Zuzana Navratil</x:v>
      </x:c>
      <x:c r="I277" s="10" t="n">
        <x:v>32</x:v>
      </x:c>
      <x:c r="J277" s="10" t="str">
        <x:v>Peer-reviewed journal</x:v>
      </x:c>
      <x:c r="K277" s="10" t="n">
        <x:v>25</x:v>
      </x:c>
      <x:c r="L277" s="10" t="str">
        <x:v>Direct EU relevance</x:v>
      </x:c>
      <x:c r="M277" s="10" t="n">
        <x:v>15</x:v>
      </x:c>
      <x:c r="N277" s="10" t="str">
        <x:v>Peer-reviewed article</x:v>
      </x:c>
      <x:c r="O277" s="10" t="n">
        <x:v>5</x:v>
      </x:c>
      <x:c r="P277" s="10" t="str">
        <x:v>peer-reviewed article</x:v>
      </x:c>
      <x:c r="Q277" s="10" t="str">
        <x:v>direct</x:v>
      </x:c>
      <x:c r="R277" s="10" t="str">
        <x:v>https://doi.org/10.38105/spr.vf5ks0gobi</x:v>
      </x:c>
    </x:row>
    <x:row r="278">
      <x:c r="A278" s="10" t="n">
        <x:f>RANK.EQ(B278,$B$2:$B$446,0)+COUNTIF($B$2:B278,B278)-1</x:f>
        <x:v>277</x:v>
      </x:c>
      <x:c r="B278" s="22" t="n">
        <x:f>I278+K278+M278+O278</x:f>
        <x:v>77</x:v>
      </x:c>
      <x:c r="C278" s="10" t="str">
        <x:f>IF(B278&gt;=93,"A — Highest",IF(B278&gt;=85,"B — Very strong",IF(B278&gt;=75,"C — Strong",IF(B278&gt;=65,"D — Useful","E — Supporting"))))</x:f>
        <x:v>C — Strong</x:v>
      </x:c>
      <x:c r="D278" s="10" t="str">
        <x:v>Geopolitical Risk Mitigation in Information Governance:An Evaluation Framework for Algorithmic Bias and Data Security in AI-DrivenGlobal Supply Chains</x:v>
      </x:c>
      <x:c r="E278" s="10" t="str">
        <x:v>2026-07-29</x:v>
      </x:c>
      <x:c r="F278" s="10" t="str">
        <x:v>A</x:v>
      </x:c>
      <x:c r="G278" s="10" t="str">
        <x:v>International Journal of Computer Information Systems and Industrial Management Applications</x:v>
      </x:c>
      <x:c r="H278" s="10" t="str">
        <x:v>Iqra Nissar, Shreesh Pathak, Yogesh Kumar Gupta</x:v>
      </x:c>
      <x:c r="I278" s="10" t="n">
        <x:v>32</x:v>
      </x:c>
      <x:c r="J278" s="10" t="str">
        <x:v>Peer-reviewed journal</x:v>
      </x:c>
      <x:c r="K278" s="10" t="n">
        <x:v>25</x:v>
      </x:c>
      <x:c r="L278" s="10" t="str">
        <x:v>Direct EU relevance</x:v>
      </x:c>
      <x:c r="M278" s="10" t="n">
        <x:v>15</x:v>
      </x:c>
      <x:c r="N278" s="10" t="str">
        <x:v>Peer-reviewed article</x:v>
      </x:c>
      <x:c r="O278" s="10" t="n">
        <x:v>5</x:v>
      </x:c>
      <x:c r="P278" s="10" t="str">
        <x:v>peer-reviewed article</x:v>
      </x:c>
      <x:c r="Q278" s="10" t="str">
        <x:v>direct</x:v>
      </x:c>
      <x:c r="R278" s="10" t="str">
        <x:v>https://doi.org/10.70917/ijcisim-2026-3885</x:v>
      </x:c>
    </x:row>
    <x:row r="279">
      <x:c r="A279" s="10" t="n">
        <x:f>RANK.EQ(B279,$B$2:$B$446,0)+COUNTIF($B$2:B279,B279)-1</x:f>
        <x:v>278</x:v>
      </x:c>
      <x:c r="B279" s="22" t="n">
        <x:f>I279+K279+M279+O279</x:f>
        <x:v>77</x:v>
      </x:c>
      <x:c r="C279" s="10" t="str">
        <x:f>IF(B279&gt;=93,"A — Highest",IF(B279&gt;=85,"B — Very strong",IF(B279&gt;=75,"C — Strong",IF(B279&gt;=65,"D — Useful","E — Supporting"))))</x:f>
        <x:v>C — Strong</x:v>
      </x:c>
      <x:c r="D279" s="10" t="str">
        <x:v>Harnessing the wind: foreign direct investment and green innovation</x:v>
      </x:c>
      <x:c r="E279" s="10" t="str">
        <x:v>2026-07-29</x:v>
      </x:c>
      <x:c r="F279" s="10" t="str">
        <x:v>A</x:v>
      </x:c>
      <x:c r="G279" s="10" t="str">
        <x:v>Empirical Economics</x:v>
      </x:c>
      <x:c r="H279" s="10" t="str">
        <x:v>Mohammad Jamal Bataineh, Pedro Sánchez-Sellero, Jesús López-Rodríguez, Fayssal Ayad</x:v>
      </x:c>
      <x:c r="I279" s="10" t="n">
        <x:v>32</x:v>
      </x:c>
      <x:c r="J279" s="10" t="str">
        <x:v>Peer-reviewed journal</x:v>
      </x:c>
      <x:c r="K279" s="10" t="n">
        <x:v>25</x:v>
      </x:c>
      <x:c r="L279" s="10" t="str">
        <x:v>Direct EU relevance</x:v>
      </x:c>
      <x:c r="M279" s="10" t="n">
        <x:v>15</x:v>
      </x:c>
      <x:c r="N279" s="10" t="str">
        <x:v>Peer-reviewed article</x:v>
      </x:c>
      <x:c r="O279" s="10" t="n">
        <x:v>5</x:v>
      </x:c>
      <x:c r="P279" s="10" t="str">
        <x:v>peer-reviewed article</x:v>
      </x:c>
      <x:c r="Q279" s="10" t="str">
        <x:v>direct</x:v>
      </x:c>
      <x:c r="R279" s="10" t="str">
        <x:v>https://doi.org/10.1007/s00181-026-02937-y</x:v>
      </x:c>
    </x:row>
    <x:row r="280">
      <x:c r="A280" s="10" t="n">
        <x:f>RANK.EQ(B280,$B$2:$B$446,0)+COUNTIF($B$2:B280,B280)-1</x:f>
        <x:v>279</x:v>
      </x:c>
      <x:c r="B280" s="22" t="n">
        <x:f>I280+K280+M280+O280</x:f>
        <x:v>77</x:v>
      </x:c>
      <x:c r="C280" s="10" t="str">
        <x:f>IF(B280&gt;=93,"A — Highest",IF(B280&gt;=85,"B — Very strong",IF(B280&gt;=75,"C — Strong",IF(B280&gt;=65,"D — Useful","E — Supporting"))))</x:f>
        <x:v>C — Strong</x:v>
      </x:c>
      <x:c r="D280" s="10" t="str">
        <x:v>Navigating rural digital transition: lessons from innovation ecosystems in practice</x:v>
      </x:c>
      <x:c r="E280" s="10" t="str">
        <x:v>2026-07-29</x:v>
      </x:c>
      <x:c r="F280" s="10" t="str">
        <x:v>A</x:v>
      </x:c>
      <x:c r="G280" s="10" t="str">
        <x:v>Sustainability Science</x:v>
      </x:c>
      <x:c r="H280" s="10" t="str">
        <x:v>Carlo Giua, Brigida Marovelli, Michele Moretti, Gianluca Brunori</x:v>
      </x:c>
      <x:c r="I280" s="10" t="n">
        <x:v>32</x:v>
      </x:c>
      <x:c r="J280" s="10" t="str">
        <x:v>Peer-reviewed journal</x:v>
      </x:c>
      <x:c r="K280" s="10" t="n">
        <x:v>25</x:v>
      </x:c>
      <x:c r="L280" s="10" t="str">
        <x:v>Direct EU relevance</x:v>
      </x:c>
      <x:c r="M280" s="10" t="n">
        <x:v>15</x:v>
      </x:c>
      <x:c r="N280" s="10" t="str">
        <x:v>Peer-reviewed article</x:v>
      </x:c>
      <x:c r="O280" s="10" t="n">
        <x:v>5</x:v>
      </x:c>
      <x:c r="P280" s="10" t="str">
        <x:v>peer-reviewed article</x:v>
      </x:c>
      <x:c r="Q280" s="10" t="str">
        <x:v>direct</x:v>
      </x:c>
      <x:c r="R280" s="10" t="str">
        <x:v>https://doi.org/10.1007/s11625-026-01873-1</x:v>
      </x:c>
    </x:row>
    <x:row r="281">
      <x:c r="A281" s="10" t="n">
        <x:f>RANK.EQ(B281,$B$2:$B$446,0)+COUNTIF($B$2:B281,B281)-1</x:f>
        <x:v>280</x:v>
      </x:c>
      <x:c r="B281" s="22" t="n">
        <x:f>I281+K281+M281+O281</x:f>
        <x:v>77</x:v>
      </x:c>
      <x:c r="C281" s="10" t="str">
        <x:f>IF(B281&gt;=93,"A — Highest",IF(B281&gt;=85,"B — Very strong",IF(B281&gt;=75,"C — Strong",IF(B281&gt;=65,"D — Useful","E — Supporting"))))</x:f>
        <x:v>C — Strong</x:v>
      </x:c>
      <x:c r="D281" s="10" t="str">
        <x:v>Structural limitations and competitiveness challenges of the European Union’s AI model</x:v>
      </x:c>
      <x:c r="E281" s="10" t="str">
        <x:v>2026-07-29</x:v>
      </x:c>
      <x:c r="F281" s="10" t="str">
        <x:v>A</x:v>
      </x:c>
      <x:c r="G281" s="10" t="str">
        <x:v>Journal of Modern Science</x:v>
      </x:c>
      <x:c r="H281" s="10" t="str">
        <x:v>Justyna Bokajło</x:v>
      </x:c>
      <x:c r="I281" s="10" t="n">
        <x:v>32</x:v>
      </x:c>
      <x:c r="J281" s="10" t="str">
        <x:v>Peer-reviewed journal</x:v>
      </x:c>
      <x:c r="K281" s="10" t="n">
        <x:v>25</x:v>
      </x:c>
      <x:c r="L281" s="10" t="str">
        <x:v>Direct EU relevance</x:v>
      </x:c>
      <x:c r="M281" s="10" t="n">
        <x:v>15</x:v>
      </x:c>
      <x:c r="N281" s="10" t="str">
        <x:v>Peer-reviewed article</x:v>
      </x:c>
      <x:c r="O281" s="10" t="n">
        <x:v>5</x:v>
      </x:c>
      <x:c r="P281" s="10" t="str">
        <x:v>peer-reviewed article</x:v>
      </x:c>
      <x:c r="Q281" s="10" t="str">
        <x:v>direct</x:v>
      </x:c>
      <x:c r="R281" s="10" t="str">
        <x:v>https://doi.org/10.13166/jms/224780</x:v>
      </x:c>
    </x:row>
    <x:row r="282">
      <x:c r="A282" s="10" t="n">
        <x:f>RANK.EQ(B282,$B$2:$B$446,0)+COUNTIF($B$2:B282,B282)-1</x:f>
        <x:v>281</x:v>
      </x:c>
      <x:c r="B282" s="22" t="n">
        <x:f>I282+K282+M282+O282</x:f>
        <x:v>77</x:v>
      </x:c>
      <x:c r="C282" s="10" t="str">
        <x:f>IF(B282&gt;=93,"A — Highest",IF(B282&gt;=85,"B — Very strong",IF(B282&gt;=75,"C — Strong",IF(B282&gt;=65,"D — Useful","E — Supporting"))))</x:f>
        <x:v>C — Strong</x:v>
      </x:c>
      <x:c r="D282" s="10" t="str">
        <x:v>Strengthening Visibility and Stakeholder Engagement in Research Infrastructures: Evidence from Imaging Core Facilities</x:v>
      </x:c>
      <x:c r="E282" s="10" t="str">
        <x:v>2026-07-26</x:v>
      </x:c>
      <x:c r="F282" s="10" t="str">
        <x:v>A</x:v>
      </x:c>
      <x:c r="G282" s="10" t="str">
        <x:v>EPJ Research Infrastructures</x:v>
      </x:c>
      <x:c r="H282" s="10" t="str">
        <x:v>Baubak Bajoghli</x:v>
      </x:c>
      <x:c r="I282" s="10" t="n">
        <x:v>32</x:v>
      </x:c>
      <x:c r="J282" s="10" t="str">
        <x:v>Peer-reviewed journal</x:v>
      </x:c>
      <x:c r="K282" s="10" t="n">
        <x:v>25</x:v>
      </x:c>
      <x:c r="L282" s="10" t="str">
        <x:v>Direct EU relevance</x:v>
      </x:c>
      <x:c r="M282" s="10" t="n">
        <x:v>15</x:v>
      </x:c>
      <x:c r="N282" s="10" t="str">
        <x:v>Peer-reviewed article</x:v>
      </x:c>
      <x:c r="O282" s="10" t="n">
        <x:v>5</x:v>
      </x:c>
      <x:c r="P282" s="10" t="str">
        <x:v>peer-reviewed article</x:v>
      </x:c>
      <x:c r="Q282" s="10" t="str">
        <x:v>direct</x:v>
      </x:c>
      <x:c r="R282" s="10" t="str">
        <x:v>https://doi.org/10.1007/s41781-026-00176-5</x:v>
      </x:c>
    </x:row>
    <x:row r="283">
      <x:c r="A283" s="10" t="n">
        <x:f>RANK.EQ(B283,$B$2:$B$446,0)+COUNTIF($B$2:B283,B283)-1</x:f>
        <x:v>282</x:v>
      </x:c>
      <x:c r="B283" s="22" t="n">
        <x:f>I283+K283+M283+O283</x:f>
        <x:v>77</x:v>
      </x:c>
      <x:c r="C283" s="10" t="str">
        <x:f>IF(B283&gt;=93,"A — Highest",IF(B283&gt;=85,"B — Very strong",IF(B283&gt;=75,"C — Strong",IF(B283&gt;=65,"D — Useful","E — Supporting"))))</x:f>
        <x:v>C — Strong</x:v>
      </x:c>
      <x:c r="D283" s="10" t="str">
        <x:v>The sociotechnical imaginary of AI in Finland for the Twin Transition: A critical design artifact for envisioning alternative pathways to sustainability.</x:v>
      </x:c>
      <x:c r="E283" s="10" t="str">
        <x:v>2026-07-26</x:v>
      </x:c>
      <x:c r="F283" s="10" t="str">
        <x:v>A</x:v>
      </x:c>
      <x:c r="G283" s="10" t="str">
        <x:v>Aalto University</x:v>
      </x:c>
      <x:c r="H283" s="10" t="str">
        <x:v>Valeria Nova Cazares</x:v>
      </x:c>
      <x:c r="I283" s="10" t="n">
        <x:v>32</x:v>
      </x:c>
      <x:c r="J283" s="10" t="str">
        <x:v>Peer-reviewed journal</x:v>
      </x:c>
      <x:c r="K283" s="10" t="n">
        <x:v>25</x:v>
      </x:c>
      <x:c r="L283" s="10" t="str">
        <x:v>Direct EU relevance</x:v>
      </x:c>
      <x:c r="M283" s="10" t="n">
        <x:v>15</x:v>
      </x:c>
      <x:c r="N283" s="10" t="str">
        <x:v>Peer-reviewed article</x:v>
      </x:c>
      <x:c r="O283" s="10" t="n">
        <x:v>5</x:v>
      </x:c>
      <x:c r="P283" s="10" t="str">
        <x:v>peer-reviewed article</x:v>
      </x:c>
      <x:c r="Q283" s="10" t="str">
        <x:v>direct</x:v>
      </x:c>
      <x:c r="R283" s="10" t="str">
        <x:v>https://aaltodoc.aalto.fi/handle/123456789/147716</x:v>
      </x:c>
    </x:row>
    <x:row r="284">
      <x:c r="A284" s="10" t="n">
        <x:f>RANK.EQ(B284,$B$2:$B$446,0)+COUNTIF($B$2:B284,B284)-1</x:f>
        <x:v>283</x:v>
      </x:c>
      <x:c r="B284" s="22" t="n">
        <x:f>I284+K284+M284+O284</x:f>
        <x:v>77</x:v>
      </x:c>
      <x:c r="C284" s="10" t="str">
        <x:f>IF(B284&gt;=93,"A — Highest",IF(B284&gt;=85,"B — Very strong",IF(B284&gt;=75,"C — Strong",IF(B284&gt;=65,"D — Useful","E — Supporting"))))</x:f>
        <x:v>C — Strong</x:v>
      </x:c>
      <x:c r="D284" s="10" t="str">
        <x:v>Accelerating Research on Brain Aging: Enabling Brain Imaging Data Sharing in the Open Science Landscape</x:v>
      </x:c>
      <x:c r="E284" s="10" t="str">
        <x:v>2026-07-24</x:v>
      </x:c>
      <x:c r="F284" s="10" t="str">
        <x:v>A</x:v>
      </x:c>
      <x:c r="G284" s="10" t="str">
        <x:v>European Journal of Neurology</x:v>
      </x:c>
      <x:c r="H284" s="10" t="str">
        <x:v>Kathrin Giehl, Thilo van Eimeren</x:v>
      </x:c>
      <x:c r="I284" s="10" t="n">
        <x:v>32</x:v>
      </x:c>
      <x:c r="J284" s="10" t="str">
        <x:v>Peer-reviewed journal</x:v>
      </x:c>
      <x:c r="K284" s="10" t="n">
        <x:v>25</x:v>
      </x:c>
      <x:c r="L284" s="10" t="str">
        <x:v>Direct EU relevance</x:v>
      </x:c>
      <x:c r="M284" s="10" t="n">
        <x:v>15</x:v>
      </x:c>
      <x:c r="N284" s="10" t="str">
        <x:v>Peer-reviewed article</x:v>
      </x:c>
      <x:c r="O284" s="10" t="n">
        <x:v>5</x:v>
      </x:c>
      <x:c r="P284" s="10" t="str">
        <x:v>peer-reviewed article</x:v>
      </x:c>
      <x:c r="Q284" s="10" t="str">
        <x:v>direct</x:v>
      </x:c>
      <x:c r="R284" s="10" t="str">
        <x:v>https://doi.org/10.1111/ene.70672</x:v>
      </x:c>
    </x:row>
    <x:row r="285">
      <x:c r="A285" s="10" t="n">
        <x:f>RANK.EQ(B285,$B$2:$B$446,0)+COUNTIF($B$2:B285,B285)-1</x:f>
        <x:v>284</x:v>
      </x:c>
      <x:c r="B285" s="22" t="n">
        <x:f>I285+K285+M285+O285</x:f>
        <x:v>77</x:v>
      </x:c>
      <x:c r="C285" s="10" t="str">
        <x:f>IF(B285&gt;=93,"A — Highest",IF(B285&gt;=85,"B — Very strong",IF(B285&gt;=75,"C — Strong",IF(B285&gt;=65,"D — Useful","E — Supporting"))))</x:f>
        <x:v>C — Strong</x:v>
      </x:c>
      <x:c r="D285" s="10" t="str">
        <x:v>Europe and Asia at the End of the American Century: The Three Seas Initiative as a Eurasian Hinge</x:v>
      </x:c>
      <x:c r="E285" s="10" t="str">
        <x:v>2026-07-24</x:v>
      </x:c>
      <x:c r="F285" s="10" t="str">
        <x:v>A</x:v>
      </x:c>
      <x:c r="G285" s="10" t="str">
        <x:v>Proceedings of the International Conference on Business Excellence</x:v>
      </x:c>
      <x:c r="H285" s="10" t="str">
        <x:v>Octavian-Dragomir JORA, Mihaela IACOB, Bogdan COZMA, Andreea-Raisa ȚĂRÎNĂ</x:v>
      </x:c>
      <x:c r="I285" s="10" t="n">
        <x:v>32</x:v>
      </x:c>
      <x:c r="J285" s="10" t="str">
        <x:v>Peer-reviewed journal</x:v>
      </x:c>
      <x:c r="K285" s="10" t="n">
        <x:v>25</x:v>
      </x:c>
      <x:c r="L285" s="10" t="str">
        <x:v>Direct EU relevance</x:v>
      </x:c>
      <x:c r="M285" s="10" t="n">
        <x:v>15</x:v>
      </x:c>
      <x:c r="N285" s="10" t="str">
        <x:v>Peer-reviewed article</x:v>
      </x:c>
      <x:c r="O285" s="10" t="n">
        <x:v>5</x:v>
      </x:c>
      <x:c r="P285" s="10" t="str">
        <x:v>peer-reviewed article</x:v>
      </x:c>
      <x:c r="Q285" s="10" t="str">
        <x:v>direct</x:v>
      </x:c>
      <x:c r="R285" s="10" t="str">
        <x:v>https://doi.org/10.2478/picbe-2026-0066</x:v>
      </x:c>
    </x:row>
    <x:row r="286">
      <x:c r="A286" s="10" t="n">
        <x:f>RANK.EQ(B286,$B$2:$B$446,0)+COUNTIF($B$2:B286,B286)-1</x:f>
        <x:v>285</x:v>
      </x:c>
      <x:c r="B286" s="22" t="n">
        <x:f>I286+K286+M286+O286</x:f>
        <x:v>77</x:v>
      </x:c>
      <x:c r="C286" s="10" t="str">
        <x:f>IF(B286&gt;=93,"A — Highest",IF(B286&gt;=85,"B — Very strong",IF(B286&gt;=75,"C — Strong",IF(B286&gt;=65,"D — Useful","E — Supporting"))))</x:f>
        <x:v>C — Strong</x:v>
      </x:c>
      <x:c r="D286" s="10" t="str">
        <x:v>IRIS—The Innovative Research Infrastructure on Applied Superconductivity in Italy</x:v>
      </x:c>
      <x:c r="E286" s="10" t="str">
        <x:v>2026-07-24</x:v>
      </x:c>
      <x:c r="F286" s="10" t="str">
        <x:v>A</x:v>
      </x:c>
      <x:c r="G286" s="10" t="str">
        <x:v>EPJ Research Infrastructures</x:v>
      </x:c>
      <x:c r="H286" s="10" t="str">
        <x:v>Lucio Rossi, Pierluigi Campana, Marta Della Torre</x:v>
      </x:c>
      <x:c r="I286" s="10" t="n">
        <x:v>32</x:v>
      </x:c>
      <x:c r="J286" s="10" t="str">
        <x:v>Peer-reviewed journal</x:v>
      </x:c>
      <x:c r="K286" s="10" t="n">
        <x:v>25</x:v>
      </x:c>
      <x:c r="L286" s="10" t="str">
        <x:v>Direct EU relevance</x:v>
      </x:c>
      <x:c r="M286" s="10" t="n">
        <x:v>15</x:v>
      </x:c>
      <x:c r="N286" s="10" t="str">
        <x:v>Peer-reviewed article</x:v>
      </x:c>
      <x:c r="O286" s="10" t="n">
        <x:v>5</x:v>
      </x:c>
      <x:c r="P286" s="10" t="str">
        <x:v>peer-reviewed article</x:v>
      </x:c>
      <x:c r="Q286" s="10" t="str">
        <x:v>direct</x:v>
      </x:c>
      <x:c r="R286" s="10" t="str">
        <x:v>https://doi.org/10.1007/s41781-026-00174-7</x:v>
      </x:c>
    </x:row>
    <x:row r="287">
      <x:c r="A287" s="10" t="n">
        <x:f>RANK.EQ(B287,$B$2:$B$446,0)+COUNTIF($B$2:B287,B287)-1</x:f>
        <x:v>286</x:v>
      </x:c>
      <x:c r="B287" s="22" t="n">
        <x:f>I287+K287+M287+O287</x:f>
        <x:v>77</x:v>
      </x:c>
      <x:c r="C287" s="10" t="str">
        <x:f>IF(B287&gt;=93,"A — Highest",IF(B287&gt;=85,"B — Very strong",IF(B287&gt;=75,"C — Strong",IF(B287&gt;=65,"D — Useful","E — Supporting"))))</x:f>
        <x:v>C — Strong</x:v>
      </x:c>
      <x:c r="D287" s="10" t="str">
        <x:v>Institutional Typologies in European Research Funding: A Cluster Analysis of Organized Participation Patterns</x:v>
      </x:c>
      <x:c r="E287" s="10" t="str">
        <x:v>2026-07-23</x:v>
      </x:c>
      <x:c r="F287" s="10" t="str">
        <x:v>A</x:v>
      </x:c>
      <x:c r="G287" s="10" t="str">
        <x:v>Proceedings of the International Conference on Business Excellence</x:v>
      </x:c>
      <x:c r="H287" s="10" t="str">
        <x:v>Bogdan MIREA, Mădălina Zurini, Giani-Ionel GRĂDINARU</x:v>
      </x:c>
      <x:c r="I287" s="10" t="n">
        <x:v>32</x:v>
      </x:c>
      <x:c r="J287" s="10" t="str">
        <x:v>Peer-reviewed journal</x:v>
      </x:c>
      <x:c r="K287" s="10" t="n">
        <x:v>25</x:v>
      </x:c>
      <x:c r="L287" s="10" t="str">
        <x:v>Direct EU relevance</x:v>
      </x:c>
      <x:c r="M287" s="10" t="n">
        <x:v>15</x:v>
      </x:c>
      <x:c r="N287" s="10" t="str">
        <x:v>Peer-reviewed article</x:v>
      </x:c>
      <x:c r="O287" s="10" t="n">
        <x:v>5</x:v>
      </x:c>
      <x:c r="P287" s="10" t="str">
        <x:v>peer-reviewed article</x:v>
      </x:c>
      <x:c r="Q287" s="10" t="str">
        <x:v>direct</x:v>
      </x:c>
      <x:c r="R287" s="10" t="str">
        <x:v>https://doi.org/10.2478/picbe-2026-0173</x:v>
      </x:c>
    </x:row>
    <x:row r="288">
      <x:c r="A288" s="10" t="n">
        <x:f>RANK.EQ(B288,$B$2:$B$446,0)+COUNTIF($B$2:B288,B288)-1</x:f>
        <x:v>287</x:v>
      </x:c>
      <x:c r="B288" s="22" t="n">
        <x:f>I288+K288+M288+O288</x:f>
        <x:v>77</x:v>
      </x:c>
      <x:c r="C288" s="10" t="str">
        <x:f>IF(B288&gt;=93,"A — Highest",IF(B288&gt;=85,"B — Very strong",IF(B288&gt;=75,"C — Strong",IF(B288&gt;=65,"D — Useful","E — Supporting"))))</x:f>
        <x:v>C — Strong</x:v>
      </x:c>
      <x:c r="D288" s="10" t="str">
        <x:v>Integrating Innovation and Entrepreneurial Capacity through the MIT REAP Framework: Evidence from Bulgaria</x:v>
      </x:c>
      <x:c r="E288" s="10" t="str">
        <x:v>2026-07-23</x:v>
      </x:c>
      <x:c r="F288" s="10" t="str">
        <x:v>A</x:v>
      </x:c>
      <x:c r="G288" s="10" t="str">
        <x:v>Proceedings of the International Conference on Business Excellence</x:v>
      </x:c>
      <x:c r="H288" s="10" t="str">
        <x:v>Ruslan STEFANOV, Svetoslava GEORGIEVA</x:v>
      </x:c>
      <x:c r="I288" s="10" t="n">
        <x:v>32</x:v>
      </x:c>
      <x:c r="J288" s="10" t="str">
        <x:v>Peer-reviewed journal</x:v>
      </x:c>
      <x:c r="K288" s="10" t="n">
        <x:v>25</x:v>
      </x:c>
      <x:c r="L288" s="10" t="str">
        <x:v>Direct EU relevance</x:v>
      </x:c>
      <x:c r="M288" s="10" t="n">
        <x:v>15</x:v>
      </x:c>
      <x:c r="N288" s="10" t="str">
        <x:v>Peer-reviewed article</x:v>
      </x:c>
      <x:c r="O288" s="10" t="n">
        <x:v>5</x:v>
      </x:c>
      <x:c r="P288" s="10" t="str">
        <x:v>peer-reviewed article</x:v>
      </x:c>
      <x:c r="Q288" s="10" t="str">
        <x:v>direct</x:v>
      </x:c>
      <x:c r="R288" s="10" t="str">
        <x:v>https://doi.org/10.2478/picbe-2026-0372</x:v>
      </x:c>
    </x:row>
    <x:row r="289">
      <x:c r="A289" s="10" t="n">
        <x:f>RANK.EQ(B289,$B$2:$B$446,0)+COUNTIF($B$2:B289,B289)-1</x:f>
        <x:v>288</x:v>
      </x:c>
      <x:c r="B289" s="22" t="n">
        <x:f>I289+K289+M289+O289</x:f>
        <x:v>77</x:v>
      </x:c>
      <x:c r="C289" s="10" t="str">
        <x:f>IF(B289&gt;=93,"A — Highest",IF(B289&gt;=85,"B — Very strong",IF(B289&gt;=75,"C — Strong",IF(B289&gt;=65,"D — Useful","E — Supporting"))))</x:f>
        <x:v>C — Strong</x:v>
      </x:c>
      <x:c r="D289" s="10" t="str">
        <x:v>Business models for digital innovation intermediaries: evidence from the digital innovation hubs initiative</x:v>
      </x:c>
      <x:c r="E289" s="10" t="str">
        <x:v>2026-07-22</x:v>
      </x:c>
      <x:c r="F289" s="10" t="str">
        <x:v>A</x:v>
      </x:c>
      <x:c r="G289" s="10" t="str">
        <x:v>Industrial and Corporate Change</x:v>
      </x:c>
      <x:c r="H289" s="10" t="str">
        <x:v>Federica Rossi, Ana Colovic, Simona Ciappei, Andrea Bonomi Savignon</x:v>
      </x:c>
      <x:c r="I289" s="10" t="n">
        <x:v>32</x:v>
      </x:c>
      <x:c r="J289" s="10" t="str">
        <x:v>Peer-reviewed journal</x:v>
      </x:c>
      <x:c r="K289" s="10" t="n">
        <x:v>25</x:v>
      </x:c>
      <x:c r="L289" s="10" t="str">
        <x:v>Direct EU relevance</x:v>
      </x:c>
      <x:c r="M289" s="10" t="n">
        <x:v>15</x:v>
      </x:c>
      <x:c r="N289" s="10" t="str">
        <x:v>Peer-reviewed article</x:v>
      </x:c>
      <x:c r="O289" s="10" t="n">
        <x:v>5</x:v>
      </x:c>
      <x:c r="P289" s="10" t="str">
        <x:v>peer-reviewed article</x:v>
      </x:c>
      <x:c r="Q289" s="10" t="str">
        <x:v>direct</x:v>
      </x:c>
      <x:c r="R289" s="10" t="str">
        <x:v>https://doi.org/10.1093/icc/dtag042</x:v>
      </x:c>
    </x:row>
    <x:row r="290">
      <x:c r="A290" s="10" t="n">
        <x:f>RANK.EQ(B290,$B$2:$B$446,0)+COUNTIF($B$2:B290,B290)-1</x:f>
        <x:v>289</x:v>
      </x:c>
      <x:c r="B290" s="22" t="n">
        <x:f>I290+K290+M290+O290</x:f>
        <x:v>77</x:v>
      </x:c>
      <x:c r="C290" s="10" t="str">
        <x:f>IF(B290&gt;=93,"A — Highest",IF(B290&gt;=85,"B — Very strong",IF(B290&gt;=75,"C — Strong",IF(B290&gt;=65,"D — Useful","E — Supporting"))))</x:f>
        <x:v>C — Strong</x:v>
      </x:c>
      <x:c r="D290" s="10" t="str">
        <x:v>Unravelling the role of innovation and institutions in circular economy actions across European small‐ and medium‐sized enterprises</x:v>
      </x:c>
      <x:c r="E290" s="10" t="str">
        <x:v>2026-07-22</x:v>
      </x:c>
      <x:c r="F290" s="10" t="str">
        <x:v>A</x:v>
      </x:c>
      <x:c r="G290" s="10" t="str">
        <x:v>European Management Review</x:v>
      </x:c>
      <x:c r="H290" s="10" t="str">
        <x:v>Lucio Fuentelsaz, Mercedes Gil‐Lamata, Ana Beatriz Lopes de Sousa Jabbour</x:v>
      </x:c>
      <x:c r="I290" s="10" t="n">
        <x:v>32</x:v>
      </x:c>
      <x:c r="J290" s="10" t="str">
        <x:v>Peer-reviewed journal</x:v>
      </x:c>
      <x:c r="K290" s="10" t="n">
        <x:v>25</x:v>
      </x:c>
      <x:c r="L290" s="10" t="str">
        <x:v>Direct EU relevance</x:v>
      </x:c>
      <x:c r="M290" s="10" t="n">
        <x:v>15</x:v>
      </x:c>
      <x:c r="N290" s="10" t="str">
        <x:v>Peer-reviewed article</x:v>
      </x:c>
      <x:c r="O290" s="10" t="n">
        <x:v>5</x:v>
      </x:c>
      <x:c r="P290" s="10" t="str">
        <x:v>peer-reviewed article</x:v>
      </x:c>
      <x:c r="Q290" s="10" t="str">
        <x:v>direct</x:v>
      </x:c>
      <x:c r="R290" s="10" t="str">
        <x:v>https://doi.org/10.1111/emre.70095</x:v>
      </x:c>
    </x:row>
    <x:row r="291">
      <x:c r="A291" s="10" t="n">
        <x:f>RANK.EQ(B291,$B$2:$B$446,0)+COUNTIF($B$2:B291,B291)-1</x:f>
        <x:v>290</x:v>
      </x:c>
      <x:c r="B291" s="22" t="n">
        <x:f>I291+K291+M291+O291</x:f>
        <x:v>77</x:v>
      </x:c>
      <x:c r="C291" s="10" t="str">
        <x:f>IF(B291&gt;=93,"A — Highest",IF(B291&gt;=85,"B — Very strong",IF(B291&gt;=75,"C — Strong",IF(B291&gt;=65,"D — Useful","E — Supporting"))))</x:f>
        <x:v>C — Strong</x:v>
      </x:c>
      <x:c r="D291" s="10" t="str">
        <x:v>&lt;b&gt;Strategic Analysis of the India-EU Free Trade Agreement (2026): Transforming the Medical Device Ecosystem-Economics, Regulation, and Market Dynamics&lt;/b&gt;</x:v>
      </x:c>
      <x:c r="E291" s="10" t="str">
        <x:v>2026-07-21</x:v>
      </x:c>
      <x:c r="F291" s="10" t="str">
        <x:v>A</x:v>
      </x:c>
      <x:c r="G291" s="10" t="str">
        <x:v>Journal of Global Economy</x:v>
      </x:c>
      <x:c r="H291" s="10" t="str">
        <x:v>Garv Nijhara</x:v>
      </x:c>
      <x:c r="I291" s="10" t="n">
        <x:v>32</x:v>
      </x:c>
      <x:c r="J291" s="10" t="str">
        <x:v>Peer-reviewed journal</x:v>
      </x:c>
      <x:c r="K291" s="10" t="n">
        <x:v>25</x:v>
      </x:c>
      <x:c r="L291" s="10" t="str">
        <x:v>Direct EU relevance</x:v>
      </x:c>
      <x:c r="M291" s="10" t="n">
        <x:v>15</x:v>
      </x:c>
      <x:c r="N291" s="10" t="str">
        <x:v>Peer-reviewed article</x:v>
      </x:c>
      <x:c r="O291" s="10" t="n">
        <x:v>5</x:v>
      </x:c>
      <x:c r="P291" s="10" t="str">
        <x:v>peer-reviewed article</x:v>
      </x:c>
      <x:c r="Q291" s="10" t="str">
        <x:v>direct</x:v>
      </x:c>
      <x:c r="R291" s="10" t="str">
        <x:v>https://doi.org/10.1956/jge.v22i3.844</x:v>
      </x:c>
    </x:row>
    <x:row r="292">
      <x:c r="A292" s="10" t="n">
        <x:f>RANK.EQ(B292,$B$2:$B$446,0)+COUNTIF($B$2:B292,B292)-1</x:f>
        <x:v>291</x:v>
      </x:c>
      <x:c r="B292" s="22" t="n">
        <x:f>I292+K292+M292+O292</x:f>
        <x:v>77</x:v>
      </x:c>
      <x:c r="C292" s="10" t="str">
        <x:f>IF(B292&gt;=93,"A — Highest",IF(B292&gt;=85,"B — Very strong",IF(B292&gt;=75,"C — Strong",IF(B292&gt;=65,"D — Useful","E — Supporting"))))</x:f>
        <x:v>C — Strong</x:v>
      </x:c>
      <x:c r="D292" s="10" t="str">
        <x:v>Digitally mediated HRM knowledge transfer and capability development for financial performance results in Central European multinational companies</x:v>
      </x:c>
      <x:c r="E292" s="10" t="str">
        <x:v>2026-07-20</x:v>
      </x:c>
      <x:c r="F292" s="10" t="str">
        <x:v>A</x:v>
      </x:c>
      <x:c r="G292" s="10" t="str">
        <x:v>International Journal of Development Issues</x:v>
      </x:c>
      <x:c r="H292" s="10" t="str">
        <x:v>Marzena Stor, Aurelia Domaradzka</x:v>
      </x:c>
      <x:c r="I292" s="10" t="n">
        <x:v>32</x:v>
      </x:c>
      <x:c r="J292" s="10" t="str">
        <x:v>Peer-reviewed journal</x:v>
      </x:c>
      <x:c r="K292" s="10" t="n">
        <x:v>25</x:v>
      </x:c>
      <x:c r="L292" s="10" t="str">
        <x:v>Direct EU relevance</x:v>
      </x:c>
      <x:c r="M292" s="10" t="n">
        <x:v>15</x:v>
      </x:c>
      <x:c r="N292" s="10" t="str">
        <x:v>Peer-reviewed article</x:v>
      </x:c>
      <x:c r="O292" s="10" t="n">
        <x:v>5</x:v>
      </x:c>
      <x:c r="P292" s="10" t="str">
        <x:v>peer-reviewed article</x:v>
      </x:c>
      <x:c r="Q292" s="10" t="str">
        <x:v>direct</x:v>
      </x:c>
      <x:c r="R292" s="10" t="str">
        <x:v>https://doi.org/10.1108/ijdi-03-2026-0098</x:v>
      </x:c>
    </x:row>
    <x:row r="293">
      <x:c r="A293" s="10" t="n">
        <x:f>RANK.EQ(B293,$B$2:$B$446,0)+COUNTIF($B$2:B293,B293)-1</x:f>
        <x:v>292</x:v>
      </x:c>
      <x:c r="B293" s="22" t="n">
        <x:f>I293+K293+M293+O293</x:f>
        <x:v>77</x:v>
      </x:c>
      <x:c r="C293" s="10" t="str">
        <x:f>IF(B293&gt;=93,"A — Highest",IF(B293&gt;=85,"B — Very strong",IF(B293&gt;=75,"C — Strong",IF(B293&gt;=65,"D — Useful","E — Supporting"))))</x:f>
        <x:v>C — Strong</x:v>
      </x:c>
      <x:c r="D293" s="10" t="str">
        <x:v>BEYOND BORDERS: TWO JOURNEYS – LESSONS LEARNED FROM RESEARCH SHORT STAYS AT THE UNIVERSITY OF OLDENBURG, GERMANY</x:v>
      </x:c>
      <x:c r="E293" s="10" t="str">
        <x:v>2026-07-19</x:v>
      </x:c>
      <x:c r="F293" s="10" t="str">
        <x:v>A</x:v>
      </x:c>
      <x:c r="G293" s="10" t="str">
        <x:v>European Journal of Education Studies</x:v>
      </x:c>
      <x:c r="H293" s="10" t="str">
        <x:v>John Mgejwa, Ranji John Karanja</x:v>
      </x:c>
      <x:c r="I293" s="10" t="n">
        <x:v>32</x:v>
      </x:c>
      <x:c r="J293" s="10" t="str">
        <x:v>Peer-reviewed journal</x:v>
      </x:c>
      <x:c r="K293" s="10" t="n">
        <x:v>25</x:v>
      </x:c>
      <x:c r="L293" s="10" t="str">
        <x:v>Direct EU relevance</x:v>
      </x:c>
      <x:c r="M293" s="10" t="n">
        <x:v>15</x:v>
      </x:c>
      <x:c r="N293" s="10" t="str">
        <x:v>Peer-reviewed article</x:v>
      </x:c>
      <x:c r="O293" s="10" t="n">
        <x:v>5</x:v>
      </x:c>
      <x:c r="P293" s="10" t="str">
        <x:v>peer-reviewed article</x:v>
      </x:c>
      <x:c r="Q293" s="10" t="str">
        <x:v>direct</x:v>
      </x:c>
      <x:c r="R293" s="10" t="str">
        <x:v>https://doi.org/10.46827/ejes.v13i7.6873</x:v>
      </x:c>
    </x:row>
    <x:row r="294">
      <x:c r="A294" s="10" t="n">
        <x:f>RANK.EQ(B294,$B$2:$B$446,0)+COUNTIF($B$2:B294,B294)-1</x:f>
        <x:v>293</x:v>
      </x:c>
      <x:c r="B294" s="22" t="n">
        <x:f>I294+K294+M294+O294</x:f>
        <x:v>77</x:v>
      </x:c>
      <x:c r="C294" s="10" t="str">
        <x:f>IF(B294&gt;=93,"A — Highest",IF(B294&gt;=85,"B — Very strong",IF(B294&gt;=75,"C — Strong",IF(B294&gt;=65,"D — Useful","E — Supporting"))))</x:f>
        <x:v>C — Strong</x:v>
      </x:c>
      <x:c r="D294" s="10" t="str">
        <x:v>The role of the non-academic staff heterogeneity in the performance of European universities</x:v>
      </x:c>
      <x:c r="E294" s="10" t="str">
        <x:v>2026-07-17</x:v>
      </x:c>
      <x:c r="F294" s="10" t="str">
        <x:v>A</x:v>
      </x:c>
      <x:c r="G294" s="10" t="str">
        <x:v>Journal of Productivity Analysis</x:v>
      </x:c>
      <x:c r="H294" s="10" t="str">
        <x:v>Alessandro Avenali, Cinzia Daraio, Simone Di Leo, Joanna Wolszczak-Derlacz</x:v>
      </x:c>
      <x:c r="I294" s="10" t="n">
        <x:v>32</x:v>
      </x:c>
      <x:c r="J294" s="10" t="str">
        <x:v>Peer-reviewed journal</x:v>
      </x:c>
      <x:c r="K294" s="10" t="n">
        <x:v>25</x:v>
      </x:c>
      <x:c r="L294" s="10" t="str">
        <x:v>Direct EU relevance</x:v>
      </x:c>
      <x:c r="M294" s="10" t="n">
        <x:v>15</x:v>
      </x:c>
      <x:c r="N294" s="10" t="str">
        <x:v>Peer-reviewed article</x:v>
      </x:c>
      <x:c r="O294" s="10" t="n">
        <x:v>5</x:v>
      </x:c>
      <x:c r="P294" s="10" t="str">
        <x:v>peer-reviewed article</x:v>
      </x:c>
      <x:c r="Q294" s="10" t="str">
        <x:v>direct</x:v>
      </x:c>
      <x:c r="R294" s="10" t="str">
        <x:v>https://doi.org/10.1007/s11123-026-00819-0</x:v>
      </x:c>
    </x:row>
    <x:row r="295">
      <x:c r="A295" s="10" t="n">
        <x:f>RANK.EQ(B295,$B$2:$B$446,0)+COUNTIF($B$2:B295,B295)-1</x:f>
        <x:v>294</x:v>
      </x:c>
      <x:c r="B295" s="22" t="n">
        <x:f>I295+K295+M295+O295</x:f>
        <x:v>77</x:v>
      </x:c>
      <x:c r="C295" s="10" t="str">
        <x:f>IF(B295&gt;=93,"A — Highest",IF(B295&gt;=85,"B — Very strong",IF(B295&gt;=75,"C — Strong",IF(B295&gt;=65,"D — Useful","E — Supporting"))))</x:f>
        <x:v>C — Strong</x:v>
      </x:c>
      <x:c r="D295" s="10" t="str">
        <x:v>The QTF Backbone: proposal for a nationwide optical fibre backbone in Germany for quantum technology and time and frequency metrology</x:v>
      </x:c>
      <x:c r="E295" s="10" t="str">
        <x:v>2026-07-16</x:v>
      </x:c>
      <x:c r="F295" s="10" t="str">
        <x:v>A</x:v>
      </x:c>
      <x:c r="G295" s="10" t="str">
        <x:v>The European Physical Journal Special Topics</x:v>
      </x:c>
      <x:c r="H295" s="10" t="str">
        <x:v>Tara Cubel Liebisch, Peter Kaufmann, Harald Schnatz, Susanne Naegele-Jackson, Jochen Kronjäger, K Blaum, Stefan Kück, Dieter Meschede, et al.</x:v>
      </x:c>
      <x:c r="I295" s="10" t="n">
        <x:v>32</x:v>
      </x:c>
      <x:c r="J295" s="10" t="str">
        <x:v>Peer-reviewed journal</x:v>
      </x:c>
      <x:c r="K295" s="10" t="n">
        <x:v>25</x:v>
      </x:c>
      <x:c r="L295" s="10" t="str">
        <x:v>Direct EU relevance</x:v>
      </x:c>
      <x:c r="M295" s="10" t="n">
        <x:v>15</x:v>
      </x:c>
      <x:c r="N295" s="10" t="str">
        <x:v>Peer-reviewed article</x:v>
      </x:c>
      <x:c r="O295" s="10" t="n">
        <x:v>5</x:v>
      </x:c>
      <x:c r="P295" s="10" t="str">
        <x:v>peer-reviewed article</x:v>
      </x:c>
      <x:c r="Q295" s="10" t="str">
        <x:v>direct</x:v>
      </x:c>
      <x:c r="R295" s="10" t="str">
        <x:v>https://doi.org/10.1140/epjs/s11734-026-02451-3</x:v>
      </x:c>
    </x:row>
    <x:row r="296">
      <x:c r="A296" s="10" t="n">
        <x:f>RANK.EQ(B296,$B$2:$B$446,0)+COUNTIF($B$2:B296,B296)-1</x:f>
        <x:v>295</x:v>
      </x:c>
      <x:c r="B296" s="22" t="n">
        <x:f>I296+K296+M296+O296</x:f>
        <x:v>77</x:v>
      </x:c>
      <x:c r="C296" s="10" t="str">
        <x:f>IF(B296&gt;=93,"A — Highest",IF(B296&gt;=85,"B — Very strong",IF(B296&gt;=75,"C — Strong",IF(B296&gt;=65,"D — Useful","E — Supporting"))))</x:f>
        <x:v>C — Strong</x:v>
      </x:c>
      <x:c r="D296" s="10" t="str">
        <x:v>Cross-Border Cooperation and Enterprise Development in the EU’s Border Regions: An Evidence from the Case Studies</x:v>
      </x:c>
      <x:c r="E296" s="10" t="str">
        <x:v>2026-07-15</x:v>
      </x:c>
      <x:c r="F296" s="10" t="str">
        <x:v>A</x:v>
      </x:c>
      <x:c r="G296" s="10" t="str">
        <x:v>Studia Mundi – Economica</x:v>
      </x:c>
      <x:c r="H296" s="10" t="str">
        <x:v>Németh Nikolina, Krisztián Ritter</x:v>
      </x:c>
      <x:c r="I296" s="10" t="n">
        <x:v>32</x:v>
      </x:c>
      <x:c r="J296" s="10" t="str">
        <x:v>Peer-reviewed journal</x:v>
      </x:c>
      <x:c r="K296" s="10" t="n">
        <x:v>25</x:v>
      </x:c>
      <x:c r="L296" s="10" t="str">
        <x:v>Direct EU relevance</x:v>
      </x:c>
      <x:c r="M296" s="10" t="n">
        <x:v>15</x:v>
      </x:c>
      <x:c r="N296" s="10" t="str">
        <x:v>Peer-reviewed article</x:v>
      </x:c>
      <x:c r="O296" s="10" t="n">
        <x:v>5</x:v>
      </x:c>
      <x:c r="P296" s="10" t="str">
        <x:v>peer-reviewed article</x:v>
      </x:c>
      <x:c r="Q296" s="10" t="str">
        <x:v>direct</x:v>
      </x:c>
      <x:c r="R296" s="10" t="str">
        <x:v>https://doi.org/10.56617/sme.vol.13.no.2.pp.46-63</x:v>
      </x:c>
    </x:row>
    <x:row r="297">
      <x:c r="A297" s="10" t="n">
        <x:f>RANK.EQ(B297,$B$2:$B$446,0)+COUNTIF($B$2:B297,B297)-1</x:f>
        <x:v>296</x:v>
      </x:c>
      <x:c r="B297" s="22" t="n">
        <x:f>I297+K297+M297+O297</x:f>
        <x:v>77</x:v>
      </x:c>
      <x:c r="C297" s="10" t="str">
        <x:f>IF(B297&gt;=93,"A — Highest",IF(B297&gt;=85,"B — Very strong",IF(B297&gt;=75,"C — Strong",IF(B297&gt;=65,"D — Useful","E — Supporting"))))</x:f>
        <x:v>C — Strong</x:v>
      </x:c>
      <x:c r="D297" s="10" t="str">
        <x:v>Navigating EU research participation from a Widening Country institution: insights from a case study of ZRC SAZU in Slovenia</x:v>
      </x:c>
      <x:c r="E297" s="10" t="str">
        <x:v>2026-07-15</x:v>
      </x:c>
      <x:c r="F297" s="10" t="str">
        <x:v>A</x:v>
      </x:c>
      <x:c r="G297" s="10" t="str">
        <x:v>Humanities and Social Sciences Communications</x:v>
      </x:c>
      <x:c r="H297" s="10" t="str">
        <x:v>Mimi Urbanc</x:v>
      </x:c>
      <x:c r="I297" s="10" t="n">
        <x:v>32</x:v>
      </x:c>
      <x:c r="J297" s="10" t="str">
        <x:v>Peer-reviewed journal</x:v>
      </x:c>
      <x:c r="K297" s="10" t="n">
        <x:v>25</x:v>
      </x:c>
      <x:c r="L297" s="10" t="str">
        <x:v>Direct EU relevance</x:v>
      </x:c>
      <x:c r="M297" s="10" t="n">
        <x:v>15</x:v>
      </x:c>
      <x:c r="N297" s="10" t="str">
        <x:v>Peer-reviewed article</x:v>
      </x:c>
      <x:c r="O297" s="10" t="n">
        <x:v>5</x:v>
      </x:c>
      <x:c r="P297" s="10" t="str">
        <x:v>peer-reviewed article</x:v>
      </x:c>
      <x:c r="Q297" s="10" t="str">
        <x:v>direct</x:v>
      </x:c>
      <x:c r="R297" s="10" t="str">
        <x:v>https://doi.org/10.1057/s41599-026-08369-4</x:v>
      </x:c>
    </x:row>
    <x:row r="298">
      <x:c r="A298" s="10" t="n">
        <x:f>RANK.EQ(B298,$B$2:$B$446,0)+COUNTIF($B$2:B298,B298)-1</x:f>
        <x:v>297</x:v>
      </x:c>
      <x:c r="B298" s="22" t="n">
        <x:f>I298+K298+M298+O298</x:f>
        <x:v>77</x:v>
      </x:c>
      <x:c r="C298" s="10" t="str">
        <x:f>IF(B298&gt;=93,"A — Highest",IF(B298&gt;=85,"B — Very strong",IF(B298&gt;=75,"C — Strong",IF(B298&gt;=65,"D — Useful","E — Supporting"))))</x:f>
        <x:v>C — Strong</x:v>
      </x:c>
      <x:c r="D298" s="10" t="str">
        <x:v>Academic Cooperation from the Souths: Geopolitics of the Gaze, Cognitive and Epistemic Justices</x:v>
      </x:c>
      <x:c r="E298" s="10" t="str">
        <x:v>2026-07-14</x:v>
      </x:c>
      <x:c r="F298" s="10" t="str">
        <x:v>A</x:v>
      </x:c>
      <x:c r="G298" s="10" t="str">
        <x:v>Journal of Latin American Communication Research</x:v>
      </x:c>
      <x:c r="H298" s="10" t="str">
        <x:v>Jair Vega</x:v>
      </x:c>
      <x:c r="I298" s="10" t="n">
        <x:v>32</x:v>
      </x:c>
      <x:c r="J298" s="10" t="str">
        <x:v>Peer-reviewed journal</x:v>
      </x:c>
      <x:c r="K298" s="10" t="n">
        <x:v>25</x:v>
      </x:c>
      <x:c r="L298" s="10" t="str">
        <x:v>Direct EU relevance</x:v>
      </x:c>
      <x:c r="M298" s="10" t="n">
        <x:v>15</x:v>
      </x:c>
      <x:c r="N298" s="10" t="str">
        <x:v>Peer-reviewed article</x:v>
      </x:c>
      <x:c r="O298" s="10" t="n">
        <x:v>5</x:v>
      </x:c>
      <x:c r="P298" s="10" t="str">
        <x:v>peer-reviewed article</x:v>
      </x:c>
      <x:c r="Q298" s="10" t="str">
        <x:v>direct</x:v>
      </x:c>
      <x:c r="R298" s="10" t="str">
        <x:v>https://doi.org/10.55738/journal.v14i1p.35-49</x:v>
      </x:c>
    </x:row>
    <x:row r="299">
      <x:c r="A299" s="10" t="n">
        <x:f>RANK.EQ(B299,$B$2:$B$446,0)+COUNTIF($B$2:B299,B299)-1</x:f>
        <x:v>298</x:v>
      </x:c>
      <x:c r="B299" s="22" t="n">
        <x:f>I299+K299+M299+O299</x:f>
        <x:v>77</x:v>
      </x:c>
      <x:c r="C299" s="10" t="str">
        <x:f>IF(B299&gt;=93,"A — Highest",IF(B299&gt;=85,"B — Very strong",IF(B299&gt;=75,"C — Strong",IF(B299&gt;=65,"D — Useful","E — Supporting"))))</x:f>
        <x:v>C — Strong</x:v>
      </x:c>
      <x:c r="D299" s="10" t="str">
        <x:v>From automation to innovation? The role of industrial robots in Europe</x:v>
      </x:c>
      <x:c r="E299" s="10" t="str">
        <x:v>2026-07-14</x:v>
      </x:c>
      <x:c r="F299" s="10" t="str">
        <x:v>A</x:v>
      </x:c>
      <x:c r="G299" s="10" t="str">
        <x:v>Journal of Industrial and Business Economics</x:v>
      </x:c>
      <x:c r="H299" s="10" t="str">
        <x:v>Guillermo Andrés, Chiara Franco, Francesco Suppressa</x:v>
      </x:c>
      <x:c r="I299" s="10" t="n">
        <x:v>32</x:v>
      </x:c>
      <x:c r="J299" s="10" t="str">
        <x:v>Peer-reviewed journal</x:v>
      </x:c>
      <x:c r="K299" s="10" t="n">
        <x:v>25</x:v>
      </x:c>
      <x:c r="L299" s="10" t="str">
        <x:v>Direct EU relevance</x:v>
      </x:c>
      <x:c r="M299" s="10" t="n">
        <x:v>15</x:v>
      </x:c>
      <x:c r="N299" s="10" t="str">
        <x:v>Peer-reviewed article</x:v>
      </x:c>
      <x:c r="O299" s="10" t="n">
        <x:v>5</x:v>
      </x:c>
      <x:c r="P299" s="10" t="str">
        <x:v>peer-reviewed article</x:v>
      </x:c>
      <x:c r="Q299" s="10" t="str">
        <x:v>direct</x:v>
      </x:c>
      <x:c r="R299" s="10" t="str">
        <x:v>https://doi.org/10.1007/s40812-026-00417-z</x:v>
      </x:c>
    </x:row>
    <x:row r="300">
      <x:c r="A300" s="10" t="n">
        <x:f>RANK.EQ(B300,$B$2:$B$446,0)+COUNTIF($B$2:B300,B300)-1</x:f>
        <x:v>299</x:v>
      </x:c>
      <x:c r="B300" s="22" t="n">
        <x:f>I300+K300+M300+O300</x:f>
        <x:v>77</x:v>
      </x:c>
      <x:c r="C300" s="10" t="str">
        <x:f>IF(B300&gt;=93,"A — Highest",IF(B300&gt;=85,"B — Very strong",IF(B300&gt;=75,"C — Strong",IF(B300&gt;=65,"D — Useful","E — Supporting"))))</x:f>
        <x:v>C — Strong</x:v>
      </x:c>
      <x:c r="D300" s="10" t="str">
        <x:v>DUAL-USE TECHNOLOGIES AND CYBERSECURITY CHALLENGES IN THE CURRENT MILITARY DEFENSE ENVIRONMENT</x:v>
      </x:c>
      <x:c r="E300" s="10" t="str">
        <x:v>2026-07-13</x:v>
      </x:c>
      <x:c r="F300" s="10" t="str">
        <x:v>A</x:v>
      </x:c>
      <x:c r="G300" s="10" t="str">
        <x:v>SCIENTIFIC RESEARCH AND EDUCATION IN THE AIR FORCE</x:v>
      </x:c>
      <x:c r="H300" s="10" t="str">
        <x:v>Adriana Niţescu, Tiberiu Tănase</x:v>
      </x:c>
      <x:c r="I300" s="10" t="n">
        <x:v>32</x:v>
      </x:c>
      <x:c r="J300" s="10" t="str">
        <x:v>Peer-reviewed journal</x:v>
      </x:c>
      <x:c r="K300" s="10" t="n">
        <x:v>25</x:v>
      </x:c>
      <x:c r="L300" s="10" t="str">
        <x:v>Direct EU relevance</x:v>
      </x:c>
      <x:c r="M300" s="10" t="n">
        <x:v>15</x:v>
      </x:c>
      <x:c r="N300" s="10" t="str">
        <x:v>Peer-reviewed article</x:v>
      </x:c>
      <x:c r="O300" s="10" t="n">
        <x:v>5</x:v>
      </x:c>
      <x:c r="P300" s="10" t="str">
        <x:v>peer-reviewed article</x:v>
      </x:c>
      <x:c r="Q300" s="10" t="str">
        <x:v>direct</x:v>
      </x:c>
      <x:c r="R300" s="10" t="str">
        <x:v>https://doi.org/10.19062/2247-3173.2026.27.30</x:v>
      </x:c>
    </x:row>
    <x:row r="301">
      <x:c r="A301" s="10" t="n">
        <x:f>RANK.EQ(B301,$B$2:$B$446,0)+COUNTIF($B$2:B301,B301)-1</x:f>
        <x:v>300</x:v>
      </x:c>
      <x:c r="B301" s="22" t="n">
        <x:f>I301+K301+M301+O301</x:f>
        <x:v>77</x:v>
      </x:c>
      <x:c r="C301" s="10" t="str">
        <x:f>IF(B301&gt;=93,"A — Highest",IF(B301&gt;=85,"B — Very strong",IF(B301&gt;=75,"C — Strong",IF(B301&gt;=65,"D — Useful","E — Supporting"))))</x:f>
        <x:v>C — Strong</x:v>
      </x:c>
      <x:c r="D301" s="10" t="str">
        <x:v>The Myth of Regional Replication: How imec Reimagined Silicon Valley for Flanders</x:v>
      </x:c>
      <x:c r="E301" s="10" t="str">
        <x:v>2026-07-10</x:v>
      </x:c>
      <x:c r="F301" s="10" t="str">
        <x:v>A</x:v>
      </x:c>
      <x:c r="G301" s="10" t="str">
        <x:v>Minerva</x:v>
      </x:c>
      <x:c r="H301" s="10" t="str">
        <x:v>Marlise Horvath Schneider</x:v>
      </x:c>
      <x:c r="I301" s="10" t="n">
        <x:v>32</x:v>
      </x:c>
      <x:c r="J301" s="10" t="str">
        <x:v>Peer-reviewed journal</x:v>
      </x:c>
      <x:c r="K301" s="10" t="n">
        <x:v>25</x:v>
      </x:c>
      <x:c r="L301" s="10" t="str">
        <x:v>Direct EU relevance</x:v>
      </x:c>
      <x:c r="M301" s="10" t="n">
        <x:v>15</x:v>
      </x:c>
      <x:c r="N301" s="10" t="str">
        <x:v>Peer-reviewed article</x:v>
      </x:c>
      <x:c r="O301" s="10" t="n">
        <x:v>5</x:v>
      </x:c>
      <x:c r="P301" s="10" t="str">
        <x:v>peer-reviewed article</x:v>
      </x:c>
      <x:c r="Q301" s="10" t="str">
        <x:v>direct</x:v>
      </x:c>
      <x:c r="R301" s="10" t="str">
        <x:v>https://doi.org/10.1007/s11024-026-09652-z</x:v>
      </x:c>
    </x:row>
    <x:row r="302">
      <x:c r="A302" s="10" t="n">
        <x:f>RANK.EQ(B302,$B$2:$B$446,0)+COUNTIF($B$2:B302,B302)-1</x:f>
        <x:v>301</x:v>
      </x:c>
      <x:c r="B302" s="22" t="n">
        <x:f>I302+K302+M302+O302</x:f>
        <x:v>77</x:v>
      </x:c>
      <x:c r="C302" s="10" t="str">
        <x:f>IF(B302&gt;=93,"A — Highest",IF(B302&gt;=85,"B — Very strong",IF(B302&gt;=75,"C — Strong",IF(B302&gt;=65,"D — Useful","E — Supporting"))))</x:f>
        <x:v>C — Strong</x:v>
      </x:c>
      <x:c r="D302" s="10" t="str">
        <x:v>Not So Protected After All—Managing Paradoxical Tensions in Mission‐Oriented Innovation Ecosystems</x:v>
      </x:c>
      <x:c r="E302" s="10" t="str">
        <x:v>2026-07-09</x:v>
      </x:c>
      <x:c r="F302" s="10" t="str">
        <x:v>A</x:v>
      </x:c>
      <x:c r="G302" s="10" t="str">
        <x:v>Creativity and Innovation Management</x:v>
      </x:c>
      <x:c r="H302" s="10" t="str">
        <x:v>Duygu Keskin, Dieudonnee Cobben, Maral Mahdad</x:v>
      </x:c>
      <x:c r="I302" s="10" t="n">
        <x:v>32</x:v>
      </x:c>
      <x:c r="J302" s="10" t="str">
        <x:v>Peer-reviewed journal</x:v>
      </x:c>
      <x:c r="K302" s="10" t="n">
        <x:v>25</x:v>
      </x:c>
      <x:c r="L302" s="10" t="str">
        <x:v>Direct EU relevance</x:v>
      </x:c>
      <x:c r="M302" s="10" t="n">
        <x:v>15</x:v>
      </x:c>
      <x:c r="N302" s="10" t="str">
        <x:v>Peer-reviewed article</x:v>
      </x:c>
      <x:c r="O302" s="10" t="n">
        <x:v>5</x:v>
      </x:c>
      <x:c r="P302" s="10" t="str">
        <x:v>peer-reviewed article</x:v>
      </x:c>
      <x:c r="Q302" s="10" t="str">
        <x:v>direct</x:v>
      </x:c>
      <x:c r="R302" s="10" t="str">
        <x:v>https://doi.org/10.1111/caim.70078</x:v>
      </x:c>
    </x:row>
    <x:row r="303">
      <x:c r="A303" s="10" t="n">
        <x:f>RANK.EQ(B303,$B$2:$B$446,0)+COUNTIF($B$2:B303,B303)-1</x:f>
        <x:v>302</x:v>
      </x:c>
      <x:c r="B303" s="22" t="n">
        <x:f>I303+K303+M303+O303</x:f>
        <x:v>77</x:v>
      </x:c>
      <x:c r="C303" s="10" t="str">
        <x:f>IF(B303&gt;=93,"A — Highest",IF(B303&gt;=85,"B — Very strong",IF(B303&gt;=75,"C — Strong",IF(B303&gt;=65,"D — Useful","E — Supporting"))))</x:f>
        <x:v>C — Strong</x:v>
      </x:c>
      <x:c r="D303" s="10" t="str">
        <x:v>The Role of Artificial Intelligence in Constitutional Adjudication: Comparative Insights from General Judicial Practice</x:v>
      </x:c>
      <x:c r="E303" s="10" t="str">
        <x:v>2026-07-09</x:v>
      </x:c>
      <x:c r="F303" s="10" t="str">
        <x:v>A</x:v>
      </x:c>
      <x:c r="G303" s="10" t="str">
        <x:v>Access to Justice in Eastern Europe</x:v>
      </x:c>
      <x:c r="H303" s="10" t="str">
        <x:v>Tareq Al-Billeh</x:v>
      </x:c>
      <x:c r="I303" s="10" t="n">
        <x:v>32</x:v>
      </x:c>
      <x:c r="J303" s="10" t="str">
        <x:v>Peer-reviewed journal</x:v>
      </x:c>
      <x:c r="K303" s="10" t="n">
        <x:v>25</x:v>
      </x:c>
      <x:c r="L303" s="10" t="str">
        <x:v>Direct EU relevance</x:v>
      </x:c>
      <x:c r="M303" s="10" t="n">
        <x:v>15</x:v>
      </x:c>
      <x:c r="N303" s="10" t="str">
        <x:v>Peer-reviewed article</x:v>
      </x:c>
      <x:c r="O303" s="10" t="n">
        <x:v>5</x:v>
      </x:c>
      <x:c r="P303" s="10" t="str">
        <x:v>peer-reviewed article</x:v>
      </x:c>
      <x:c r="Q303" s="10" t="str">
        <x:v>direct</x:v>
      </x:c>
      <x:c r="R303" s="10" t="str">
        <x:v>https://doi.org/10.33327/ajee-18-9.3-a0001988</x:v>
      </x:c>
    </x:row>
    <x:row r="304">
      <x:c r="A304" s="10" t="n">
        <x:f>RANK.EQ(B304,$B$2:$B$446,0)+COUNTIF($B$2:B304,B304)-1</x:f>
        <x:v>303</x:v>
      </x:c>
      <x:c r="B304" s="22" t="n">
        <x:f>I304+K304+M304+O304</x:f>
        <x:v>77</x:v>
      </x:c>
      <x:c r="C304" s="10" t="str">
        <x:f>IF(B304&gt;=93,"A — Highest",IF(B304&gt;=85,"B — Very strong",IF(B304&gt;=75,"C — Strong",IF(B304&gt;=65,"D — Useful","E — Supporting"))))</x:f>
        <x:v>C — Strong</x:v>
      </x:c>
      <x:c r="D304" s="10" t="str">
        <x:v>Actionable knowledge for agroecological transformation: a critical realist analysis of co-innovation in a transdisciplinary project</x:v>
      </x:c>
      <x:c r="E304" s="10" t="str">
        <x:v>2026-07-07</x:v>
      </x:c>
      <x:c r="F304" s="10" t="str">
        <x:v>A</x:v>
      </x:c>
      <x:c r="G304" s="10" t="str">
        <x:v>Sustainability Science</x:v>
      </x:c>
      <x:c r="H304" s="10" t="str">
        <x:v>Stephen Leitheiser, Darleen van Dam, Jonas Egmose, Cecilia Zagaria, Henrik Hauggaard‐Nielsen, YANKA KAZAKOVA, Raquel Luján Soto, Bertrand Dumont, et al.</x:v>
      </x:c>
      <x:c r="I304" s="10" t="n">
        <x:v>32</x:v>
      </x:c>
      <x:c r="J304" s="10" t="str">
        <x:v>Peer-reviewed journal</x:v>
      </x:c>
      <x:c r="K304" s="10" t="n">
        <x:v>25</x:v>
      </x:c>
      <x:c r="L304" s="10" t="str">
        <x:v>Direct EU relevance</x:v>
      </x:c>
      <x:c r="M304" s="10" t="n">
        <x:v>15</x:v>
      </x:c>
      <x:c r="N304" s="10" t="str">
        <x:v>Peer-reviewed article</x:v>
      </x:c>
      <x:c r="O304" s="10" t="n">
        <x:v>5</x:v>
      </x:c>
      <x:c r="P304" s="10" t="str">
        <x:v>peer-reviewed article</x:v>
      </x:c>
      <x:c r="Q304" s="10" t="str">
        <x:v>direct</x:v>
      </x:c>
      <x:c r="R304" s="10" t="str">
        <x:v>https://doi.org/10.1007/s11625-026-01867-z</x:v>
      </x:c>
    </x:row>
    <x:row r="305">
      <x:c r="A305" s="10" t="n">
        <x:f>RANK.EQ(B305,$B$2:$B$446,0)+COUNTIF($B$2:B305,B305)-1</x:f>
        <x:v>304</x:v>
      </x:c>
      <x:c r="B305" s="22" t="n">
        <x:f>I305+K305+M305+O305</x:f>
        <x:v>77</x:v>
      </x:c>
      <x:c r="C305" s="10" t="str">
        <x:f>IF(B305&gt;=93,"A — Highest",IF(B305&gt;=85,"B — Very strong",IF(B305&gt;=75,"C — Strong",IF(B305&gt;=65,"D — Useful","E — Supporting"))))</x:f>
        <x:v>C — Strong</x:v>
      </x:c>
      <x:c r="D305" s="10" t="str">
        <x:v>Bridging Gaps in Sustainability. Poland’s National SDGs Performance and the Role of Quality Education in the EU Context</x:v>
      </x:c>
      <x:c r="E305" s="10" t="str">
        <x:v>2026-07-07</x:v>
      </x:c>
      <x:c r="F305" s="10" t="str">
        <x:v>A</x:v>
      </x:c>
      <x:c r="G305" s="10" t="str">
        <x:v>Journal of the Knowledge Economy</x:v>
      </x:c>
      <x:c r="H305" s="10" t="str">
        <x:v>Maciej Jagódka</x:v>
      </x:c>
      <x:c r="I305" s="10" t="n">
        <x:v>32</x:v>
      </x:c>
      <x:c r="J305" s="10" t="str">
        <x:v>Peer-reviewed journal</x:v>
      </x:c>
      <x:c r="K305" s="10" t="n">
        <x:v>25</x:v>
      </x:c>
      <x:c r="L305" s="10" t="str">
        <x:v>Direct EU relevance</x:v>
      </x:c>
      <x:c r="M305" s="10" t="n">
        <x:v>15</x:v>
      </x:c>
      <x:c r="N305" s="10" t="str">
        <x:v>Peer-reviewed article</x:v>
      </x:c>
      <x:c r="O305" s="10" t="n">
        <x:v>5</x:v>
      </x:c>
      <x:c r="P305" s="10" t="str">
        <x:v>peer-reviewed article</x:v>
      </x:c>
      <x:c r="Q305" s="10" t="str">
        <x:v>direct</x:v>
      </x:c>
      <x:c r="R305" s="10" t="str">
        <x:v>https://doi.org/10.1007/s13132-026-03292-0</x:v>
      </x:c>
    </x:row>
    <x:row r="306">
      <x:c r="A306" s="10" t="n">
        <x:f>RANK.EQ(B306,$B$2:$B$446,0)+COUNTIF($B$2:B306,B306)-1</x:f>
        <x:v>305</x:v>
      </x:c>
      <x:c r="B306" s="22" t="n">
        <x:f>I306+K306+M306+O306</x:f>
        <x:v>77</x:v>
      </x:c>
      <x:c r="C306" s="10" t="str">
        <x:f>IF(B306&gt;=93,"A — Highest",IF(B306&gt;=85,"B — Very strong",IF(B306&gt;=75,"C — Strong",IF(B306&gt;=65,"D — Useful","E — Supporting"))))</x:f>
        <x:v>C — Strong</x:v>
      </x:c>
      <x:c r="D306" s="10" t="str">
        <x:v>Closing the Competitiveness Gap through Advancing European Battery Cell Production Machinery</x:v>
      </x:c>
      <x:c r="E306" s="10" t="str">
        <x:v>2026-07-07</x:v>
      </x:c>
      <x:c r="F306" s="10" t="str">
        <x:v>A</x:v>
      </x:c>
      <x:c r="G306" s="10" t="str">
        <x:v>ECS Meeting Abstracts</x:v>
      </x:c>
      <x:c r="H306" s="10" t="str">
        <x:v>Kamil Burak Dermenci, Kartal Arslan, Maitane Berecibar</x:v>
      </x:c>
      <x:c r="I306" s="10" t="n">
        <x:v>32</x:v>
      </x:c>
      <x:c r="J306" s="10" t="str">
        <x:v>Peer-reviewed journal</x:v>
      </x:c>
      <x:c r="K306" s="10" t="n">
        <x:v>25</x:v>
      </x:c>
      <x:c r="L306" s="10" t="str">
        <x:v>Direct EU relevance</x:v>
      </x:c>
      <x:c r="M306" s="10" t="n">
        <x:v>15</x:v>
      </x:c>
      <x:c r="N306" s="10" t="str">
        <x:v>Peer-reviewed article</x:v>
      </x:c>
      <x:c r="O306" s="10" t="n">
        <x:v>5</x:v>
      </x:c>
      <x:c r="P306" s="10" t="str">
        <x:v>peer-reviewed article</x:v>
      </x:c>
      <x:c r="Q306" s="10" t="str">
        <x:v>direct</x:v>
      </x:c>
      <x:c r="R306" s="10" t="str">
        <x:v>https://doi.org/10.1149/ma2026-01592869mtgabs</x:v>
      </x:c>
    </x:row>
    <x:row r="307">
      <x:c r="A307" s="10" t="n">
        <x:f>RANK.EQ(B307,$B$2:$B$446,0)+COUNTIF($B$2:B307,B307)-1</x:f>
        <x:v>306</x:v>
      </x:c>
      <x:c r="B307" s="22" t="n">
        <x:f>I307+K307+M307+O307</x:f>
        <x:v>77</x:v>
      </x:c>
      <x:c r="C307" s="10" t="str">
        <x:f>IF(B307&gt;=93,"A — Highest",IF(B307&gt;=85,"B — Very strong",IF(B307&gt;=75,"C — Strong",IF(B307&gt;=65,"D — Useful","E — Supporting"))))</x:f>
        <x:v>C — Strong</x:v>
      </x:c>
      <x:c r="D307" s="10" t="str">
        <x:v>From Compliance to Confidence: AI Diffusion, GDPR and Organisational Trust in Europe</x:v>
      </x:c>
      <x:c r="E307" s="10" t="str">
        <x:v>2026-07-07</x:v>
      </x:c>
      <x:c r="F307" s="10" t="str">
        <x:v>A</x:v>
      </x:c>
      <x:c r="G307" s="10" t="str">
        <x:v>AI, Law, Politics</x:v>
      </x:c>
      <x:c r="H307" s="10" t="str">
        <x:v>Matea Novak, Mateja Kovačić, Mato Njavro</x:v>
      </x:c>
      <x:c r="I307" s="10" t="n">
        <x:v>32</x:v>
      </x:c>
      <x:c r="J307" s="10" t="str">
        <x:v>Peer-reviewed journal</x:v>
      </x:c>
      <x:c r="K307" s="10" t="n">
        <x:v>25</x:v>
      </x:c>
      <x:c r="L307" s="10" t="str">
        <x:v>Direct EU relevance</x:v>
      </x:c>
      <x:c r="M307" s="10" t="n">
        <x:v>15</x:v>
      </x:c>
      <x:c r="N307" s="10" t="str">
        <x:v>Peer-reviewed article</x:v>
      </x:c>
      <x:c r="O307" s="10" t="n">
        <x:v>5</x:v>
      </x:c>
      <x:c r="P307" s="10" t="str">
        <x:v>peer-reviewed article</x:v>
      </x:c>
      <x:c r="Q307" s="10" t="str">
        <x:v>direct</x:v>
      </x:c>
      <x:c r="R307" s="10" t="str">
        <x:v>https://doi.org/10.5709/alp-02.01.2026-02</x:v>
      </x:c>
    </x:row>
    <x:row r="308">
      <x:c r="A308" s="10" t="n">
        <x:f>RANK.EQ(B308,$B$2:$B$446,0)+COUNTIF($B$2:B308,B308)-1</x:f>
        <x:v>307</x:v>
      </x:c>
      <x:c r="B308" s="22" t="n">
        <x:f>I308+K308+M308+O308</x:f>
        <x:v>77</x:v>
      </x:c>
      <x:c r="C308" s="10" t="str">
        <x:f>IF(B308&gt;=93,"A — Highest",IF(B308&gt;=85,"B — Very strong",IF(B308&gt;=75,"C — Strong",IF(B308&gt;=65,"D — Useful","E — Supporting"))))</x:f>
        <x:v>C — Strong</x:v>
      </x:c>
      <x:c r="D308" s="10" t="str">
        <x:v>Building anticipatory capacity for transformative resilience: Lessons from UK and EU applying strategic foresight in grand societal challenge-oriented regional policy</x:v>
      </x:c>
      <x:c r="E308" s="10" t="str">
        <x:v>2026-07-06</x:v>
      </x:c>
      <x:c r="F308" s="10" t="str">
        <x:v>A</x:v>
      </x:c>
      <x:c r="G308" s="10" t="str">
        <x:v>Technology in Society</x:v>
      </x:c>
      <x:c r="H308" s="10" t="str">
        <x:v>Francesco Cappellano, Cristian Matti, Matjaž Vidmar</x:v>
      </x:c>
      <x:c r="I308" s="10" t="n">
        <x:v>32</x:v>
      </x:c>
      <x:c r="J308" s="10" t="str">
        <x:v>Peer-reviewed journal</x:v>
      </x:c>
      <x:c r="K308" s="10" t="n">
        <x:v>25</x:v>
      </x:c>
      <x:c r="L308" s="10" t="str">
        <x:v>Direct EU relevance</x:v>
      </x:c>
      <x:c r="M308" s="10" t="n">
        <x:v>15</x:v>
      </x:c>
      <x:c r="N308" s="10" t="str">
        <x:v>Peer-reviewed article</x:v>
      </x:c>
      <x:c r="O308" s="10" t="n">
        <x:v>5</x:v>
      </x:c>
      <x:c r="P308" s="10" t="str">
        <x:v>peer-reviewed article</x:v>
      </x:c>
      <x:c r="Q308" s="10" t="str">
        <x:v>direct</x:v>
      </x:c>
      <x:c r="R308" s="10" t="str">
        <x:v>https://doi.org/10.1016/j.techsoc.2026.103453</x:v>
      </x:c>
    </x:row>
    <x:row r="309">
      <x:c r="A309" s="10" t="n">
        <x:f>RANK.EQ(B309,$B$2:$B$446,0)+COUNTIF($B$2:B309,B309)-1</x:f>
        <x:v>308</x:v>
      </x:c>
      <x:c r="B309" s="22" t="n">
        <x:f>I309+K309+M309+O309</x:f>
        <x:v>77</x:v>
      </x:c>
      <x:c r="C309" s="10" t="str">
        <x:f>IF(B309&gt;=93,"A — Highest",IF(B309&gt;=85,"B — Very strong",IF(B309&gt;=75,"C — Strong",IF(B309&gt;=65,"D — Useful","E — Supporting"))))</x:f>
        <x:v>C — Strong</x:v>
      </x:c>
      <x:c r="D309" s="10" t="str">
        <x:v>Reshaping Europe's industrial future: the impact of the new political landscape on industrial policy and competitiveness in five CEE countries</x:v>
      </x:c>
      <x:c r="E309" s="10" t="str">
        <x:v>2026-07-03</x:v>
      </x:c>
      <x:c r="F309" s="10" t="str">
        <x:v>A</x:v>
      </x:c>
      <x:c r="G309" s="10" t="str">
        <x:v>Eastern Journal of European Studies</x:v>
      </x:c>
      <x:c r="H309" s="10" t="str">
        <x:v>Melania‐Gabriela Ciot, Catalina Tudorie</x:v>
      </x:c>
      <x:c r="I309" s="10" t="n">
        <x:v>32</x:v>
      </x:c>
      <x:c r="J309" s="10" t="str">
        <x:v>Peer-reviewed journal</x:v>
      </x:c>
      <x:c r="K309" s="10" t="n">
        <x:v>25</x:v>
      </x:c>
      <x:c r="L309" s="10" t="str">
        <x:v>Direct EU relevance</x:v>
      </x:c>
      <x:c r="M309" s="10" t="n">
        <x:v>15</x:v>
      </x:c>
      <x:c r="N309" s="10" t="str">
        <x:v>Peer-reviewed article</x:v>
      </x:c>
      <x:c r="O309" s="10" t="n">
        <x:v>5</x:v>
      </x:c>
      <x:c r="P309" s="10" t="str">
        <x:v>peer-reviewed article</x:v>
      </x:c>
      <x:c r="Q309" s="10" t="str">
        <x:v>direct</x:v>
      </x:c>
      <x:c r="R309" s="10" t="str">
        <x:v>https://doi.org/10.47743/ejes-2026-0108</x:v>
      </x:c>
    </x:row>
    <x:row r="310">
      <x:c r="A310" s="10" t="n">
        <x:f>RANK.EQ(B310,$B$2:$B$446,0)+COUNTIF($B$2:B310,B310)-1</x:f>
        <x:v>309</x:v>
      </x:c>
      <x:c r="B310" s="22" t="n">
        <x:f>I310+K310+M310+O310</x:f>
        <x:v>77</x:v>
      </x:c>
      <x:c r="C310" s="10" t="str">
        <x:f>IF(B310&gt;=93,"A — Highest",IF(B310&gt;=85,"B — Very strong",IF(B310&gt;=75,"C — Strong",IF(B310&gt;=65,"D — Useful","E — Supporting"))))</x:f>
        <x:v>C — Strong</x:v>
      </x:c>
      <x:c r="D310" s="10" t="str">
        <x:v>From Smart Adoption to Export Competitiveness: Innovation Diffusion and Value-Chain Upgrading in Agrifood Markets in the UAE and Bulgaria</x:v>
      </x:c>
      <x:c r="E310" s="10" t="str">
        <x:v>2026-07-02</x:v>
      </x:c>
      <x:c r="F310" s="10" t="str">
        <x:v>A</x:v>
      </x:c>
      <x:c r="G310" s="10" t="str">
        <x:v>Research on World Agricultural Economy</x:v>
      </x:c>
      <x:c r="H310" s="10" t="str">
        <x:v>Haitham M. Alzoubi, Yordanka S. Angelova, Mounir El Khatib, Cheng Ling Tan, Gouher Ahmed</x:v>
      </x:c>
      <x:c r="I310" s="10" t="n">
        <x:v>32</x:v>
      </x:c>
      <x:c r="J310" s="10" t="str">
        <x:v>Peer-reviewed journal</x:v>
      </x:c>
      <x:c r="K310" s="10" t="n">
        <x:v>25</x:v>
      </x:c>
      <x:c r="L310" s="10" t="str">
        <x:v>Direct EU relevance</x:v>
      </x:c>
      <x:c r="M310" s="10" t="n">
        <x:v>15</x:v>
      </x:c>
      <x:c r="N310" s="10" t="str">
        <x:v>Peer-reviewed article</x:v>
      </x:c>
      <x:c r="O310" s="10" t="n">
        <x:v>5</x:v>
      </x:c>
      <x:c r="P310" s="10" t="str">
        <x:v>peer-reviewed article</x:v>
      </x:c>
      <x:c r="Q310" s="10" t="str">
        <x:v>direct</x:v>
      </x:c>
      <x:c r="R310" s="10" t="str">
        <x:v>https://doi.org/10.36956/rwae.v7i3.2875</x:v>
      </x:c>
    </x:row>
    <x:row r="311">
      <x:c r="A311" s="10" t="n">
        <x:f>RANK.EQ(B311,$B$2:$B$446,0)+COUNTIF($B$2:B311,B311)-1</x:f>
        <x:v>310</x:v>
      </x:c>
      <x:c r="B311" s="22" t="n">
        <x:f>I311+K311+M311+O311</x:f>
        <x:v>77</x:v>
      </x:c>
      <x:c r="C311" s="10" t="str">
        <x:f>IF(B311&gt;=93,"A — Highest",IF(B311&gt;=85,"B — Very strong",IF(B311&gt;=75,"C — Strong",IF(B311&gt;=65,"D — Useful","E — Supporting"))))</x:f>
        <x:v>C — Strong</x:v>
      </x:c>
      <x:c r="D311" s="10" t="str">
        <x:v>Polish-South Korean armaments co-operation since 2022: a shotgun marriage of convenience</x:v>
      </x:c>
      <x:c r="E311" s="10" t="str">
        <x:v>2026-07-02</x:v>
      </x:c>
      <x:c r="F311" s="10" t="str">
        <x:v>A</x:v>
      </x:c>
      <x:c r="G311" s="10" t="str">
        <x:v>Defense and Security Analysis</x:v>
      </x:c>
      <x:c r="H311" s="10" t="str">
        <x:v>Piotr Śledź</x:v>
      </x:c>
      <x:c r="I311" s="10" t="n">
        <x:v>32</x:v>
      </x:c>
      <x:c r="J311" s="10" t="str">
        <x:v>Peer-reviewed journal</x:v>
      </x:c>
      <x:c r="K311" s="10" t="n">
        <x:v>25</x:v>
      </x:c>
      <x:c r="L311" s="10" t="str">
        <x:v>Direct EU relevance</x:v>
      </x:c>
      <x:c r="M311" s="10" t="n">
        <x:v>15</x:v>
      </x:c>
      <x:c r="N311" s="10" t="str">
        <x:v>Peer-reviewed article</x:v>
      </x:c>
      <x:c r="O311" s="10" t="n">
        <x:v>5</x:v>
      </x:c>
      <x:c r="P311" s="10" t="str">
        <x:v>peer-reviewed article</x:v>
      </x:c>
      <x:c r="Q311" s="10" t="str">
        <x:v>direct</x:v>
      </x:c>
      <x:c r="R311" s="10" t="str">
        <x:v>https://doi.org/10.1080/14751798.2026.2691265</x:v>
      </x:c>
    </x:row>
    <x:row r="312">
      <x:c r="A312" s="10" t="n">
        <x:f>RANK.EQ(B312,$B$2:$B$446,0)+COUNTIF($B$2:B312,B312)-1</x:f>
        <x:v>311</x:v>
      </x:c>
      <x:c r="B312" s="22" t="n">
        <x:f>I312+K312+M312+O312</x:f>
        <x:v>77</x:v>
      </x:c>
      <x:c r="C312" s="10" t="str">
        <x:f>IF(B312&gt;=93,"A — Highest",IF(B312&gt;=85,"B — Very strong",IF(B312&gt;=75,"C — Strong",IF(B312&gt;=65,"D — Useful","E — Supporting"))))</x:f>
        <x:v>C — Strong</x:v>
      </x:c>
      <x:c r="D312" s="10" t="str">
        <x:v>Transforming European Competitiveness Under Conditions of Geoeconomic Fragmentation</x:v>
      </x:c>
      <x:c r="E312" s="10" t="str">
        <x:v>2026-07-02</x:v>
      </x:c>
      <x:c r="F312" s="10" t="str">
        <x:v>A</x:v>
      </x:c>
      <x:c r="G312" s="10" t="str">
        <x:v>Economies</x:v>
      </x:c>
      <x:c r="H312" s="10" t="str">
        <x:v>Tomáš Peráček, Daniela Gregušová, Michal Kaššaj</x:v>
      </x:c>
      <x:c r="I312" s="10" t="n">
        <x:v>32</x:v>
      </x:c>
      <x:c r="J312" s="10" t="str">
        <x:v>Peer-reviewed journal</x:v>
      </x:c>
      <x:c r="K312" s="10" t="n">
        <x:v>25</x:v>
      </x:c>
      <x:c r="L312" s="10" t="str">
        <x:v>Direct EU relevance</x:v>
      </x:c>
      <x:c r="M312" s="10" t="n">
        <x:v>15</x:v>
      </x:c>
      <x:c r="N312" s="10" t="str">
        <x:v>Peer-reviewed article</x:v>
      </x:c>
      <x:c r="O312" s="10" t="n">
        <x:v>5</x:v>
      </x:c>
      <x:c r="P312" s="10" t="str">
        <x:v>peer-reviewed article</x:v>
      </x:c>
      <x:c r="Q312" s="10" t="str">
        <x:v>direct</x:v>
      </x:c>
      <x:c r="R312" s="10" t="str">
        <x:v>https://doi.org/10.3390/economies14070248</x:v>
      </x:c>
    </x:row>
    <x:row r="313">
      <x:c r="A313" s="10" t="n">
        <x:f>RANK.EQ(B313,$B$2:$B$446,0)+COUNTIF($B$2:B313,B313)-1</x:f>
        <x:v>312</x:v>
      </x:c>
      <x:c r="B313" s="22" t="n">
        <x:f>I313+K313+M313+O313</x:f>
        <x:v>77</x:v>
      </x:c>
      <x:c r="C313" s="10" t="str">
        <x:f>IF(B313&gt;=93,"A — Highest",IF(B313&gt;=85,"B — Very strong",IF(B313&gt;=75,"C — Strong",IF(B313&gt;=65,"D — Useful","E — Supporting"))))</x:f>
        <x:v>C — Strong</x:v>
      </x:c>
      <x:c r="D313" s="10" t="str">
        <x:v>EU–China research cooperation under a “de-risking” framework: the securitisation of knowledge in EU science policy (2021–2025)</x:v>
      </x:c>
      <x:c r="E313" s="10" t="str">
        <x:v>2026-07-01</x:v>
      </x:c>
      <x:c r="F313" s="10" t="str">
        <x:v>A</x:v>
      </x:c>
      <x:c r="G313" s="10" t="str">
        <x:v>Asian Review of Political Economy</x:v>
      </x:c>
      <x:c r="H313" s="10" t="str">
        <x:v>Li Yang, Ting Long</x:v>
      </x:c>
      <x:c r="I313" s="10" t="n">
        <x:v>32</x:v>
      </x:c>
      <x:c r="J313" s="10" t="str">
        <x:v>Peer-reviewed journal</x:v>
      </x:c>
      <x:c r="K313" s="10" t="n">
        <x:v>25</x:v>
      </x:c>
      <x:c r="L313" s="10" t="str">
        <x:v>Direct EU relevance</x:v>
      </x:c>
      <x:c r="M313" s="10" t="n">
        <x:v>15</x:v>
      </x:c>
      <x:c r="N313" s="10" t="str">
        <x:v>Peer-reviewed article</x:v>
      </x:c>
      <x:c r="O313" s="10" t="n">
        <x:v>5</x:v>
      </x:c>
      <x:c r="P313" s="10" t="str">
        <x:v>peer-reviewed article</x:v>
      </x:c>
      <x:c r="Q313" s="10" t="str">
        <x:v>direct</x:v>
      </x:c>
      <x:c r="R313" s="10" t="str">
        <x:v>https://doi.org/10.1007/s44216-026-00080-0</x:v>
      </x:c>
    </x:row>
    <x:row r="314">
      <x:c r="A314" s="10" t="n">
        <x:f>RANK.EQ(B314,$B$2:$B$446,0)+COUNTIF($B$2:B314,B314)-1</x:f>
        <x:v>313</x:v>
      </x:c>
      <x:c r="B314" s="22" t="n">
        <x:f>I314+K314+M314+O314</x:f>
        <x:v>77</x:v>
      </x:c>
      <x:c r="C314" s="10" t="str">
        <x:f>IF(B314&gt;=93,"A — Highest",IF(B314&gt;=85,"B — Very strong",IF(B314&gt;=75,"C — Strong",IF(B314&gt;=65,"D — Useful","E — Supporting"))))</x:f>
        <x:v>C — Strong</x:v>
      </x:c>
      <x:c r="D314" s="10" t="str">
        <x:v>International models of SME sustainable development: a comparative analysis of the EU, the USA, Japan and Republic of Moldova</x:v>
      </x:c>
      <x:c r="E314" s="10" t="str">
        <x:v>2026-07-01</x:v>
      </x:c>
      <x:c r="F314" s="10" t="str">
        <x:v>A</x:v>
      </x:c>
      <x:c r="G314" s="10" t="str">
        <x:v>Eastern European Journal for Regional Studies</x:v>
      </x:c>
      <x:c r="H314" s="10" t="str">
        <x:v>Anna Volosiuc</x:v>
      </x:c>
      <x:c r="I314" s="10" t="n">
        <x:v>32</x:v>
      </x:c>
      <x:c r="J314" s="10" t="str">
        <x:v>Peer-reviewed journal</x:v>
      </x:c>
      <x:c r="K314" s="10" t="n">
        <x:v>25</x:v>
      </x:c>
      <x:c r="L314" s="10" t="str">
        <x:v>Direct EU relevance</x:v>
      </x:c>
      <x:c r="M314" s="10" t="n">
        <x:v>15</x:v>
      </x:c>
      <x:c r="N314" s="10" t="str">
        <x:v>Peer-reviewed article</x:v>
      </x:c>
      <x:c r="O314" s="10" t="n">
        <x:v>5</x:v>
      </x:c>
      <x:c r="P314" s="10" t="str">
        <x:v>peer-reviewed article</x:v>
      </x:c>
      <x:c r="Q314" s="10" t="str">
        <x:v>direct</x:v>
      </x:c>
      <x:c r="R314" s="10" t="str">
        <x:v>https://doi.org/10.53486/2537-6179.12-1.01</x:v>
      </x:c>
    </x:row>
    <x:row r="315">
      <x:c r="A315" s="10" t="n">
        <x:f>RANK.EQ(B315,$B$2:$B$446,0)+COUNTIF($B$2:B315,B315)-1</x:f>
        <x:v>314</x:v>
      </x:c>
      <x:c r="B315" s="22" t="n">
        <x:f>I315+K315+M315+O315</x:f>
        <x:v>77</x:v>
      </x:c>
      <x:c r="C315" s="10" t="str">
        <x:f>IF(B315&gt;=93,"A — Highest",IF(B315&gt;=85,"B — Very strong",IF(B315&gt;=75,"C — Strong",IF(B315&gt;=65,"D — Useful","E — Supporting"))))</x:f>
        <x:v>C — Strong</x:v>
      </x:c>
      <x:c r="D315" s="10" t="str">
        <x:v>Portugal’s Productivity Gap vis-à-vis Europe and the United States</x:v>
      </x:c>
      <x:c r="E315" s="10" t="str">
        <x:v>2026-07-01</x:v>
      </x:c>
      <x:c r="F315" s="10" t="str">
        <x:v>A</x:v>
      </x:c>
      <x:c r="G315" s="10" t="str">
        <x:v>Selected Issues Papers</x:v>
      </x:c>
      <x:c r="H315" s="10" t="str">
        <x:v>Ippei Shibata</x:v>
      </x:c>
      <x:c r="I315" s="10" t="n">
        <x:v>32</x:v>
      </x:c>
      <x:c r="J315" s="10" t="str">
        <x:v>Peer-reviewed journal</x:v>
      </x:c>
      <x:c r="K315" s="10" t="n">
        <x:v>25</x:v>
      </x:c>
      <x:c r="L315" s="10" t="str">
        <x:v>Direct EU relevance</x:v>
      </x:c>
      <x:c r="M315" s="10" t="n">
        <x:v>15</x:v>
      </x:c>
      <x:c r="N315" s="10" t="str">
        <x:v>Peer-reviewed article</x:v>
      </x:c>
      <x:c r="O315" s="10" t="n">
        <x:v>5</x:v>
      </x:c>
      <x:c r="P315" s="10" t="str">
        <x:v>peer-reviewed article</x:v>
      </x:c>
      <x:c r="Q315" s="10" t="str">
        <x:v>direct</x:v>
      </x:c>
      <x:c r="R315" s="10" t="str">
        <x:v>https://doi.org/10.5089/9798229054652.018</x:v>
      </x:c>
    </x:row>
    <x:row r="316">
      <x:c r="A316" s="10" t="n">
        <x:f>RANK.EQ(B316,$B$2:$B$446,0)+COUNTIF($B$2:B316,B316)-1</x:f>
        <x:v>315</x:v>
      </x:c>
      <x:c r="B316" s="22" t="n">
        <x:f>I316+K316+M316+O316</x:f>
        <x:v>77</x:v>
      </x:c>
      <x:c r="C316" s="10" t="str">
        <x:f>IF(B316&gt;=93,"A — Highest",IF(B316&gt;=85,"B — Very strong",IF(B316&gt;=75,"C — Strong",IF(B316&gt;=65,"D — Useful","E — Supporting"))))</x:f>
        <x:v>C — Strong</x:v>
      </x:c>
      <x:c r="D316" s="10" t="str">
        <x:v>ARTIFICIAL INTELLIGENCE IN FINANCIAL DECISION-MAKING AND COMPETITIVE ADVANTAGE: EVIDENCE FROM SELECTED EUROPEAN INDUSTRIAL FIRMS</x:v>
      </x:c>
      <x:c r="E316" s="10" t="str">
        <x:v>2026-06-30</x:v>
      </x:c>
      <x:c r="F316" s="10" t="str">
        <x:v>A</x:v>
      </x:c>
      <x:c r="G316" s="10" t="str">
        <x:v>AGORA INTERNATIONAL JOURNAL OF ECONOMICAL SCIENCES</x:v>
      </x:c>
      <x:c r="H316" s="10" t="str">
        <x:v>Fisnik Morina, Durim Selmonaj</x:v>
      </x:c>
      <x:c r="I316" s="10" t="n">
        <x:v>32</x:v>
      </x:c>
      <x:c r="J316" s="10" t="str">
        <x:v>Peer-reviewed journal</x:v>
      </x:c>
      <x:c r="K316" s="10" t="n">
        <x:v>25</x:v>
      </x:c>
      <x:c r="L316" s="10" t="str">
        <x:v>Direct EU relevance</x:v>
      </x:c>
      <x:c r="M316" s="10" t="n">
        <x:v>15</x:v>
      </x:c>
      <x:c r="N316" s="10" t="str">
        <x:v>Peer-reviewed article</x:v>
      </x:c>
      <x:c r="O316" s="10" t="n">
        <x:v>5</x:v>
      </x:c>
      <x:c r="P316" s="10" t="str">
        <x:v>peer-reviewed article</x:v>
      </x:c>
      <x:c r="Q316" s="10" t="str">
        <x:v>direct</x:v>
      </x:c>
      <x:c r="R316" s="10" t="str">
        <x:v>https://doi.org/10.15837/aijes.v20i1.7635</x:v>
      </x:c>
    </x:row>
    <x:row r="317">
      <x:c r="A317" s="10" t="n">
        <x:f>RANK.EQ(B317,$B$2:$B$446,0)+COUNTIF($B$2:B317,B317)-1</x:f>
        <x:v>316</x:v>
      </x:c>
      <x:c r="B317" s="22" t="n">
        <x:f>I317+K317+M317+O317</x:f>
        <x:v>77</x:v>
      </x:c>
      <x:c r="C317" s="10" t="str">
        <x:f>IF(B317&gt;=93,"A — Highest",IF(B317&gt;=85,"B — Very strong",IF(B317&gt;=75,"C — Strong",IF(B317&gt;=65,"D — Useful","E — Supporting"))))</x:f>
        <x:v>C — Strong</x:v>
      </x:c>
      <x:c r="D317" s="10" t="str">
        <x:v>General-Purpose AI under the EU AI Act: A Conceptual Allocation of Duties across the Value Chain</x:v>
      </x:c>
      <x:c r="E317" s="10" t="str">
        <x:v>2026-06-30</x:v>
      </x:c>
      <x:c r="F317" s="10" t="str">
        <x:v>A</x:v>
      </x:c>
      <x:c r="G317" s="10" t="str">
        <x:v>SCRIPTed: A Journal of Law, Technology &amp; Society</x:v>
      </x:c>
      <x:c r="H317" s="10" t="str">
        <x:v>Fabian Teichmann</x:v>
      </x:c>
      <x:c r="I317" s="10" t="n">
        <x:v>32</x:v>
      </x:c>
      <x:c r="J317" s="10" t="str">
        <x:v>Peer-reviewed journal</x:v>
      </x:c>
      <x:c r="K317" s="10" t="n">
        <x:v>25</x:v>
      </x:c>
      <x:c r="L317" s="10" t="str">
        <x:v>Direct EU relevance</x:v>
      </x:c>
      <x:c r="M317" s="10" t="n">
        <x:v>15</x:v>
      </x:c>
      <x:c r="N317" s="10" t="str">
        <x:v>Peer-reviewed article</x:v>
      </x:c>
      <x:c r="O317" s="10" t="n">
        <x:v>5</x:v>
      </x:c>
      <x:c r="P317" s="10" t="str">
        <x:v>peer-reviewed article</x:v>
      </x:c>
      <x:c r="Q317" s="10" t="str">
        <x:v>direct</x:v>
      </x:c>
      <x:c r="R317" s="10" t="str">
        <x:v>https://doi.org/10.2218/scrip.12300</x:v>
      </x:c>
    </x:row>
    <x:row r="318">
      <x:c r="A318" s="10" t="n">
        <x:f>RANK.EQ(B318,$B$2:$B$446,0)+COUNTIF($B$2:B318,B318)-1</x:f>
        <x:v>317</x:v>
      </x:c>
      <x:c r="B318" s="22" t="n">
        <x:f>I318+K318+M318+O318</x:f>
        <x:v>77</x:v>
      </x:c>
      <x:c r="C318" s="10" t="str">
        <x:f>IF(B318&gt;=93,"A — Highest",IF(B318&gt;=85,"B — Very strong",IF(B318&gt;=75,"C — Strong",IF(B318&gt;=65,"D — Useful","E — Supporting"))))</x:f>
        <x:v>C — Strong</x:v>
      </x:c>
      <x:c r="D318" s="10" t="str">
        <x:v>Greening the Gates or Guarding the Market? Green Protectionism and the Evolution of EU Trade Defence Instruments</x:v>
      </x:c>
      <x:c r="E318" s="10" t="str">
        <x:v>2026-06-30</x:v>
      </x:c>
      <x:c r="F318" s="10" t="str">
        <x:v>A</x:v>
      </x:c>
      <x:c r="G318" s="10" t="str">
        <x:v>Journal of Law &amp; Social Studies</x:v>
      </x:c>
      <x:c r="H318" s="10" t="str">
        <x:v>Dr. Muhammad Bilal</x:v>
      </x:c>
      <x:c r="I318" s="10" t="n">
        <x:v>32</x:v>
      </x:c>
      <x:c r="J318" s="10" t="str">
        <x:v>Peer-reviewed journal</x:v>
      </x:c>
      <x:c r="K318" s="10" t="n">
        <x:v>25</x:v>
      </x:c>
      <x:c r="L318" s="10" t="str">
        <x:v>Direct EU relevance</x:v>
      </x:c>
      <x:c r="M318" s="10" t="n">
        <x:v>15</x:v>
      </x:c>
      <x:c r="N318" s="10" t="str">
        <x:v>Peer-reviewed article</x:v>
      </x:c>
      <x:c r="O318" s="10" t="n">
        <x:v>5</x:v>
      </x:c>
      <x:c r="P318" s="10" t="str">
        <x:v>peer-reviewed article</x:v>
      </x:c>
      <x:c r="Q318" s="10" t="str">
        <x:v>direct</x:v>
      </x:c>
      <x:c r="R318" s="10" t="str">
        <x:v>https://doi.org/10.52279/jlss.08.02.208220</x:v>
      </x:c>
    </x:row>
    <x:row r="319">
      <x:c r="A319" s="10" t="n">
        <x:f>RANK.EQ(B319,$B$2:$B$446,0)+COUNTIF($B$2:B319,B319)-1</x:f>
        <x:v>318</x:v>
      </x:c>
      <x:c r="B319" s="22" t="n">
        <x:f>I319+K319+M319+O319</x:f>
        <x:v>77</x:v>
      </x:c>
      <x:c r="C319" s="10" t="str">
        <x:f>IF(B319&gt;=93,"A — Highest",IF(B319&gt;=85,"B — Very strong",IF(B319&gt;=75,"C — Strong",IF(B319&gt;=65,"D — Useful","E — Supporting"))))</x:f>
        <x:v>C — Strong</x:v>
      </x:c>
      <x:c r="D319" s="10" t="str">
        <x:v>INNOVATIONS, FINANCIAL MARKETS DEVELOPMENT, CAPITAL INFLOWS, AND ECONOMIC GROWTH DYNAMICS IN EUROPEAN COUNTRIES</x:v>
      </x:c>
      <x:c r="E319" s="10" t="str">
        <x:v>2026-06-30</x:v>
      </x:c>
      <x:c r="F319" s="10" t="str">
        <x:v>A</x:v>
      </x:c>
      <x:c r="G319" s="10" t="str">
        <x:v>Financial and credit activity problems of theory and practice</x:v>
      </x:c>
      <x:c r="H319" s="10" t="str">
        <x:v>Olha Shkrumiak, Yuriy Bilenko</x:v>
      </x:c>
      <x:c r="I319" s="10" t="n">
        <x:v>32</x:v>
      </x:c>
      <x:c r="J319" s="10" t="str">
        <x:v>Peer-reviewed journal</x:v>
      </x:c>
      <x:c r="K319" s="10" t="n">
        <x:v>25</x:v>
      </x:c>
      <x:c r="L319" s="10" t="str">
        <x:v>Direct EU relevance</x:v>
      </x:c>
      <x:c r="M319" s="10" t="n">
        <x:v>15</x:v>
      </x:c>
      <x:c r="N319" s="10" t="str">
        <x:v>Peer-reviewed article</x:v>
      </x:c>
      <x:c r="O319" s="10" t="n">
        <x:v>5</x:v>
      </x:c>
      <x:c r="P319" s="10" t="str">
        <x:v>peer-reviewed article</x:v>
      </x:c>
      <x:c r="Q319" s="10" t="str">
        <x:v>direct</x:v>
      </x:c>
      <x:c r="R319" s="10" t="str">
        <x:v>https://doi.org/10.55643/fcaptp.3.68.2026.5140</x:v>
      </x:c>
    </x:row>
    <x:row r="320">
      <x:c r="A320" s="10" t="n">
        <x:f>RANK.EQ(B320,$B$2:$B$446,0)+COUNTIF($B$2:B320,B320)-1</x:f>
        <x:v>319</x:v>
      </x:c>
      <x:c r="B320" s="22" t="n">
        <x:f>I320+K320+M320+O320</x:f>
        <x:v>77</x:v>
      </x:c>
      <x:c r="C320" s="10" t="str">
        <x:f>IF(B320&gt;=93,"A — Highest",IF(B320&gt;=85,"B — Very strong",IF(B320&gt;=75,"C — Strong",IF(B320&gt;=65,"D — Useful","E — Supporting"))))</x:f>
        <x:v>C — Strong</x:v>
      </x:c>
      <x:c r="D320" s="10" t="str">
        <x:v>International investment in artificial intelligence: investment asymmetry and risks of technological dependence in EU countries</x:v>
      </x:c>
      <x:c r="E320" s="10" t="str">
        <x:v>2026-06-30</x:v>
      </x:c>
      <x:c r="F320" s="10" t="str">
        <x:v>A</x:v>
      </x:c>
      <x:c r="G320" s="10" t="str">
        <x:v>FINANCIAL AND CREDIT SYSTEMS: PROSPECTS FOR DEVELOPMENT</x:v>
      </x:c>
      <x:c r="H320" s="10" t="str">
        <x:v>Iryna Shkodina</x:v>
      </x:c>
      <x:c r="I320" s="10" t="n">
        <x:v>32</x:v>
      </x:c>
      <x:c r="J320" s="10" t="str">
        <x:v>Peer-reviewed journal</x:v>
      </x:c>
      <x:c r="K320" s="10" t="n">
        <x:v>25</x:v>
      </x:c>
      <x:c r="L320" s="10" t="str">
        <x:v>Direct EU relevance</x:v>
      </x:c>
      <x:c r="M320" s="10" t="n">
        <x:v>15</x:v>
      </x:c>
      <x:c r="N320" s="10" t="str">
        <x:v>Peer-reviewed article</x:v>
      </x:c>
      <x:c r="O320" s="10" t="n">
        <x:v>5</x:v>
      </x:c>
      <x:c r="P320" s="10" t="str">
        <x:v>peer-reviewed article</x:v>
      </x:c>
      <x:c r="Q320" s="10" t="str">
        <x:v>direct</x:v>
      </x:c>
      <x:c r="R320" s="10" t="str">
        <x:v>https://doi.org/10.26565/2786-4995-2026-2-14</x:v>
      </x:c>
    </x:row>
    <x:row r="321">
      <x:c r="A321" s="10" t="n">
        <x:f>RANK.EQ(B321,$B$2:$B$446,0)+COUNTIF($B$2:B321,B321)-1</x:f>
        <x:v>320</x:v>
      </x:c>
      <x:c r="B321" s="22" t="n">
        <x:f>I321+K321+M321+O321</x:f>
        <x:v>77</x:v>
      </x:c>
      <x:c r="C321" s="10" t="str">
        <x:f>IF(B321&gt;=93,"A — Highest",IF(B321&gt;=85,"B — Very strong",IF(B321&gt;=75,"C — Strong",IF(B321&gt;=65,"D — Useful","E — Supporting"))))</x:f>
        <x:v>C — Strong</x:v>
      </x:c>
      <x:c r="D321" s="10" t="str">
        <x:v>Regional development under digital transition: Fintech, geopolitical shocks and sustainability in Eastern Europe</x:v>
      </x:c>
      <x:c r="E321" s="10" t="str">
        <x:v>2026-06-30</x:v>
      </x:c>
      <x:c r="F321" s="10" t="str">
        <x:v>A</x:v>
      </x:c>
      <x:c r="G321" s="10" t="str">
        <x:v>Romanian Journal of Regional Science</x:v>
      </x:c>
      <x:c r="H321" s="10" t="str">
        <x:v>Narcisa Roxana Moşteanu</x:v>
      </x:c>
      <x:c r="I321" s="10" t="n">
        <x:v>32</x:v>
      </x:c>
      <x:c r="J321" s="10" t="str">
        <x:v>Peer-reviewed journal</x:v>
      </x:c>
      <x:c r="K321" s="10" t="n">
        <x:v>25</x:v>
      </x:c>
      <x:c r="L321" s="10" t="str">
        <x:v>Direct EU relevance</x:v>
      </x:c>
      <x:c r="M321" s="10" t="n">
        <x:v>15</x:v>
      </x:c>
      <x:c r="N321" s="10" t="str">
        <x:v>Peer-reviewed article</x:v>
      </x:c>
      <x:c r="O321" s="10" t="n">
        <x:v>5</x:v>
      </x:c>
      <x:c r="P321" s="10" t="str">
        <x:v>peer-reviewed article</x:v>
      </x:c>
      <x:c r="Q321" s="10" t="str">
        <x:v>direct</x:v>
      </x:c>
      <x:c r="R321" s="10" t="str">
        <x:v>https://doi.org/10.61225/rjrs.2026.04</x:v>
      </x:c>
    </x:row>
    <x:row r="322">
      <x:c r="A322" s="10" t="n">
        <x:f>RANK.EQ(B322,$B$2:$B$446,0)+COUNTIF($B$2:B322,B322)-1</x:f>
        <x:v>321</x:v>
      </x:c>
      <x:c r="B322" s="22" t="n">
        <x:f>I322+K322+M322+O322</x:f>
        <x:v>77</x:v>
      </x:c>
      <x:c r="C322" s="10" t="str">
        <x:f>IF(B322&gt;=93,"A — Highest",IF(B322&gt;=85,"B — Very strong",IF(B322&gt;=75,"C — Strong",IF(B322&gt;=65,"D — Useful","E — Supporting"))))</x:f>
        <x:v>C — Strong</x:v>
      </x:c>
      <x:c r="D322" s="10" t="str">
        <x:v>Impact of Digital Transformation on Organizational Performance in European SMEs</x:v>
      </x:c>
      <x:c r="E322" s="10" t="str">
        <x:v>2026-06-29</x:v>
      </x:c>
      <x:c r="F322" s="10" t="str">
        <x:v>A</x:v>
      </x:c>
      <x:c r="G322" s="10" t="str">
        <x:v>European Journal of Business and Strategic Management</x:v>
      </x:c>
      <x:c r="H322" s="10" t="str">
        <x:v>Alejandro García</x:v>
      </x:c>
      <x:c r="I322" s="10" t="n">
        <x:v>32</x:v>
      </x:c>
      <x:c r="J322" s="10" t="str">
        <x:v>Peer-reviewed journal</x:v>
      </x:c>
      <x:c r="K322" s="10" t="n">
        <x:v>25</x:v>
      </x:c>
      <x:c r="L322" s="10" t="str">
        <x:v>Direct EU relevance</x:v>
      </x:c>
      <x:c r="M322" s="10" t="n">
        <x:v>15</x:v>
      </x:c>
      <x:c r="N322" s="10" t="str">
        <x:v>Peer-reviewed article</x:v>
      </x:c>
      <x:c r="O322" s="10" t="n">
        <x:v>5</x:v>
      </x:c>
      <x:c r="P322" s="10" t="str">
        <x:v>peer-reviewed article</x:v>
      </x:c>
      <x:c r="Q322" s="10" t="str">
        <x:v>direct</x:v>
      </x:c>
      <x:c r="R322" s="10" t="str">
        <x:v>https://doi.org/10.47604/ejbsm.3843</x:v>
      </x:c>
    </x:row>
    <x:row r="323">
      <x:c r="A323" s="10" t="n">
        <x:f>RANK.EQ(B323,$B$2:$B$446,0)+COUNTIF($B$2:B323,B323)-1</x:f>
        <x:v>322</x:v>
      </x:c>
      <x:c r="B323" s="22" t="n">
        <x:f>I323+K323+M323+O323</x:f>
        <x:v>77</x:v>
      </x:c>
      <x:c r="C323" s="10" t="str">
        <x:f>IF(B323&gt;=93,"A — Highest",IF(B323&gt;=85,"B — Very strong",IF(B323&gt;=75,"C — Strong",IF(B323&gt;=65,"D — Useful","E — Supporting"))))</x:f>
        <x:v>C — Strong</x:v>
      </x:c>
      <x:c r="D323" s="10" t="str">
        <x:v>Does Entrepreneurial Churn Reach Incumbent R&amp;D? Corruption, Time Horizons, and Evidence from Large European Firms</x:v>
      </x:c>
      <x:c r="E323" s="10" t="str">
        <x:v>2026-06-26</x:v>
      </x:c>
      <x:c r="F323" s="10" t="str">
        <x:v>A</x:v>
      </x:c>
      <x:c r="G323" s="10" t="str">
        <x:v>Journal of the Knowledge Economy</x:v>
      </x:c>
      <x:c r="H323" s="10" t="str">
        <x:v>Giacomo Zatini, Armando della Porta</x:v>
      </x:c>
      <x:c r="I323" s="10" t="n">
        <x:v>32</x:v>
      </x:c>
      <x:c r="J323" s="10" t="str">
        <x:v>Peer-reviewed journal</x:v>
      </x:c>
      <x:c r="K323" s="10" t="n">
        <x:v>25</x:v>
      </x:c>
      <x:c r="L323" s="10" t="str">
        <x:v>Direct EU relevance</x:v>
      </x:c>
      <x:c r="M323" s="10" t="n">
        <x:v>15</x:v>
      </x:c>
      <x:c r="N323" s="10" t="str">
        <x:v>Peer-reviewed article</x:v>
      </x:c>
      <x:c r="O323" s="10" t="n">
        <x:v>5</x:v>
      </x:c>
      <x:c r="P323" s="10" t="str">
        <x:v>peer-reviewed article</x:v>
      </x:c>
      <x:c r="Q323" s="10" t="str">
        <x:v>direct</x:v>
      </x:c>
      <x:c r="R323" s="10" t="str">
        <x:v>https://doi.org/10.1007/s13132-026-03384-x</x:v>
      </x:c>
    </x:row>
    <x:row r="324">
      <x:c r="A324" s="10" t="n">
        <x:f>RANK.EQ(B324,$B$2:$B$446,0)+COUNTIF($B$2:B324,B324)-1</x:f>
        <x:v>323</x:v>
      </x:c>
      <x:c r="B324" s="22" t="n">
        <x:f>I324+K324+M324+O324</x:f>
        <x:v>77</x:v>
      </x:c>
      <x:c r="C324" s="10" t="str">
        <x:f>IF(B324&gt;=93,"A — Highest",IF(B324&gt;=85,"B — Very strong",IF(B324&gt;=75,"C — Strong",IF(B324&gt;=65,"D — Useful","E — Supporting"))))</x:f>
        <x:v>C — Strong</x:v>
      </x:c>
      <x:c r="D324" s="10" t="str">
        <x:v>Strengthening translational medical research in Ireland: an interdisciplinary framework for clinician–scientist collaboration</x:v>
      </x:c>
      <x:c r="E324" s="10" t="str">
        <x:v>2026-06-26</x:v>
      </x:c>
      <x:c r="F324" s="10" t="str">
        <x:v>A</x:v>
      </x:c>
      <x:c r="G324" s="10" t="str">
        <x:v>Irish Journal of Medical Science (1971 -)</x:v>
      </x:c>
      <x:c r="H324" s="10" t="str">
        <x:v>Colin J. McMahon, Walter Kolch</x:v>
      </x:c>
      <x:c r="I324" s="10" t="n">
        <x:v>32</x:v>
      </x:c>
      <x:c r="J324" s="10" t="str">
        <x:v>Peer-reviewed journal</x:v>
      </x:c>
      <x:c r="K324" s="10" t="n">
        <x:v>25</x:v>
      </x:c>
      <x:c r="L324" s="10" t="str">
        <x:v>Direct EU relevance</x:v>
      </x:c>
      <x:c r="M324" s="10" t="n">
        <x:v>15</x:v>
      </x:c>
      <x:c r="N324" s="10" t="str">
        <x:v>Peer-reviewed article</x:v>
      </x:c>
      <x:c r="O324" s="10" t="n">
        <x:v>5</x:v>
      </x:c>
      <x:c r="P324" s="10" t="str">
        <x:v>peer-reviewed article</x:v>
      </x:c>
      <x:c r="Q324" s="10" t="str">
        <x:v>direct</x:v>
      </x:c>
      <x:c r="R324" s="10" t="str">
        <x:v>https://doi.org/10.1007/s11845-026-04525-6</x:v>
      </x:c>
    </x:row>
    <x:row r="325">
      <x:c r="A325" s="10" t="n">
        <x:f>RANK.EQ(B325,$B$2:$B$446,0)+COUNTIF($B$2:B325,B325)-1</x:f>
        <x:v>324</x:v>
      </x:c>
      <x:c r="B325" s="22" t="n">
        <x:f>I325+K325+M325+O325</x:f>
        <x:v>77</x:v>
      </x:c>
      <x:c r="C325" s="10" t="str">
        <x:f>IF(B325&gt;=93,"A — Highest",IF(B325&gt;=85,"B — Very strong",IF(B325&gt;=75,"C — Strong",IF(B325&gt;=65,"D — Useful","E — Supporting"))))</x:f>
        <x:v>C — Strong</x:v>
      </x:c>
      <x:c r="D325" s="10" t="str">
        <x:v>Strengthening U.S. Global Leadership in Electric Vehicle Supply Chains Through AI-Driven Fintech Innovation: A Comprehensive Interdisciplinary Analysis</x:v>
      </x:c>
      <x:c r="E325" s="10" t="str">
        <x:v>2026-06-25</x:v>
      </x:c>
      <x:c r="F325" s="10" t="str">
        <x:v>A</x:v>
      </x:c>
      <x:c r="G325" s="10" t="str">
        <x:v>Journal of Economics Finance and Accounting Studies</x:v>
      </x:c>
      <x:c r="H325" s="10" t="str">
        <x:v>Adil Shah, Sabbir Ahammed Khan, Md Nurul Huda Razib</x:v>
      </x:c>
      <x:c r="I325" s="10" t="n">
        <x:v>32</x:v>
      </x:c>
      <x:c r="J325" s="10" t="str">
        <x:v>Peer-reviewed journal</x:v>
      </x:c>
      <x:c r="K325" s="10" t="n">
        <x:v>25</x:v>
      </x:c>
      <x:c r="L325" s="10" t="str">
        <x:v>Direct EU relevance</x:v>
      </x:c>
      <x:c r="M325" s="10" t="n">
        <x:v>15</x:v>
      </x:c>
      <x:c r="N325" s="10" t="str">
        <x:v>Peer-reviewed article</x:v>
      </x:c>
      <x:c r="O325" s="10" t="n">
        <x:v>5</x:v>
      </x:c>
      <x:c r="P325" s="10" t="str">
        <x:v>peer-reviewed article</x:v>
      </x:c>
      <x:c r="Q325" s="10" t="str">
        <x:v>direct</x:v>
      </x:c>
      <x:c r="R325" s="10" t="str">
        <x:v>https://doi.org/10.32996/jefas.2026.8.7.6</x:v>
      </x:c>
    </x:row>
    <x:row r="326">
      <x:c r="A326" s="10" t="n">
        <x:f>RANK.EQ(B326,$B$2:$B$446,0)+COUNTIF($B$2:B326,B326)-1</x:f>
        <x:v>325</x:v>
      </x:c>
      <x:c r="B326" s="22" t="n">
        <x:f>I326+K326+M326+O326</x:f>
        <x:v>77</x:v>
      </x:c>
      <x:c r="C326" s="10" t="str">
        <x:f>IF(B326&gt;=93,"A — Highest",IF(B326&gt;=85,"B — Very strong",IF(B326&gt;=75,"C — Strong",IF(B326&gt;=65,"D — Useful","E — Supporting"))))</x:f>
        <x:v>C — Strong</x:v>
      </x:c>
      <x:c r="D326" s="10" t="str">
        <x:v>Bridging the gender gap in the energy transition: addressing unmet aspirations and repellent effect in education and early career pathways in Italy, Germany and UK</x:v>
      </x:c>
      <x:c r="E326" s="10" t="str">
        <x:v>2026-06-24</x:v>
      </x:c>
      <x:c r="F326" s="10" t="str">
        <x:v>A</x:v>
      </x:c>
      <x:c r="G326" s="10" t="str">
        <x:v>Humanities and Social Sciences Communications</x:v>
      </x:c>
      <x:c r="H326" s="10" t="str">
        <x:v>Lucio Pisacane, Cloe Mirenda, Maria Camilla Fraudatario, Marta Warat, Yara Evans, Rocio Diaz-Chavez, Marie Zoe Bakalovic, Sabine Loos</x:v>
      </x:c>
      <x:c r="I326" s="10" t="n">
        <x:v>32</x:v>
      </x:c>
      <x:c r="J326" s="10" t="str">
        <x:v>Peer-reviewed journal</x:v>
      </x:c>
      <x:c r="K326" s="10" t="n">
        <x:v>25</x:v>
      </x:c>
      <x:c r="L326" s="10" t="str">
        <x:v>Direct EU relevance</x:v>
      </x:c>
      <x:c r="M326" s="10" t="n">
        <x:v>15</x:v>
      </x:c>
      <x:c r="N326" s="10" t="str">
        <x:v>Peer-reviewed article</x:v>
      </x:c>
      <x:c r="O326" s="10" t="n">
        <x:v>5</x:v>
      </x:c>
      <x:c r="P326" s="10" t="str">
        <x:v>peer-reviewed article</x:v>
      </x:c>
      <x:c r="Q326" s="10" t="str">
        <x:v>direct</x:v>
      </x:c>
      <x:c r="R326" s="10" t="str">
        <x:v>https://doi.org/10.1057/s41599-026-07863-z</x:v>
      </x:c>
    </x:row>
    <x:row r="327">
      <x:c r="A327" s="10" t="n">
        <x:f>RANK.EQ(B327,$B$2:$B$446,0)+COUNTIF($B$2:B327,B327)-1</x:f>
        <x:v>326</x:v>
      </x:c>
      <x:c r="B327" s="22" t="n">
        <x:f>I327+K327+M327+O327</x:f>
        <x:v>77</x:v>
      </x:c>
      <x:c r="C327" s="10" t="str">
        <x:f>IF(B327&gt;=93,"A — Highest",IF(B327&gt;=85,"B — Very strong",IF(B327&gt;=75,"C — Strong",IF(B327&gt;=65,"D — Useful","E — Supporting"))))</x:f>
        <x:v>C — Strong</x:v>
      </x:c>
      <x:c r="D327" s="10" t="str">
        <x:v>EU pharmaceutical reform: modulating incentives to improve innovation and access to medicines</x:v>
      </x:c>
      <x:c r="E327" s="10" t="str">
        <x:v>2026-06-24</x:v>
      </x:c>
      <x:c r="F327" s="10" t="str">
        <x:v>A</x:v>
      </x:c>
      <x:c r="G327" s="10" t="str">
        <x:v>EKONOMISTI</x:v>
      </x:c>
      <x:c r="H327" s="10" t="str">
        <x:v>Ketevan Omanadze, Tengiz Verulava</x:v>
      </x:c>
      <x:c r="I327" s="10" t="n">
        <x:v>32</x:v>
      </x:c>
      <x:c r="J327" s="10" t="str">
        <x:v>Peer-reviewed journal</x:v>
      </x:c>
      <x:c r="K327" s="10" t="n">
        <x:v>25</x:v>
      </x:c>
      <x:c r="L327" s="10" t="str">
        <x:v>Direct EU relevance</x:v>
      </x:c>
      <x:c r="M327" s="10" t="n">
        <x:v>15</x:v>
      </x:c>
      <x:c r="N327" s="10" t="str">
        <x:v>Peer-reviewed article</x:v>
      </x:c>
      <x:c r="O327" s="10" t="n">
        <x:v>5</x:v>
      </x:c>
      <x:c r="P327" s="10" t="str">
        <x:v>peer-reviewed article</x:v>
      </x:c>
      <x:c r="Q327" s="10" t="str">
        <x:v>direct</x:v>
      </x:c>
      <x:c r="R327" s="10" t="str">
        <x:v>https://doi.org/10.52340/ekonomisti.2026.02.15</x:v>
      </x:c>
    </x:row>
    <x:row r="328">
      <x:c r="A328" s="10" t="n">
        <x:f>RANK.EQ(B328,$B$2:$B$446,0)+COUNTIF($B$2:B328,B328)-1</x:f>
        <x:v>327</x:v>
      </x:c>
      <x:c r="B328" s="22" t="n">
        <x:f>I328+K328+M328+O328</x:f>
        <x:v>77</x:v>
      </x:c>
      <x:c r="C328" s="10" t="str">
        <x:f>IF(B328&gt;=93,"A — Highest",IF(B328&gt;=85,"B — Very strong",IF(B328&gt;=75,"C — Strong",IF(B328&gt;=65,"D — Useful","E — Supporting"))))</x:f>
        <x:v>C — Strong</x:v>
      </x:c>
      <x:c r="D328" s="10" t="str">
        <x:v>Beyond primary patents: Strategic intellectual property frameworks for sustained pharmaceutical market dominance in US &amp; EU</x:v>
      </x:c>
      <x:c r="E328" s="10" t="str">
        <x:v>2026-06-23</x:v>
      </x:c>
      <x:c r="F328" s="10" t="str">
        <x:v>A</x:v>
      </x:c>
      <x:c r="G328" s="10" t="str">
        <x:v>Journal of Generic Medicines: The Business Journal for the Generic Medicines Sector</x:v>
      </x:c>
      <x:c r="H328" s="10" t="str">
        <x:v>Dhanushya Suresh Kumar, Vivek Reddy Murthannagari, Ganesh Gonna Nandi Krishnan, Vigneshwaran Gopal, Anishiya Michael, Arthy Ragupathi</x:v>
      </x:c>
      <x:c r="I328" s="10" t="n">
        <x:v>32</x:v>
      </x:c>
      <x:c r="J328" s="10" t="str">
        <x:v>Peer-reviewed journal</x:v>
      </x:c>
      <x:c r="K328" s="10" t="n">
        <x:v>25</x:v>
      </x:c>
      <x:c r="L328" s="10" t="str">
        <x:v>Direct EU relevance</x:v>
      </x:c>
      <x:c r="M328" s="10" t="n">
        <x:v>15</x:v>
      </x:c>
      <x:c r="N328" s="10" t="str">
        <x:v>Peer-reviewed article</x:v>
      </x:c>
      <x:c r="O328" s="10" t="n">
        <x:v>5</x:v>
      </x:c>
      <x:c r="P328" s="10" t="str">
        <x:v>peer-reviewed article</x:v>
      </x:c>
      <x:c r="Q328" s="10" t="str">
        <x:v>direct</x:v>
      </x:c>
      <x:c r="R328" s="10" t="str">
        <x:v>https://doi.org/10.1177/17411343261459367</x:v>
      </x:c>
    </x:row>
    <x:row r="329">
      <x:c r="A329" s="10" t="n">
        <x:f>RANK.EQ(B329,$B$2:$B$446,0)+COUNTIF($B$2:B329,B329)-1</x:f>
        <x:v>328</x:v>
      </x:c>
      <x:c r="B329" s="22" t="n">
        <x:f>I329+K329+M329+O329</x:f>
        <x:v>77</x:v>
      </x:c>
      <x:c r="C329" s="10" t="str">
        <x:f>IF(B329&gt;=93,"A — Highest",IF(B329&gt;=85,"B — Very strong",IF(B329&gt;=75,"C — Strong",IF(B329&gt;=65,"D — Useful","E — Supporting"))))</x:f>
        <x:v>C — Strong</x:v>
      </x:c>
      <x:c r="D329" s="10" t="str">
        <x:v>Importance of Taiwan for Western World: An Analysis</x:v>
      </x:c>
      <x:c r="E329" s="10" t="str">
        <x:v>2026-06-23</x:v>
      </x:c>
      <x:c r="F329" s="10" t="str">
        <x:v>A</x:v>
      </x:c>
      <x:c r="G329" s="10" t="str">
        <x:v>Global Foreign Policies Review</x:v>
      </x:c>
      <x:c r="H329" s="10" t="str">
        <x:v>Umar Farooq, Urwa Nasir, Anwar Ali</x:v>
      </x:c>
      <x:c r="I329" s="10" t="n">
        <x:v>32</x:v>
      </x:c>
      <x:c r="J329" s="10" t="str">
        <x:v>Peer-reviewed journal</x:v>
      </x:c>
      <x:c r="K329" s="10" t="n">
        <x:v>25</x:v>
      </x:c>
      <x:c r="L329" s="10" t="str">
        <x:v>Direct EU relevance</x:v>
      </x:c>
      <x:c r="M329" s="10" t="n">
        <x:v>15</x:v>
      </x:c>
      <x:c r="N329" s="10" t="str">
        <x:v>Peer-reviewed article</x:v>
      </x:c>
      <x:c r="O329" s="10" t="n">
        <x:v>5</x:v>
      </x:c>
      <x:c r="P329" s="10" t="str">
        <x:v>peer-reviewed article</x:v>
      </x:c>
      <x:c r="Q329" s="10" t="str">
        <x:v>direct</x:v>
      </x:c>
      <x:c r="R329" s="10" t="str">
        <x:v>https://doi.org/10.31703/gfpr.2026(ix-ii).05</x:v>
      </x:c>
    </x:row>
    <x:row r="330">
      <x:c r="A330" s="10" t="n">
        <x:f>RANK.EQ(B330,$B$2:$B$446,0)+COUNTIF($B$2:B330,B330)-1</x:f>
        <x:v>329</x:v>
      </x:c>
      <x:c r="B330" s="22" t="n">
        <x:f>I330+K330+M330+O330</x:f>
        <x:v>77</x:v>
      </x:c>
      <x:c r="C330" s="10" t="str">
        <x:f>IF(B330&gt;=93,"A — Highest",IF(B330&gt;=85,"B — Very strong",IF(B330&gt;=75,"C — Strong",IF(B330&gt;=65,"D — Useful","E — Supporting"))))</x:f>
        <x:v>C — Strong</x:v>
      </x:c>
      <x:c r="D330" s="10" t="str">
        <x:v>Reviewing former critical analyses of subsidy policies in Europe</x:v>
      </x:c>
      <x:c r="E330" s="10" t="str">
        <x:v>2026-06-23</x:v>
      </x:c>
      <x:c r="F330" s="10" t="str">
        <x:v>A</x:v>
      </x:c>
      <x:c r="G330" s="10" t="str">
        <x:v>Köz-gazdaság</x:v>
      </x:c>
      <x:c r="H330" s="10" t="str">
        <x:v>György Vas</x:v>
      </x:c>
      <x:c r="I330" s="10" t="n">
        <x:v>32</x:v>
      </x:c>
      <x:c r="J330" s="10" t="str">
        <x:v>Peer-reviewed journal</x:v>
      </x:c>
      <x:c r="K330" s="10" t="n">
        <x:v>25</x:v>
      </x:c>
      <x:c r="L330" s="10" t="str">
        <x:v>Direct EU relevance</x:v>
      </x:c>
      <x:c r="M330" s="10" t="n">
        <x:v>15</x:v>
      </x:c>
      <x:c r="N330" s="10" t="str">
        <x:v>Peer-reviewed article</x:v>
      </x:c>
      <x:c r="O330" s="10" t="n">
        <x:v>5</x:v>
      </x:c>
      <x:c r="P330" s="10" t="str">
        <x:v>peer-reviewed article</x:v>
      </x:c>
      <x:c r="Q330" s="10" t="str">
        <x:v>direct</x:v>
      </x:c>
      <x:c r="R330" s="10" t="str">
        <x:v>https://doi.org/10.14267/retp2026.02.06</x:v>
      </x:c>
    </x:row>
    <x:row r="331">
      <x:c r="A331" s="10" t="n">
        <x:f>RANK.EQ(B331,$B$2:$B$446,0)+COUNTIF($B$2:B331,B331)-1</x:f>
        <x:v>330</x:v>
      </x:c>
      <x:c r="B331" s="22" t="n">
        <x:f>I331+K331+M331+O331</x:f>
        <x:v>77</x:v>
      </x:c>
      <x:c r="C331" s="10" t="str">
        <x:f>IF(B331&gt;=93,"A — Highest",IF(B331&gt;=85,"B — Very strong",IF(B331&gt;=75,"C — Strong",IF(B331&gt;=65,"D — Useful","E — Supporting"))))</x:f>
        <x:v>C — Strong</x:v>
      </x:c>
      <x:c r="D331" s="10" t="str">
        <x:v>REFORMING THE INNOVATION ECOSYSTEM FOR NATIONAL SECURITY IN THE CONTEXT OF THE USA’S EXERCISE DESH-3 AND THE EVOLUTION OF THE CONFLICT IN UKRAINE: ADAPTATION OF THE GUIPRR MODEL IN THE ACADEMY OF ROMANIAN SCIENTISTS – MILITARY SCIENCES SECTION</x:v>
      </x:c>
      <x:c r="E331" s="10" t="str">
        <x:v>2026-06-22</x:v>
      </x:c>
      <x:c r="F331" s="10" t="str">
        <x:v>A</x:v>
      </x:c>
      <x:c r="G331" s="10" t="str">
        <x:v>Annals of the Academy of Romanian Scientists Series on Military Sciences</x:v>
      </x:c>
      <x:c r="H331" s="10" t="str">
        <x:v>Sorin TOPOR</x:v>
      </x:c>
      <x:c r="I331" s="10" t="n">
        <x:v>32</x:v>
      </x:c>
      <x:c r="J331" s="10" t="str">
        <x:v>Peer-reviewed journal</x:v>
      </x:c>
      <x:c r="K331" s="10" t="n">
        <x:v>25</x:v>
      </x:c>
      <x:c r="L331" s="10" t="str">
        <x:v>Direct EU relevance</x:v>
      </x:c>
      <x:c r="M331" s="10" t="n">
        <x:v>15</x:v>
      </x:c>
      <x:c r="N331" s="10" t="str">
        <x:v>Peer-reviewed article</x:v>
      </x:c>
      <x:c r="O331" s="10" t="n">
        <x:v>5</x:v>
      </x:c>
      <x:c r="P331" s="10" t="str">
        <x:v>peer-reviewed article</x:v>
      </x:c>
      <x:c r="Q331" s="10" t="str">
        <x:v>direct</x:v>
      </x:c>
      <x:c r="R331" s="10" t="str">
        <x:v>https://doi.org/10.56082/annalsarscimilit.2026.2.52</x:v>
      </x:c>
    </x:row>
    <x:row r="332">
      <x:c r="A332" s="10" t="n">
        <x:f>RANK.EQ(B332,$B$2:$B$446,0)+COUNTIF($B$2:B332,B332)-1</x:f>
        <x:v>331</x:v>
      </x:c>
      <x:c r="B332" s="22" t="n">
        <x:f>I332+K332+M332+O332</x:f>
        <x:v>77</x:v>
      </x:c>
      <x:c r="C332" s="10" t="str">
        <x:f>IF(B332&gt;=93,"A — Highest",IF(B332&gt;=85,"B — Very strong",IF(B332&gt;=75,"C — Strong",IF(B332&gt;=65,"D — Useful","E — Supporting"))))</x:f>
        <x:v>C — Strong</x:v>
      </x:c>
      <x:c r="D332" s="10" t="str">
        <x:v>The Impact of Interest Rates on Venture Capital Availability in Europe</x:v>
      </x:c>
      <x:c r="E332" s="10" t="str">
        <x:v>2026-06-21</x:v>
      </x:c>
      <x:c r="F332" s="10" t="str">
        <x:v>A</x:v>
      </x:c>
      <x:c r="G332" s="10" t="str">
        <x:v>Aalto University</x:v>
      </x:c>
      <x:c r="H332" s="10" t="str">
        <x:v>Noora Saksa</x:v>
      </x:c>
      <x:c r="I332" s="10" t="n">
        <x:v>32</x:v>
      </x:c>
      <x:c r="J332" s="10" t="str">
        <x:v>Peer-reviewed journal</x:v>
      </x:c>
      <x:c r="K332" s="10" t="n">
        <x:v>25</x:v>
      </x:c>
      <x:c r="L332" s="10" t="str">
        <x:v>Direct EU relevance</x:v>
      </x:c>
      <x:c r="M332" s="10" t="n">
        <x:v>15</x:v>
      </x:c>
      <x:c r="N332" s="10" t="str">
        <x:v>Peer-reviewed article</x:v>
      </x:c>
      <x:c r="O332" s="10" t="n">
        <x:v>5</x:v>
      </x:c>
      <x:c r="P332" s="10" t="str">
        <x:v>peer-reviewed article</x:v>
      </x:c>
      <x:c r="Q332" s="10" t="str">
        <x:v>direct</x:v>
      </x:c>
      <x:c r="R332" s="10" t="str">
        <x:v>https://aaltodoc.aalto.fi/handle/123456789/147233</x:v>
      </x:c>
    </x:row>
    <x:row r="333">
      <x:c r="A333" s="10" t="n">
        <x:f>RANK.EQ(B333,$B$2:$B$446,0)+COUNTIF($B$2:B333,B333)-1</x:f>
        <x:v>332</x:v>
      </x:c>
      <x:c r="B333" s="22" t="n">
        <x:f>I333+K333+M333+O333</x:f>
        <x:v>77</x:v>
      </x:c>
      <x:c r="C333" s="10" t="str">
        <x:f>IF(B333&gt;=93,"A — Highest",IF(B333&gt;=85,"B — Very strong",IF(B333&gt;=75,"C — Strong",IF(B333&gt;=65,"D — Useful","E — Supporting"))))</x:f>
        <x:v>C — Strong</x:v>
      </x:c>
      <x:c r="D333" s="10" t="str">
        <x:v>Green patenting within R&amp;D host regions: technology sourcing and reverse spillover effects</x:v>
      </x:c>
      <x:c r="E333" s="10" t="str">
        <x:v>2026-06-20</x:v>
      </x:c>
      <x:c r="F333" s="10" t="str">
        <x:v>A</x:v>
      </x:c>
      <x:c r="G333" s="10" t="str">
        <x:v>Eurasian economic review :</x:v>
      </x:c>
      <x:c r="H333" s="10" t="str">
        <x:v>Loreta Calzaretta, Anna Maria Ferragina</x:v>
      </x:c>
      <x:c r="I333" s="10" t="n">
        <x:v>32</x:v>
      </x:c>
      <x:c r="J333" s="10" t="str">
        <x:v>Peer-reviewed journal</x:v>
      </x:c>
      <x:c r="K333" s="10" t="n">
        <x:v>25</x:v>
      </x:c>
      <x:c r="L333" s="10" t="str">
        <x:v>Direct EU relevance</x:v>
      </x:c>
      <x:c r="M333" s="10" t="n">
        <x:v>15</x:v>
      </x:c>
      <x:c r="N333" s="10" t="str">
        <x:v>Peer-reviewed article</x:v>
      </x:c>
      <x:c r="O333" s="10" t="n">
        <x:v>5</x:v>
      </x:c>
      <x:c r="P333" s="10" t="str">
        <x:v>peer-reviewed article</x:v>
      </x:c>
      <x:c r="Q333" s="10" t="str">
        <x:v>direct</x:v>
      </x:c>
      <x:c r="R333" s="10" t="str">
        <x:v>https://doi.org/10.1007/s40821-026-00362-w</x:v>
      </x:c>
    </x:row>
    <x:row r="334">
      <x:c r="A334" s="10" t="n">
        <x:f>RANK.EQ(B334,$B$2:$B$446,0)+COUNTIF($B$2:B334,B334)-1</x:f>
        <x:v>333</x:v>
      </x:c>
      <x:c r="B334" s="22" t="n">
        <x:f>I334+K334+M334+O334</x:f>
        <x:v>77</x:v>
      </x:c>
      <x:c r="C334" s="10" t="str">
        <x:f>IF(B334&gt;=93,"A — Highest",IF(B334&gt;=85,"B — Very strong",IF(B334&gt;=75,"C — Strong",IF(B334&gt;=65,"D — Useful","E — Supporting"))))</x:f>
        <x:v>C — Strong</x:v>
      </x:c>
      <x:c r="D334" s="10" t="str">
        <x:v>Bulgaria’s Readiness for the CRMA: A State Administration Perspective on Institutional, Technological and Socio-Economic Factors</x:v>
      </x:c>
      <x:c r="E334" s="10" t="str">
        <x:v>2026-06-19</x:v>
      </x:c>
      <x:c r="F334" s="10" t="str">
        <x:v>A</x:v>
      </x:c>
      <x:c r="G334" s="10" t="str">
        <x:v>Economic Studies (Ikonomicheski Izsledvania)</x:v>
      </x:c>
      <x:c r="H334" s="10" t="str">
        <x:v>Ivaylo Yankov</x:v>
      </x:c>
      <x:c r="I334" s="10" t="n">
        <x:v>32</x:v>
      </x:c>
      <x:c r="J334" s="10" t="str">
        <x:v>Peer-reviewed journal</x:v>
      </x:c>
      <x:c r="K334" s="10" t="n">
        <x:v>25</x:v>
      </x:c>
      <x:c r="L334" s="10" t="str">
        <x:v>Direct EU relevance</x:v>
      </x:c>
      <x:c r="M334" s="10" t="n">
        <x:v>15</x:v>
      </x:c>
      <x:c r="N334" s="10" t="str">
        <x:v>Peer-reviewed article</x:v>
      </x:c>
      <x:c r="O334" s="10" t="n">
        <x:v>5</x:v>
      </x:c>
      <x:c r="P334" s="10" t="str">
        <x:v>peer-reviewed article</x:v>
      </x:c>
      <x:c r="Q334" s="10" t="str">
        <x:v>direct</x:v>
      </x:c>
      <x:c r="R334" s="10" t="str">
        <x:v>https://doi.org/10.56497/esj260603</x:v>
      </x:c>
    </x:row>
    <x:row r="335">
      <x:c r="A335" s="10" t="n">
        <x:f>RANK.EQ(B335,$B$2:$B$446,0)+COUNTIF($B$2:B335,B335)-1</x:f>
        <x:v>334</x:v>
      </x:c>
      <x:c r="B335" s="22" t="n">
        <x:f>I335+K335+M335+O335</x:f>
        <x:v>77</x:v>
      </x:c>
      <x:c r="C335" s="10" t="str">
        <x:f>IF(B335&gt;=93,"A — Highest",IF(B335&gt;=85,"B — Very strong",IF(B335&gt;=75,"C — Strong",IF(B335&gt;=65,"D — Useful","E — Supporting"))))</x:f>
        <x:v>C — Strong</x:v>
      </x:c>
      <x:c r="D335" s="10" t="str">
        <x:v>DETERRENCE STRATEGIES FOR SMALL AND MEDIUM-SIZED STATES ON NATO’S EASTERN FLANK: THE CASE OF ROMANIA IN THE NEW SECURITY CONTEXT</x:v>
      </x:c>
      <x:c r="E335" s="10" t="str">
        <x:v>2026-06-17</x:v>
      </x:c>
      <x:c r="F335" s="10" t="str">
        <x:v>A</x:v>
      </x:c>
      <x:c r="G335" s="10" t="str">
        <x:v>Strategic Impact</x:v>
      </x:c>
      <x:c r="H335" s="10" t="str">
        <x:v>Sorin TOPOR</x:v>
      </x:c>
      <x:c r="I335" s="10" t="n">
        <x:v>32</x:v>
      </x:c>
      <x:c r="J335" s="10" t="str">
        <x:v>Peer-reviewed journal</x:v>
      </x:c>
      <x:c r="K335" s="10" t="n">
        <x:v>25</x:v>
      </x:c>
      <x:c r="L335" s="10" t="str">
        <x:v>Direct EU relevance</x:v>
      </x:c>
      <x:c r="M335" s="10" t="n">
        <x:v>15</x:v>
      </x:c>
      <x:c r="N335" s="10" t="str">
        <x:v>Peer-reviewed article</x:v>
      </x:c>
      <x:c r="O335" s="10" t="n">
        <x:v>5</x:v>
      </x:c>
      <x:c r="P335" s="10" t="str">
        <x:v>peer-reviewed article</x:v>
      </x:c>
      <x:c r="Q335" s="10" t="str">
        <x:v>direct</x:v>
      </x:c>
      <x:c r="R335" s="10" t="str">
        <x:v>https://doi.org/10.53477/1842-9904-25-32</x:v>
      </x:c>
    </x:row>
    <x:row r="336">
      <x:c r="A336" s="10" t="n">
        <x:f>RANK.EQ(B336,$B$2:$B$446,0)+COUNTIF($B$2:B336,B336)-1</x:f>
        <x:v>335</x:v>
      </x:c>
      <x:c r="B336" s="22" t="n">
        <x:f>I336+K336+M336+O336</x:f>
        <x:v>77</x:v>
      </x:c>
      <x:c r="C336" s="10" t="str">
        <x:f>IF(B336&gt;=93,"A — Highest",IF(B336&gt;=85,"B — Very strong",IF(B336&gt;=75,"C — Strong",IF(B336&gt;=65,"D — Useful","E — Supporting"))))</x:f>
        <x:v>C — Strong</x:v>
      </x:c>
      <x:c r="D336" s="10" t="str">
        <x:v>MODEL OF EUROPEAN INTEGRATION OF R&amp;D INSTITUTIONS OF THE NAS OF UKRAINE IN THE CONTEXT OF UKRAINE’S INTEGRATION INTO THE EUROPEAN UNION</x:v>
      </x:c>
      <x:c r="E336" s="10" t="str">
        <x:v>2026-06-17</x:v>
      </x:c>
      <x:c r="F336" s="10" t="str">
        <x:v>A</x:v>
      </x:c>
      <x:c r="G336" s="10" t="str">
        <x:v>Science and Innovation</x:v>
      </x:c>
      <x:c r="H336" s="10" t="str">
        <x:v>Iu. NIKITIN</x:v>
      </x:c>
      <x:c r="I336" s="10" t="n">
        <x:v>32</x:v>
      </x:c>
      <x:c r="J336" s="10" t="str">
        <x:v>Peer-reviewed journal</x:v>
      </x:c>
      <x:c r="K336" s="10" t="n">
        <x:v>25</x:v>
      </x:c>
      <x:c r="L336" s="10" t="str">
        <x:v>Direct EU relevance</x:v>
      </x:c>
      <x:c r="M336" s="10" t="n">
        <x:v>15</x:v>
      </x:c>
      <x:c r="N336" s="10" t="str">
        <x:v>Peer-reviewed article</x:v>
      </x:c>
      <x:c r="O336" s="10" t="n">
        <x:v>5</x:v>
      </x:c>
      <x:c r="P336" s="10" t="str">
        <x:v>peer-reviewed article</x:v>
      </x:c>
      <x:c r="Q336" s="10" t="str">
        <x:v>direct</x:v>
      </x:c>
      <x:c r="R336" s="10" t="str">
        <x:v>https://doi.org/10.15407/scine22.03.045</x:v>
      </x:c>
    </x:row>
    <x:row r="337">
      <x:c r="A337" s="10" t="n">
        <x:f>RANK.EQ(B337,$B$2:$B$446,0)+COUNTIF($B$2:B337,B337)-1</x:f>
        <x:v>336</x:v>
      </x:c>
      <x:c r="B337" s="22" t="n">
        <x:f>I337+K337+M337+O337</x:f>
        <x:v>77</x:v>
      </x:c>
      <x:c r="C337" s="10" t="str">
        <x:f>IF(B337&gt;=93,"A — Highest",IF(B337&gt;=85,"B — Very strong",IF(B337&gt;=75,"C — Strong",IF(B337&gt;=65,"D — Useful","E — Supporting"))))</x:f>
        <x:v>C — Strong</x:v>
      </x:c>
      <x:c r="D337" s="10" t="str">
        <x:v>Can european law keep pace with biomedical innovation? The reinvention of transplantation regulation</x:v>
      </x:c>
      <x:c r="E337" s="10" t="str">
        <x:v>2026-06-16</x:v>
      </x:c>
      <x:c r="F337" s="10" t="str">
        <x:v>A</x:v>
      </x:c>
      <x:c r="G337" s="10" t="str">
        <x:v>Transplant International</x:v>
      </x:c>
      <x:c r="H337" s="10" t="str">
        <x:v>Olivier Thaunat, Frank J. M. F. Dor, Umberto Cillo, Gabriel C. Oniscu, Ekaterine Berishvili</x:v>
      </x:c>
      <x:c r="I337" s="10" t="n">
        <x:v>32</x:v>
      </x:c>
      <x:c r="J337" s="10" t="str">
        <x:v>Peer-reviewed journal</x:v>
      </x:c>
      <x:c r="K337" s="10" t="n">
        <x:v>25</x:v>
      </x:c>
      <x:c r="L337" s="10" t="str">
        <x:v>Direct EU relevance</x:v>
      </x:c>
      <x:c r="M337" s="10" t="n">
        <x:v>15</x:v>
      </x:c>
      <x:c r="N337" s="10" t="str">
        <x:v>Peer-reviewed article</x:v>
      </x:c>
      <x:c r="O337" s="10" t="n">
        <x:v>5</x:v>
      </x:c>
      <x:c r="P337" s="10" t="str">
        <x:v>peer-reviewed article</x:v>
      </x:c>
      <x:c r="Q337" s="10" t="str">
        <x:v>direct</x:v>
      </x:c>
      <x:c r="R337" s="10" t="str">
        <x:v>https://doi.org/10.3389/ti.2026.16976</x:v>
      </x:c>
    </x:row>
    <x:row r="338">
      <x:c r="A338" s="10" t="n">
        <x:f>RANK.EQ(B338,$B$2:$B$446,0)+COUNTIF($B$2:B338,B338)-1</x:f>
        <x:v>337</x:v>
      </x:c>
      <x:c r="B338" s="22" t="n">
        <x:f>I338+K338+M338+O338</x:f>
        <x:v>77</x:v>
      </x:c>
      <x:c r="C338" s="10" t="str">
        <x:f>IF(B338&gt;=93,"A — Highest",IF(B338&gt;=85,"B — Very strong",IF(B338&gt;=75,"C — Strong",IF(B338&gt;=65,"D — Useful","E — Supporting"))))</x:f>
        <x:v>C — Strong</x:v>
      </x:c>
      <x:c r="D338" s="10" t="str">
        <x:v>Identifying barriers and policy priorities for rare disease research in underrepresented European countries</x:v>
      </x:c>
      <x:c r="E338" s="10" t="str">
        <x:v>2026-06-13</x:v>
      </x:c>
      <x:c r="F338" s="10" t="str">
        <x:v>A</x:v>
      </x:c>
      <x:c r="G338" s="10" t="str">
        <x:v>European Journal of Public Health</x:v>
      </x:c>
      <x:c r="H338" s="10" t="str">
        <x:v>Baiba Lace, Inna Inashkina, Dorica Dan, Ariane Weinman, Pauline Adam, Oleg Kvlividze, Birute Tumiene, Anabela Isidro, et al.</x:v>
      </x:c>
      <x:c r="I338" s="10" t="n">
        <x:v>32</x:v>
      </x:c>
      <x:c r="J338" s="10" t="str">
        <x:v>Peer-reviewed journal</x:v>
      </x:c>
      <x:c r="K338" s="10" t="n">
        <x:v>25</x:v>
      </x:c>
      <x:c r="L338" s="10" t="str">
        <x:v>Direct EU relevance</x:v>
      </x:c>
      <x:c r="M338" s="10" t="n">
        <x:v>15</x:v>
      </x:c>
      <x:c r="N338" s="10" t="str">
        <x:v>Peer-reviewed article</x:v>
      </x:c>
      <x:c r="O338" s="10" t="n">
        <x:v>5</x:v>
      </x:c>
      <x:c r="P338" s="10" t="str">
        <x:v>peer-reviewed article</x:v>
      </x:c>
      <x:c r="Q338" s="10" t="str">
        <x:v>direct</x:v>
      </x:c>
      <x:c r="R338" s="10" t="str">
        <x:v>https://doi.org/10.1093/eurpub/ckag103</x:v>
      </x:c>
    </x:row>
    <x:row r="339">
      <x:c r="A339" s="10" t="n">
        <x:f>RANK.EQ(B339,$B$2:$B$446,0)+COUNTIF($B$2:B339,B339)-1</x:f>
        <x:v>338</x:v>
      </x:c>
      <x:c r="B339" s="22" t="n">
        <x:f>I339+K339+M339+O339</x:f>
        <x:v>77</x:v>
      </x:c>
      <x:c r="C339" s="10" t="str">
        <x:f>IF(B339&gt;=93,"A — Highest",IF(B339&gt;=85,"B — Very strong",IF(B339&gt;=75,"C — Strong",IF(B339&gt;=65,"D — Useful","E — Supporting"))))</x:f>
        <x:v>C — Strong</x:v>
      </x:c>
      <x:c r="D339" s="10" t="str">
        <x:v>Perceptions of challenges in clinical pediatric research: a survey of Italian pediatricians</x:v>
      </x:c>
      <x:c r="E339" s="10" t="str">
        <x:v>2026-06-12</x:v>
      </x:c>
      <x:c r="F339" s="10" t="str">
        <x:v>A</x:v>
      </x:c>
      <x:c r="G339" s="10" t="str">
        <x:v>Italian Journal of Pediatrics</x:v>
      </x:c>
      <x:c r="H339" s="10" t="str">
        <x:v>Alberto Eugenio Tozzi, Ileana Croci, Claudio Pignata, Rino Agostiniani, Viviana Moschese</x:v>
      </x:c>
      <x:c r="I339" s="10" t="n">
        <x:v>32</x:v>
      </x:c>
      <x:c r="J339" s="10" t="str">
        <x:v>Peer-reviewed journal</x:v>
      </x:c>
      <x:c r="K339" s="10" t="n">
        <x:v>25</x:v>
      </x:c>
      <x:c r="L339" s="10" t="str">
        <x:v>Direct EU relevance</x:v>
      </x:c>
      <x:c r="M339" s="10" t="n">
        <x:v>15</x:v>
      </x:c>
      <x:c r="N339" s="10" t="str">
        <x:v>Peer-reviewed article</x:v>
      </x:c>
      <x:c r="O339" s="10" t="n">
        <x:v>5</x:v>
      </x:c>
      <x:c r="P339" s="10" t="str">
        <x:v>peer-reviewed article</x:v>
      </x:c>
      <x:c r="Q339" s="10" t="str">
        <x:v>direct</x:v>
      </x:c>
      <x:c r="R339" s="10" t="str">
        <x:v>https://doi.org/10.1186/s13052-026-02282-x</x:v>
      </x:c>
    </x:row>
    <x:row r="340">
      <x:c r="A340" s="10" t="n">
        <x:f>RANK.EQ(B340,$B$2:$B$446,0)+COUNTIF($B$2:B340,B340)-1</x:f>
        <x:v>339</x:v>
      </x:c>
      <x:c r="B340" s="22" t="n">
        <x:f>I340+K340+M340+O340</x:f>
        <x:v>77</x:v>
      </x:c>
      <x:c r="C340" s="10" t="str">
        <x:f>IF(B340&gt;=93,"A — Highest",IF(B340&gt;=85,"B — Very strong",IF(B340&gt;=75,"C — Strong",IF(B340&gt;=65,"D — Useful","E — Supporting"))))</x:f>
        <x:v>C — Strong</x:v>
      </x:c>
      <x:c r="D340" s="10" t="str">
        <x:v>Natural Disaster, (re)active Cities and Knowledge Flow: Exploring the Synergies Between Urban Development, Public R&amp;D Investment, and Students’ Attractiveness</x:v>
      </x:c>
      <x:c r="E340" s="10" t="str">
        <x:v>2026-06-11</x:v>
      </x:c>
      <x:c r="F340" s="10" t="str">
        <x:v>A</x:v>
      </x:c>
      <x:c r="G340" s="10" t="str">
        <x:v>Journal of the Knowledge Economy</x:v>
      </x:c>
      <x:c r="H340" s="10" t="str">
        <x:v>Filippo Marchesani, Francesca Masciarelli</x:v>
      </x:c>
      <x:c r="I340" s="10" t="n">
        <x:v>32</x:v>
      </x:c>
      <x:c r="J340" s="10" t="str">
        <x:v>Peer-reviewed journal</x:v>
      </x:c>
      <x:c r="K340" s="10" t="n">
        <x:v>25</x:v>
      </x:c>
      <x:c r="L340" s="10" t="str">
        <x:v>Direct EU relevance</x:v>
      </x:c>
      <x:c r="M340" s="10" t="n">
        <x:v>15</x:v>
      </x:c>
      <x:c r="N340" s="10" t="str">
        <x:v>Peer-reviewed article</x:v>
      </x:c>
      <x:c r="O340" s="10" t="n">
        <x:v>5</x:v>
      </x:c>
      <x:c r="P340" s="10" t="str">
        <x:v>peer-reviewed article</x:v>
      </x:c>
      <x:c r="Q340" s="10" t="str">
        <x:v>direct</x:v>
      </x:c>
      <x:c r="R340" s="10" t="str">
        <x:v>https://doi.org/10.1007/s13132-026-03332-9</x:v>
      </x:c>
    </x:row>
    <x:row r="341">
      <x:c r="A341" s="10" t="n">
        <x:f>RANK.EQ(B341,$B$2:$B$446,0)+COUNTIF($B$2:B341,B341)-1</x:f>
        <x:v>340</x:v>
      </x:c>
      <x:c r="B341" s="22" t="n">
        <x:f>I341+K341+M341+O341</x:f>
        <x:v>77</x:v>
      </x:c>
      <x:c r="C341" s="10" t="str">
        <x:f>IF(B341&gt;=93,"A — Highest",IF(B341&gt;=85,"B — Very strong",IF(B341&gt;=75,"C — Strong",IF(B341&gt;=65,"D — Useful","E — Supporting"))))</x:f>
        <x:v>C — Strong</x:v>
      </x:c>
      <x:c r="D341" s="10" t="str">
        <x:v>Utility effectiveness, composite indicators and ‘benefit of the doubt’ models: How important are preferences when evaluating the performance of innovation systems?</x:v>
      </x:c>
      <x:c r="E341" s="10" t="str">
        <x:v>2026-06-11</x:v>
      </x:c>
      <x:c r="F341" s="10" t="str">
        <x:v>A</x:v>
      </x:c>
      <x:c r="G341" s="10" t="str">
        <x:v>Socio-Economic Planning Sciences</x:v>
      </x:c>
      <x:c r="H341" s="10" t="str">
        <x:v>José L. Zofío, Juan Aparicio, Javier Barbero, Jon Mikel Zabala‐Iturriagagoitia</x:v>
      </x:c>
      <x:c r="I341" s="10" t="n">
        <x:v>32</x:v>
      </x:c>
      <x:c r="J341" s="10" t="str">
        <x:v>Peer-reviewed journal</x:v>
      </x:c>
      <x:c r="K341" s="10" t="n">
        <x:v>25</x:v>
      </x:c>
      <x:c r="L341" s="10" t="str">
        <x:v>Direct EU relevance</x:v>
      </x:c>
      <x:c r="M341" s="10" t="n">
        <x:v>15</x:v>
      </x:c>
      <x:c r="N341" s="10" t="str">
        <x:v>Peer-reviewed article</x:v>
      </x:c>
      <x:c r="O341" s="10" t="n">
        <x:v>5</x:v>
      </x:c>
      <x:c r="P341" s="10" t="str">
        <x:v>peer-reviewed article</x:v>
      </x:c>
      <x:c r="Q341" s="10" t="str">
        <x:v>direct</x:v>
      </x:c>
      <x:c r="R341" s="10" t="str">
        <x:v>https://doi.org/10.1016/j.seps.2026.102528</x:v>
      </x:c>
    </x:row>
    <x:row r="342">
      <x:c r="A342" s="10" t="n">
        <x:f>RANK.EQ(B342,$B$2:$B$446,0)+COUNTIF($B$2:B342,B342)-1</x:f>
        <x:v>341</x:v>
      </x:c>
      <x:c r="B342" s="22" t="n">
        <x:f>I342+K342+M342+O342</x:f>
        <x:v>77</x:v>
      </x:c>
      <x:c r="C342" s="10" t="str">
        <x:f>IF(B342&gt;=93,"A — Highest",IF(B342&gt;=85,"B — Very strong",IF(B342&gt;=75,"C — Strong",IF(B342&gt;=65,"D — Useful","E — Supporting"))))</x:f>
        <x:v>C — Strong</x:v>
      </x:c>
      <x:c r="D342" s="10" t="str">
        <x:v>A Tale of Two Worlds: Exploring the Range and Depth of NGO–Academic Collaboration in International Development Across Europe</x:v>
      </x:c>
      <x:c r="E342" s="10" t="str">
        <x:v>2026-06-10</x:v>
      </x:c>
      <x:c r="F342" s="10" t="str">
        <x:v>A</x:v>
      </x:c>
      <x:c r="G342" s="10" t="str">
        <x:v>Journal of International Development</x:v>
      </x:c>
      <x:c r="H342" s="10" t="str">
        <x:v>Sebastian Heinen, Stefan Cibian, Petra Dannecker, Lenka Duskova, Magdolna Sass, Lau Schulpen, Katja Bender</x:v>
      </x:c>
      <x:c r="I342" s="10" t="n">
        <x:v>32</x:v>
      </x:c>
      <x:c r="J342" s="10" t="str">
        <x:v>Peer-reviewed journal</x:v>
      </x:c>
      <x:c r="K342" s="10" t="n">
        <x:v>25</x:v>
      </x:c>
      <x:c r="L342" s="10" t="str">
        <x:v>Direct EU relevance</x:v>
      </x:c>
      <x:c r="M342" s="10" t="n">
        <x:v>15</x:v>
      </x:c>
      <x:c r="N342" s="10" t="str">
        <x:v>Peer-reviewed article</x:v>
      </x:c>
      <x:c r="O342" s="10" t="n">
        <x:v>5</x:v>
      </x:c>
      <x:c r="P342" s="10" t="str">
        <x:v>peer-reviewed article</x:v>
      </x:c>
      <x:c r="Q342" s="10" t="str">
        <x:v>direct</x:v>
      </x:c>
      <x:c r="R342" s="10" t="str">
        <x:v>https://doi.org/10.1002/jid.70094</x:v>
      </x:c>
    </x:row>
    <x:row r="343">
      <x:c r="A343" s="10" t="n">
        <x:f>RANK.EQ(B343,$B$2:$B$446,0)+COUNTIF($B$2:B343,B343)-1</x:f>
        <x:v>342</x:v>
      </x:c>
      <x:c r="B343" s="22" t="n">
        <x:f>I343+K343+M343+O343</x:f>
        <x:v>77</x:v>
      </x:c>
      <x:c r="C343" s="10" t="str">
        <x:f>IF(B343&gt;=93,"A — Highest",IF(B343&gt;=85,"B — Very strong",IF(B343&gt;=75,"C — Strong",IF(B343&gt;=65,"D — Useful","E — Supporting"))))</x:f>
        <x:v>C — Strong</x:v>
      </x:c>
      <x:c r="D343" s="10" t="str">
        <x:v>AI ‐Driven Risk Governance for SMEs : From Predictive Analytics to Strategic Competitiveness</x:v>
      </x:c>
      <x:c r="E343" s="10" t="str">
        <x:v>2026-06-10</x:v>
      </x:c>
      <x:c r="F343" s="10" t="str">
        <x:v>A</x:v>
      </x:c>
      <x:c r="G343" s="10" t="str">
        <x:v>Strategic Change</x:v>
      </x:c>
      <x:c r="H343" s="10" t="str">
        <x:v>Davide Liberato lo Conte, Giuseppe Sancetta, Nicola Cucari, Octavio Escobar</x:v>
      </x:c>
      <x:c r="I343" s="10" t="n">
        <x:v>32</x:v>
      </x:c>
      <x:c r="J343" s="10" t="str">
        <x:v>Peer-reviewed journal</x:v>
      </x:c>
      <x:c r="K343" s="10" t="n">
        <x:v>25</x:v>
      </x:c>
      <x:c r="L343" s="10" t="str">
        <x:v>Direct EU relevance</x:v>
      </x:c>
      <x:c r="M343" s="10" t="n">
        <x:v>15</x:v>
      </x:c>
      <x:c r="N343" s="10" t="str">
        <x:v>Peer-reviewed article</x:v>
      </x:c>
      <x:c r="O343" s="10" t="n">
        <x:v>5</x:v>
      </x:c>
      <x:c r="P343" s="10" t="str">
        <x:v>peer-reviewed article</x:v>
      </x:c>
      <x:c r="Q343" s="10" t="str">
        <x:v>direct</x:v>
      </x:c>
      <x:c r="R343" s="10" t="str">
        <x:v>https://doi.org/10.1002/jsc.70097</x:v>
      </x:c>
    </x:row>
    <x:row r="344">
      <x:c r="A344" s="10" t="n">
        <x:f>RANK.EQ(B344,$B$2:$B$446,0)+COUNTIF($B$2:B344,B344)-1</x:f>
        <x:v>343</x:v>
      </x:c>
      <x:c r="B344" s="22" t="n">
        <x:f>I344+K344+M344+O344</x:f>
        <x:v>77</x:v>
      </x:c>
      <x:c r="C344" s="10" t="str">
        <x:f>IF(B344&gt;=93,"A — Highest",IF(B344&gt;=85,"B — Very strong",IF(B344&gt;=75,"C — Strong",IF(B344&gt;=65,"D — Useful","E — Supporting"))))</x:f>
        <x:v>C — Strong</x:v>
      </x:c>
      <x:c r="D344" s="10" t="str">
        <x:v>Professional development of educational researchers in cross-sector and cross-border mobility: evidence from a reflexive study of the EdTech Talents project</x:v>
      </x:c>
      <x:c r="E344" s="10" t="str">
        <x:v>2026-06-10</x:v>
      </x:c>
      <x:c r="F344" s="10" t="str">
        <x:v>A</x:v>
      </x:c>
      <x:c r="G344" s="10" t="str">
        <x:v>Higher Education, Skills and Work-Based Learning</x:v>
      </x:c>
      <x:c r="H344" s="10" t="str">
        <x:v>Janika Leoste, Larissa Jõgi, Ugljesa Marjanovic, Slavko Rakic, Piedad Tolmos</x:v>
      </x:c>
      <x:c r="I344" s="10" t="n">
        <x:v>32</x:v>
      </x:c>
      <x:c r="J344" s="10" t="str">
        <x:v>Peer-reviewed journal</x:v>
      </x:c>
      <x:c r="K344" s="10" t="n">
        <x:v>25</x:v>
      </x:c>
      <x:c r="L344" s="10" t="str">
        <x:v>Direct EU relevance</x:v>
      </x:c>
      <x:c r="M344" s="10" t="n">
        <x:v>15</x:v>
      </x:c>
      <x:c r="N344" s="10" t="str">
        <x:v>Peer-reviewed article</x:v>
      </x:c>
      <x:c r="O344" s="10" t="n">
        <x:v>5</x:v>
      </x:c>
      <x:c r="P344" s="10" t="str">
        <x:v>peer-reviewed article</x:v>
      </x:c>
      <x:c r="Q344" s="10" t="str">
        <x:v>direct</x:v>
      </x:c>
      <x:c r="R344" s="10" t="str">
        <x:v>https://doi.org/10.1108/heswbl-08-2025-0364</x:v>
      </x:c>
    </x:row>
    <x:row r="345">
      <x:c r="A345" s="10" t="n">
        <x:f>RANK.EQ(B345,$B$2:$B$446,0)+COUNTIF($B$2:B345,B345)-1</x:f>
        <x:v>344</x:v>
      </x:c>
      <x:c r="B345" s="22" t="n">
        <x:f>I345+K345+M345+O345</x:f>
        <x:v>77</x:v>
      </x:c>
      <x:c r="C345" s="10" t="str">
        <x:f>IF(B345&gt;=93,"A — Highest",IF(B345&gt;=85,"B — Very strong",IF(B345&gt;=75,"C — Strong",IF(B345&gt;=65,"D — Useful","E — Supporting"))))</x:f>
        <x:v>C — Strong</x:v>
      </x:c>
      <x:c r="D345" s="10" t="str">
        <x:v>The Effects of Investment in Education and Training on Productivity Growth in the European Union</x:v>
      </x:c>
      <x:c r="E345" s="10" t="str">
        <x:v>2026-06-08</x:v>
      </x:c>
      <x:c r="F345" s="10" t="str">
        <x:v>A</x:v>
      </x:c>
      <x:c r="G345" s="10" t="str">
        <x:v>Review of Income and Wealth</x:v>
      </x:c>
      <x:c r="H345" s="10" t="str">
        <x:v>Iulia Siedschlag, Juan Duran</x:v>
      </x:c>
      <x:c r="I345" s="10" t="n">
        <x:v>32</x:v>
      </x:c>
      <x:c r="J345" s="10" t="str">
        <x:v>Peer-reviewed journal</x:v>
      </x:c>
      <x:c r="K345" s="10" t="n">
        <x:v>25</x:v>
      </x:c>
      <x:c r="L345" s="10" t="str">
        <x:v>Direct EU relevance</x:v>
      </x:c>
      <x:c r="M345" s="10" t="n">
        <x:v>15</x:v>
      </x:c>
      <x:c r="N345" s="10" t="str">
        <x:v>Peer-reviewed article</x:v>
      </x:c>
      <x:c r="O345" s="10" t="n">
        <x:v>5</x:v>
      </x:c>
      <x:c r="P345" s="10" t="str">
        <x:v>peer-reviewed article</x:v>
      </x:c>
      <x:c r="Q345" s="10" t="str">
        <x:v>direct</x:v>
      </x:c>
      <x:c r="R345" s="10" t="str">
        <x:v>https://doi.org/10.1111/roiw.70077</x:v>
      </x:c>
    </x:row>
    <x:row r="346">
      <x:c r="A346" s="10" t="n">
        <x:f>RANK.EQ(B346,$B$2:$B$446,0)+COUNTIF($B$2:B346,B346)-1</x:f>
        <x:v>345</x:v>
      </x:c>
      <x:c r="B346" s="22" t="n">
        <x:f>I346+K346+M346+O346</x:f>
        <x:v>77</x:v>
      </x:c>
      <x:c r="C346" s="10" t="str">
        <x:f>IF(B346&gt;=93,"A — Highest",IF(B346&gt;=85,"B — Very strong",IF(B346&gt;=75,"C — Strong",IF(B346&gt;=65,"D — Useful","E — Supporting"))))</x:f>
        <x:v>C — Strong</x:v>
      </x:c>
      <x:c r="D346" s="10" t="str">
        <x:v>THE IMPACT OF EU, US, AND CHINESE TRADE POLICIES ON GLOBAL ELECTRIC VEHICLE SALES</x:v>
      </x:c>
      <x:c r="E346" s="10" t="str">
        <x:v>2026-06-08</x:v>
      </x:c>
      <x:c r="F346" s="10" t="str">
        <x:v>A</x:v>
      </x:c>
      <x:c r="G346" s="10" t="str">
        <x:v>Economic Scope</x:v>
      </x:c>
      <x:c r="H346" s="10" t="str">
        <x:v>Tetiana Miroshnychenko</x:v>
      </x:c>
      <x:c r="I346" s="10" t="n">
        <x:v>32</x:v>
      </x:c>
      <x:c r="J346" s="10" t="str">
        <x:v>Peer-reviewed journal</x:v>
      </x:c>
      <x:c r="K346" s="10" t="n">
        <x:v>25</x:v>
      </x:c>
      <x:c r="L346" s="10" t="str">
        <x:v>Direct EU relevance</x:v>
      </x:c>
      <x:c r="M346" s="10" t="n">
        <x:v>15</x:v>
      </x:c>
      <x:c r="N346" s="10" t="str">
        <x:v>Peer-reviewed article</x:v>
      </x:c>
      <x:c r="O346" s="10" t="n">
        <x:v>5</x:v>
      </x:c>
      <x:c r="P346" s="10" t="str">
        <x:v>peer-reviewed article</x:v>
      </x:c>
      <x:c r="Q346" s="10" t="str">
        <x:v>direct</x:v>
      </x:c>
      <x:c r="R346" s="10" t="str">
        <x:v>https://doi.org/10.30838/ep.213.20-26</x:v>
      </x:c>
    </x:row>
    <x:row r="347">
      <x:c r="A347" s="10" t="n">
        <x:f>RANK.EQ(B347,$B$2:$B$446,0)+COUNTIF($B$2:B347,B347)-1</x:f>
        <x:v>346</x:v>
      </x:c>
      <x:c r="B347" s="22" t="n">
        <x:f>I347+K347+M347+O347</x:f>
        <x:v>77</x:v>
      </x:c>
      <x:c r="C347" s="10" t="str">
        <x:f>IF(B347&gt;=93,"A — Highest",IF(B347&gt;=85,"B — Very strong",IF(B347&gt;=75,"C — Strong",IF(B347&gt;=65,"D — Useful","E — Supporting"))))</x:f>
        <x:v>C — Strong</x:v>
      </x:c>
      <x:c r="D347" s="10" t="str">
        <x:v>Social Cohesion Reduced to Social Ties? Sport, Leisure, and the Limits of Migrant Inclusion in Spain</x:v>
      </x:c>
      <x:c r="E347" s="10" t="str">
        <x:v>2026-06-04</x:v>
      </x:c>
      <x:c r="F347" s="10" t="str">
        <x:v>A</x:v>
      </x:c>
      <x:c r="G347" s="10" t="str">
        <x:v>International Journal of the Sociology of Leisure</x:v>
      </x:c>
      <x:c r="H347" s="10" t="str">
        <x:v>Noemi García-Arjona, Anthony Forestier, Julien Puech</x:v>
      </x:c>
      <x:c r="I347" s="10" t="n">
        <x:v>32</x:v>
      </x:c>
      <x:c r="J347" s="10" t="str">
        <x:v>Peer-reviewed journal</x:v>
      </x:c>
      <x:c r="K347" s="10" t="n">
        <x:v>25</x:v>
      </x:c>
      <x:c r="L347" s="10" t="str">
        <x:v>Direct EU relevance</x:v>
      </x:c>
      <x:c r="M347" s="10" t="n">
        <x:v>15</x:v>
      </x:c>
      <x:c r="N347" s="10" t="str">
        <x:v>Peer-reviewed article</x:v>
      </x:c>
      <x:c r="O347" s="10" t="n">
        <x:v>5</x:v>
      </x:c>
      <x:c r="P347" s="10" t="str">
        <x:v>peer-reviewed article</x:v>
      </x:c>
      <x:c r="Q347" s="10" t="str">
        <x:v>direct</x:v>
      </x:c>
      <x:c r="R347" s="10" t="str">
        <x:v>https://doi.org/10.1007/s41978-026-00214-x</x:v>
      </x:c>
    </x:row>
    <x:row r="348">
      <x:c r="A348" s="10" t="n">
        <x:f>RANK.EQ(B348,$B$2:$B$446,0)+COUNTIF($B$2:B348,B348)-1</x:f>
        <x:v>347</x:v>
      </x:c>
      <x:c r="B348" s="22" t="n">
        <x:f>I348+K348+M348+O348</x:f>
        <x:v>77</x:v>
      </x:c>
      <x:c r="C348" s="10" t="str">
        <x:f>IF(B348&gt;=93,"A — Highest",IF(B348&gt;=85,"B — Very strong",IF(B348&gt;=75,"C — Strong",IF(B348&gt;=65,"D — Useful","E — Supporting"))))</x:f>
        <x:v>C — Strong</x:v>
      </x:c>
      <x:c r="D348" s="10" t="str">
        <x:v>The Performance of EU Member States in Terms of Industry 5.0</x:v>
      </x:c>
      <x:c r="E348" s="10" t="str">
        <x:v>2026-06-02</x:v>
      </x:c>
      <x:c r="F348" s="10" t="str">
        <x:v>A</x:v>
      </x:c>
      <x:c r="G348" s="10" t="str">
        <x:v>MANAGEMENT AND ECONOMICS REVIEW</x:v>
      </x:c>
      <x:c r="H348" s="10" t="str">
        <x:v>Adrian PETRE</x:v>
      </x:c>
      <x:c r="I348" s="10" t="n">
        <x:v>32</x:v>
      </x:c>
      <x:c r="J348" s="10" t="str">
        <x:v>Peer-reviewed journal</x:v>
      </x:c>
      <x:c r="K348" s="10" t="n">
        <x:v>25</x:v>
      </x:c>
      <x:c r="L348" s="10" t="str">
        <x:v>Direct EU relevance</x:v>
      </x:c>
      <x:c r="M348" s="10" t="n">
        <x:v>15</x:v>
      </x:c>
      <x:c r="N348" s="10" t="str">
        <x:v>Peer-reviewed article</x:v>
      </x:c>
      <x:c r="O348" s="10" t="n">
        <x:v>5</x:v>
      </x:c>
      <x:c r="P348" s="10" t="str">
        <x:v>peer-reviewed article</x:v>
      </x:c>
      <x:c r="Q348" s="10" t="str">
        <x:v>direct</x:v>
      </x:c>
      <x:c r="R348" s="10" t="str">
        <x:v>https://doi.org/10.24818/mer/2026.02-05</x:v>
      </x:c>
    </x:row>
    <x:row r="349">
      <x:c r="A349" s="10" t="n">
        <x:f>RANK.EQ(B349,$B$2:$B$446,0)+COUNTIF($B$2:B349,B349)-1</x:f>
        <x:v>348</x:v>
      </x:c>
      <x:c r="B349" s="22" t="n">
        <x:f>I349+K349+M349+O349</x:f>
        <x:v>77</x:v>
      </x:c>
      <x:c r="C349" s="10" t="str">
        <x:f>IF(B349&gt;=93,"A — Highest",IF(B349&gt;=85,"B — Very strong",IF(B349&gt;=75,"C — Strong",IF(B349&gt;=65,"D — Useful","E — Supporting"))))</x:f>
        <x:v>C — Strong</x:v>
      </x:c>
      <x:c r="D349" s="10" t="str">
        <x:v>DIGITAL INNOVATION HUBS AS A TOOL FOR INTEGRATING SCIENCE AND AGRIBUSINESS IN THE EUROPEAN UNION</x:v>
      </x:c>
      <x:c r="E349" s="10" t="str">
        <x:v>2026-06-01</x:v>
      </x:c>
      <x:c r="F349" s="10" t="str">
        <x:v>A</x:v>
      </x:c>
      <x:c r="G349" s="10" t="str">
        <x:v>AIC: economics, management</x:v>
      </x:c>
      <x:c r="H349" s="10" t="str">
        <x:v>Ivan Stepanovich Sandu, Vasilii Ivanovich Nechaev, Anna Revazovna KHarebava, Anna Aleksandrovna Guseva</x:v>
      </x:c>
      <x:c r="I349" s="10" t="n">
        <x:v>32</x:v>
      </x:c>
      <x:c r="J349" s="10" t="str">
        <x:v>Peer-reviewed journal</x:v>
      </x:c>
      <x:c r="K349" s="10" t="n">
        <x:v>25</x:v>
      </x:c>
      <x:c r="L349" s="10" t="str">
        <x:v>Direct EU relevance</x:v>
      </x:c>
      <x:c r="M349" s="10" t="n">
        <x:v>15</x:v>
      </x:c>
      <x:c r="N349" s="10" t="str">
        <x:v>Peer-reviewed article</x:v>
      </x:c>
      <x:c r="O349" s="10" t="n">
        <x:v>5</x:v>
      </x:c>
      <x:c r="P349" s="10" t="str">
        <x:v>peer-reviewed article</x:v>
      </x:c>
      <x:c r="Q349" s="10" t="str">
        <x:v>direct</x:v>
      </x:c>
      <x:c r="R349" s="10" t="str">
        <x:v>https://doi.org/10.33305/266-131</x:v>
      </x:c>
    </x:row>
    <x:row r="350">
      <x:c r="A350" s="10" t="n">
        <x:f>RANK.EQ(B350,$B$2:$B$446,0)+COUNTIF($B$2:B350,B350)-1</x:f>
        <x:v>349</x:v>
      </x:c>
      <x:c r="B350" s="22" t="n">
        <x:f>I350+K350+M350+O350</x:f>
        <x:v>77</x:v>
      </x:c>
      <x:c r="C350" s="10" t="str">
        <x:f>IF(B350&gt;=93,"A — Highest",IF(B350&gt;=85,"B — Very strong",IF(B350&gt;=75,"C — Strong",IF(B350&gt;=65,"D — Useful","E — Supporting"))))</x:f>
        <x:v>C — Strong</x:v>
      </x:c>
      <x:c r="D350" s="10" t="str">
        <x:v>New EU Industrial Policy Trends as a Basis for Developing a Resilient Industrial Workforce Provision System</x:v>
      </x:c>
      <x:c r="E350" s="10" t="str">
        <x:v>2026-06-01</x:v>
      </x:c>
      <x:c r="F350" s="10" t="str">
        <x:v>A</x:v>
      </x:c>
      <x:c r="G350" s="10" t="str">
        <x:v>European Journal of Sustainable Development</x:v>
      </x:c>
      <x:c r="H350" s="10" t="str">
        <x:v>Olga Novikova, Oksana Pankova, Yaroslav OSTAFIYCHUK, Oleksandr Kasperovich, Nadiya Azmuk, Олена Хандій, Maxym Buchniev</x:v>
      </x:c>
      <x:c r="I350" s="10" t="n">
        <x:v>32</x:v>
      </x:c>
      <x:c r="J350" s="10" t="str">
        <x:v>Peer-reviewed journal</x:v>
      </x:c>
      <x:c r="K350" s="10" t="n">
        <x:v>25</x:v>
      </x:c>
      <x:c r="L350" s="10" t="str">
        <x:v>Direct EU relevance</x:v>
      </x:c>
      <x:c r="M350" s="10" t="n">
        <x:v>15</x:v>
      </x:c>
      <x:c r="N350" s="10" t="str">
        <x:v>Peer-reviewed article</x:v>
      </x:c>
      <x:c r="O350" s="10" t="n">
        <x:v>5</x:v>
      </x:c>
      <x:c r="P350" s="10" t="str">
        <x:v>peer-reviewed article</x:v>
      </x:c>
      <x:c r="Q350" s="10" t="str">
        <x:v>direct</x:v>
      </x:c>
      <x:c r="R350" s="10" t="str">
        <x:v>https://doi.org/10.14207/ejsd.2026.v15n2p261</x:v>
      </x:c>
    </x:row>
    <x:row r="351">
      <x:c r="A351" s="10" t="n">
        <x:f>RANK.EQ(B351,$B$2:$B$446,0)+COUNTIF($B$2:B351,B351)-1</x:f>
        <x:v>350</x:v>
      </x:c>
      <x:c r="B351" s="22" t="n">
        <x:f>I351+K351+M351+O351</x:f>
        <x:v>77</x:v>
      </x:c>
      <x:c r="C351" s="10" t="str">
        <x:f>IF(B351&gt;=93,"A — Highest",IF(B351&gt;=85,"B — Very strong",IF(B351&gt;=75,"C — Strong",IF(B351&gt;=65,"D — Useful","E — Supporting"))))</x:f>
        <x:v>C — Strong</x:v>
      </x:c>
      <x:c r="D351" s="10" t="str">
        <x:v>Top 10 risks for mining companies extracting critical materials in a navi environment</x:v>
      </x:c>
      <x:c r="E351" s="10" t="str">
        <x:v>2026-06-01</x:v>
      </x:c>
      <x:c r="F351" s="10" t="str">
        <x:v>A</x:v>
      </x:c>
      <x:c r="G351" s="10" t="str">
        <x:v>Economic Herald of SHEI USUCT</x:v>
      </x:c>
      <x:c r="H351" s="10" t="str">
        <x:v>Maryna Ivanova, S. О. Pomohaiev</x:v>
      </x:c>
      <x:c r="I351" s="10" t="n">
        <x:v>32</x:v>
      </x:c>
      <x:c r="J351" s="10" t="str">
        <x:v>Peer-reviewed journal</x:v>
      </x:c>
      <x:c r="K351" s="10" t="n">
        <x:v>25</x:v>
      </x:c>
      <x:c r="L351" s="10" t="str">
        <x:v>Direct EU relevance</x:v>
      </x:c>
      <x:c r="M351" s="10" t="n">
        <x:v>15</x:v>
      </x:c>
      <x:c r="N351" s="10" t="str">
        <x:v>Peer-reviewed article</x:v>
      </x:c>
      <x:c r="O351" s="10" t="n">
        <x:v>5</x:v>
      </x:c>
      <x:c r="P351" s="10" t="str">
        <x:v>peer-reviewed article</x:v>
      </x:c>
      <x:c r="Q351" s="10" t="str">
        <x:v>direct</x:v>
      </x:c>
      <x:c r="R351" s="10" t="str">
        <x:v>https://doi.org/10.32434/2415-3974-2026-23-1-85-96</x:v>
      </x:c>
    </x:row>
    <x:row r="352">
      <x:c r="A352" s="10" t="n">
        <x:f>RANK.EQ(B352,$B$2:$B$446,0)+COUNTIF($B$2:B352,B352)-1</x:f>
        <x:v>351</x:v>
      </x:c>
      <x:c r="B352" s="22" t="n">
        <x:f>I352+K352+M352+O352</x:f>
        <x:v>77</x:v>
      </x:c>
      <x:c r="C352" s="10" t="str">
        <x:f>IF(B352&gt;=93,"A — Highest",IF(B352&gt;=85,"B — Very strong",IF(B352&gt;=75,"C — Strong",IF(B352&gt;=65,"D — Useful","E — Supporting"))))</x:f>
        <x:v>C — Strong</x:v>
      </x:c>
      <x:c r="D352" s="10" t="str">
        <x:v>EUROPEAN CHIPS ACT 2.0: STRATEGIC AUTONOMY AND TECHNOLOGICAL LEADERSHIP OF THE EU IN THE GLOBAL SEMICONDUCTOR ECOSYSTEM</x:v>
      </x:c>
      <x:c r="E352" s="10" t="str">
        <x:v>2026-05-30</x:v>
      </x:c>
      <x:c r="F352" s="10" t="str">
        <x:v>A</x:v>
      </x:c>
      <x:c r="G352" s="10" t="str">
        <x:v>Scientific notes of Taurida National V.I. Vernadsky University. Series: Juridical Sciences</x:v>
      </x:c>
      <x:c r="H352" s="10" t="str">
        <x:v>O. K. Tsyren</x:v>
      </x:c>
      <x:c r="I352" s="10" t="n">
        <x:v>32</x:v>
      </x:c>
      <x:c r="J352" s="10" t="str">
        <x:v>Peer-reviewed journal</x:v>
      </x:c>
      <x:c r="K352" s="10" t="n">
        <x:v>25</x:v>
      </x:c>
      <x:c r="L352" s="10" t="str">
        <x:v>Direct EU relevance</x:v>
      </x:c>
      <x:c r="M352" s="10" t="n">
        <x:v>15</x:v>
      </x:c>
      <x:c r="N352" s="10" t="str">
        <x:v>Peer-reviewed article</x:v>
      </x:c>
      <x:c r="O352" s="10" t="n">
        <x:v>5</x:v>
      </x:c>
      <x:c r="P352" s="10" t="str">
        <x:v>peer-reviewed article</x:v>
      </x:c>
      <x:c r="Q352" s="10" t="str">
        <x:v>direct</x:v>
      </x:c>
      <x:c r="R352" s="10" t="str">
        <x:v>https://doi.org/10.32782/tnu-2707-0581/2026.3/10</x:v>
      </x:c>
    </x:row>
    <x:row r="353">
      <x:c r="A353" s="10" t="n">
        <x:f>RANK.EQ(B353,$B$2:$B$446,0)+COUNTIF($B$2:B353,B353)-1</x:f>
        <x:v>352</x:v>
      </x:c>
      <x:c r="B353" s="22" t="n">
        <x:f>I353+K353+M353+O353</x:f>
        <x:v>77</x:v>
      </x:c>
      <x:c r="C353" s="10" t="str">
        <x:f>IF(B353&gt;=93,"A — Highest",IF(B353&gt;=85,"B — Very strong",IF(B353&gt;=75,"C — Strong",IF(B353&gt;=65,"D — Useful","E — Supporting"))))</x:f>
        <x:v>C — Strong</x:v>
      </x:c>
      <x:c r="D353" s="10" t="str">
        <x:v>RESTRUCTURING UKRAINE’S ECONOMY THROUGH EU ACQUIS IMPLEMENTATION: A MULTI-DIMENSIONAL COMPETITIVENESS FRAMEWORK</x:v>
      </x:c>
      <x:c r="E353" s="10" t="str">
        <x:v>2026-05-29</x:v>
      </x:c>
      <x:c r="F353" s="10" t="str">
        <x:v>A</x:v>
      </x:c>
      <x:c r="G353" s="10" t="str">
        <x:v>Baltic Journal of Economic Studies</x:v>
      </x:c>
      <x:c r="H353" s="10" t="str">
        <x:v>Olena Zayats</x:v>
      </x:c>
      <x:c r="I353" s="10" t="n">
        <x:v>32</x:v>
      </x:c>
      <x:c r="J353" s="10" t="str">
        <x:v>Peer-reviewed journal</x:v>
      </x:c>
      <x:c r="K353" s="10" t="n">
        <x:v>25</x:v>
      </x:c>
      <x:c r="L353" s="10" t="str">
        <x:v>Direct EU relevance</x:v>
      </x:c>
      <x:c r="M353" s="10" t="n">
        <x:v>15</x:v>
      </x:c>
      <x:c r="N353" s="10" t="str">
        <x:v>Peer-reviewed article</x:v>
      </x:c>
      <x:c r="O353" s="10" t="n">
        <x:v>5</x:v>
      </x:c>
      <x:c r="P353" s="10" t="str">
        <x:v>peer-reviewed article</x:v>
      </x:c>
      <x:c r="Q353" s="10" t="str">
        <x:v>direct</x:v>
      </x:c>
      <x:c r="R353" s="10" t="str">
        <x:v>https://doi.org/10.30525/2256-0742/2026-12-2-432-445</x:v>
      </x:c>
    </x:row>
    <x:row r="354">
      <x:c r="A354" s="10" t="n">
        <x:f>RANK.EQ(B354,$B$2:$B$446,0)+COUNTIF($B$2:B354,B354)-1</x:f>
        <x:v>353</x:v>
      </x:c>
      <x:c r="B354" s="22" t="n">
        <x:f>I354+K354+M354+O354</x:f>
        <x:v>77</x:v>
      </x:c>
      <x:c r="C354" s="10" t="str">
        <x:f>IF(B354&gt;=93,"A — Highest",IF(B354&gt;=85,"B — Very strong",IF(B354&gt;=75,"C — Strong",IF(B354&gt;=65,"D — Useful","E — Supporting"))))</x:f>
        <x:v>C — Strong</x:v>
      </x:c>
      <x:c r="D354" s="10" t="str">
        <x:v>A Research Agenda for the Greek Semiconductors Sector Ecosystem: Enabling the Transition from Emerging Capabilities to Strategic Integration</x:v>
      </x:c>
      <x:c r="E354" s="10" t="str">
        <x:v>2026-05-28</x:v>
      </x:c>
      <x:c r="F354" s="10" t="str">
        <x:v>A</x:v>
      </x:c>
      <x:c r="G354" s="10" t="str">
        <x:v>Journal of the Knowledge Economy</x:v>
      </x:c>
      <x:c r="H354" s="10" t="str">
        <x:v>Nikos Karampekios, Konstantinos Sioumalas-Christodoulou, Antonios Angelakis, Elias G. Carayannis</x:v>
      </x:c>
      <x:c r="I354" s="10" t="n">
        <x:v>32</x:v>
      </x:c>
      <x:c r="J354" s="10" t="str">
        <x:v>Peer-reviewed journal</x:v>
      </x:c>
      <x:c r="K354" s="10" t="n">
        <x:v>25</x:v>
      </x:c>
      <x:c r="L354" s="10" t="str">
        <x:v>Direct EU relevance</x:v>
      </x:c>
      <x:c r="M354" s="10" t="n">
        <x:v>15</x:v>
      </x:c>
      <x:c r="N354" s="10" t="str">
        <x:v>Peer-reviewed article</x:v>
      </x:c>
      <x:c r="O354" s="10" t="n">
        <x:v>5</x:v>
      </x:c>
      <x:c r="P354" s="10" t="str">
        <x:v>peer-reviewed article</x:v>
      </x:c>
      <x:c r="Q354" s="10" t="str">
        <x:v>direct</x:v>
      </x:c>
      <x:c r="R354" s="10" t="str">
        <x:v>https://doi.org/10.1007/s13132-026-03305-y</x:v>
      </x:c>
    </x:row>
    <x:row r="355">
      <x:c r="A355" s="10" t="n">
        <x:f>RANK.EQ(B355,$B$2:$B$446,0)+COUNTIF($B$2:B355,B355)-1</x:f>
        <x:v>354</x:v>
      </x:c>
      <x:c r="B355" s="22" t="n">
        <x:f>I355+K355+M355+O355</x:f>
        <x:v>77</x:v>
      </x:c>
      <x:c r="C355" s="10" t="str">
        <x:f>IF(B355&gt;=93,"A — Highest",IF(B355&gt;=85,"B — Very strong",IF(B355&gt;=75,"C — Strong",IF(B355&gt;=65,"D — Useful","E — Supporting"))))</x:f>
        <x:v>C — Strong</x:v>
      </x:c>
      <x:c r="D355" s="10" t="str">
        <x:v>The Path to Future‐Proof Photovoltaics in Europe: Current Status and Impact of Technological Innovation on Reliable and Bankable Photovoltaics</x:v>
      </x:c>
      <x:c r="E355" s="10" t="str">
        <x:v>2026-05-28</x:v>
      </x:c>
      <x:c r="F355" s="10" t="str">
        <x:v>A</x:v>
      </x:c>
      <x:c r="G355" s="10" t="str">
        <x:v>Advanced Energy and Sustainability Research</x:v>
      </x:c>
      <x:c r="H355" s="10" t="str">
        <x:v>Ulrike Jahn, Paula Sánchez‐Friera, David Moser, Marcello Pereira Passaro, Delfina Munoz, Sandra Gallmetzer, Stefano Nicola Granata, Sascha Lindig, et al.</x:v>
      </x:c>
      <x:c r="I355" s="10" t="n">
        <x:v>32</x:v>
      </x:c>
      <x:c r="J355" s="10" t="str">
        <x:v>Peer-reviewed journal</x:v>
      </x:c>
      <x:c r="K355" s="10" t="n">
        <x:v>25</x:v>
      </x:c>
      <x:c r="L355" s="10" t="str">
        <x:v>Direct EU relevance</x:v>
      </x:c>
      <x:c r="M355" s="10" t="n">
        <x:v>15</x:v>
      </x:c>
      <x:c r="N355" s="10" t="str">
        <x:v>Peer-reviewed article</x:v>
      </x:c>
      <x:c r="O355" s="10" t="n">
        <x:v>5</x:v>
      </x:c>
      <x:c r="P355" s="10" t="str">
        <x:v>peer-reviewed article</x:v>
      </x:c>
      <x:c r="Q355" s="10" t="str">
        <x:v>direct</x:v>
      </x:c>
      <x:c r="R355" s="10" t="str">
        <x:v>https://doi.org/10.1002/aesr.202500200</x:v>
      </x:c>
    </x:row>
    <x:row r="356">
      <x:c r="A356" s="10" t="n">
        <x:f>RANK.EQ(B356,$B$2:$B$446,0)+COUNTIF($B$2:B356,B356)-1</x:f>
        <x:v>355</x:v>
      </x:c>
      <x:c r="B356" s="22" t="n">
        <x:f>I356+K356+M356+O356</x:f>
        <x:v>77</x:v>
      </x:c>
      <x:c r="C356" s="10" t="str">
        <x:f>IF(B356&gt;=93,"A — Highest",IF(B356&gt;=85,"B — Very strong",IF(B356&gt;=75,"C — Strong",IF(B356&gt;=65,"D — Useful","E — Supporting"))))</x:f>
        <x:v>C — Strong</x:v>
      </x:c>
      <x:c r="D356" s="10" t="str">
        <x:v>Why promising ATMPs fail to reach patients: a qualitative stakeholder-informed analysis of cell therapy access in Europe</x:v>
      </x:c>
      <x:c r="E356" s="10" t="str">
        <x:v>2026-05-23</x:v>
      </x:c>
      <x:c r="F356" s="10" t="str">
        <x:v>A</x:v>
      </x:c>
      <x:c r="G356" s="10" t="str">
        <x:v>Journal of Translational Medicine</x:v>
      </x:c>
      <x:c r="H356" s="10" t="str">
        <x:v>Giuseppe Di Mauro, Maria Pachetti, Christian Ploner, Michele De Luca, Graziella Pellegrini, Elisa Gambini, Massimo Moretti, Antonio Sfiligoj, et al.</x:v>
      </x:c>
      <x:c r="I356" s="10" t="n">
        <x:v>32</x:v>
      </x:c>
      <x:c r="J356" s="10" t="str">
        <x:v>Peer-reviewed journal</x:v>
      </x:c>
      <x:c r="K356" s="10" t="n">
        <x:v>25</x:v>
      </x:c>
      <x:c r="L356" s="10" t="str">
        <x:v>Direct EU relevance</x:v>
      </x:c>
      <x:c r="M356" s="10" t="n">
        <x:v>15</x:v>
      </x:c>
      <x:c r="N356" s="10" t="str">
        <x:v>Peer-reviewed article</x:v>
      </x:c>
      <x:c r="O356" s="10" t="n">
        <x:v>5</x:v>
      </x:c>
      <x:c r="P356" s="10" t="str">
        <x:v>peer-reviewed article</x:v>
      </x:c>
      <x:c r="Q356" s="10" t="str">
        <x:v>direct</x:v>
      </x:c>
      <x:c r="R356" s="10" t="str">
        <x:v>https://doi.org/10.1186/s12967-026-08303-x</x:v>
      </x:c>
    </x:row>
    <x:row r="357">
      <x:c r="A357" s="10" t="n">
        <x:f>RANK.EQ(B357,$B$2:$B$446,0)+COUNTIF($B$2:B357,B357)-1</x:f>
        <x:v>356</x:v>
      </x:c>
      <x:c r="B357" s="22" t="n">
        <x:f>I357+K357+M357+O357</x:f>
        <x:v>77</x:v>
      </x:c>
      <x:c r="C357" s="10" t="str">
        <x:f>IF(B357&gt;=93,"A — Highest",IF(B357&gt;=85,"B — Very strong",IF(B357&gt;=75,"C — Strong",IF(B357&gt;=65,"D — Useful","E — Supporting"))))</x:f>
        <x:v>C — Strong</x:v>
      </x:c>
      <x:c r="D357" s="10" t="str">
        <x:v>Innovating beyond Earth: strategic business models in the New Space Economy</x:v>
      </x:c>
      <x:c r="E357" s="10" t="str">
        <x:v>2026-05-22</x:v>
      </x:c>
      <x:c r="F357" s="10" t="str">
        <x:v>A</x:v>
      </x:c>
      <x:c r="G357" s="10" t="str">
        <x:v>Journal of Industrial and Business Economics</x:v>
      </x:c>
      <x:c r="H357" s="10" t="str">
        <x:v>Chiara Cannavale, Lorenza Claudio, Nohaila Kartti, Giuseppe Franzese</x:v>
      </x:c>
      <x:c r="I357" s="10" t="n">
        <x:v>32</x:v>
      </x:c>
      <x:c r="J357" s="10" t="str">
        <x:v>Peer-reviewed journal</x:v>
      </x:c>
      <x:c r="K357" s="10" t="n">
        <x:v>25</x:v>
      </x:c>
      <x:c r="L357" s="10" t="str">
        <x:v>Direct EU relevance</x:v>
      </x:c>
      <x:c r="M357" s="10" t="n">
        <x:v>15</x:v>
      </x:c>
      <x:c r="N357" s="10" t="str">
        <x:v>Peer-reviewed article</x:v>
      </x:c>
      <x:c r="O357" s="10" t="n">
        <x:v>5</x:v>
      </x:c>
      <x:c r="P357" s="10" t="str">
        <x:v>peer-reviewed article</x:v>
      </x:c>
      <x:c r="Q357" s="10" t="str">
        <x:v>direct</x:v>
      </x:c>
      <x:c r="R357" s="10" t="str">
        <x:v>https://doi.org/10.1007/s40812-026-00407-1</x:v>
      </x:c>
    </x:row>
    <x:row r="358">
      <x:c r="A358" s="10" t="n">
        <x:f>RANK.EQ(B358,$B$2:$B$446,0)+COUNTIF($B$2:B358,B358)-1</x:f>
        <x:v>357</x:v>
      </x:c>
      <x:c r="B358" s="22" t="n">
        <x:f>I358+K358+M358+O358</x:f>
        <x:v>77</x:v>
      </x:c>
      <x:c r="C358" s="10" t="str">
        <x:f>IF(B358&gt;=93,"A — Highest",IF(B358&gt;=85,"B — Very strong",IF(B358&gt;=75,"C — Strong",IF(B358&gt;=65,"D — Useful","E — Supporting"))))</x:f>
        <x:v>C — Strong</x:v>
      </x:c>
      <x:c r="D358" s="10" t="str">
        <x:v>Species identification, discovery, and biomonitoring: Strategic priorities for DNA barcoding in Europe, set in a global context</x:v>
      </x:c>
      <x:c r="E358" s="10" t="str">
        <x:v>2026-05-22</x:v>
      </x:c>
      <x:c r="F358" s="10" t="str">
        <x:v>A</x:v>
      </x:c>
      <x:c r="G358" s="10" t="str">
        <x:v>BioScience</x:v>
      </x:c>
      <x:c r="H358" s="10" t="str">
        <x:v>Peter M Hollingsworth, Kasia Fantoni, Dimitris Koureas, Marine Arakelyan, Filippos A Aravanopoulos, Karolina Bacela-Spychalska, Liliana Ballesteros-Mejia, Pedro Beja, et al.</x:v>
      </x:c>
      <x:c r="I358" s="10" t="n">
        <x:v>32</x:v>
      </x:c>
      <x:c r="J358" s="10" t="str">
        <x:v>Peer-reviewed journal</x:v>
      </x:c>
      <x:c r="K358" s="10" t="n">
        <x:v>25</x:v>
      </x:c>
      <x:c r="L358" s="10" t="str">
        <x:v>Direct EU relevance</x:v>
      </x:c>
      <x:c r="M358" s="10" t="n">
        <x:v>15</x:v>
      </x:c>
      <x:c r="N358" s="10" t="str">
        <x:v>Peer-reviewed article</x:v>
      </x:c>
      <x:c r="O358" s="10" t="n">
        <x:v>5</x:v>
      </x:c>
      <x:c r="P358" s="10" t="str">
        <x:v>peer-reviewed article</x:v>
      </x:c>
      <x:c r="Q358" s="10" t="str">
        <x:v>direct</x:v>
      </x:c>
      <x:c r="R358" s="10" t="str">
        <x:v>https://doi.org/10.1093/biosci/biag052</x:v>
      </x:c>
    </x:row>
    <x:row r="359">
      <x:c r="A359" s="10" t="n">
        <x:f>RANK.EQ(B359,$B$2:$B$446,0)+COUNTIF($B$2:B359,B359)-1</x:f>
        <x:v>358</x:v>
      </x:c>
      <x:c r="B359" s="22" t="n">
        <x:f>I359+K359+M359+O359</x:f>
        <x:v>77</x:v>
      </x:c>
      <x:c r="C359" s="10" t="str">
        <x:f>IF(B359&gt;=93,"A — Highest",IF(B359&gt;=85,"B — Very strong",IF(B359&gt;=75,"C — Strong",IF(B359&gt;=65,"D — Useful","E — Supporting"))))</x:f>
        <x:v>C — Strong</x:v>
      </x:c>
      <x:c r="D359" s="10" t="str">
        <x:v>Adaptation of Ukrainian legislation to EU standards in the field of scientific and technical cooperation in the agro-industrial complex</x:v>
      </x:c>
      <x:c r="E359" s="10" t="str">
        <x:v>2026-05-18</x:v>
      </x:c>
      <x:c r="F359" s="10" t="str">
        <x:v>A</x:v>
      </x:c>
      <x:c r="G359" s="10" t="str">
        <x:v>Law and innovative society</x:v>
      </x:c>
      <x:c r="H359" s="10" t="str">
        <x:v>Anna Liubchych</x:v>
      </x:c>
      <x:c r="I359" s="10" t="n">
        <x:v>32</x:v>
      </x:c>
      <x:c r="J359" s="10" t="str">
        <x:v>Peer-reviewed journal</x:v>
      </x:c>
      <x:c r="K359" s="10" t="n">
        <x:v>25</x:v>
      </x:c>
      <x:c r="L359" s="10" t="str">
        <x:v>Direct EU relevance</x:v>
      </x:c>
      <x:c r="M359" s="10" t="n">
        <x:v>15</x:v>
      </x:c>
      <x:c r="N359" s="10" t="str">
        <x:v>Peer-reviewed article</x:v>
      </x:c>
      <x:c r="O359" s="10" t="n">
        <x:v>5</x:v>
      </x:c>
      <x:c r="P359" s="10" t="str">
        <x:v>peer-reviewed article</x:v>
      </x:c>
      <x:c r="Q359" s="10" t="str">
        <x:v>direct</x:v>
      </x:c>
      <x:c r="R359" s="10" t="str">
        <x:v>https://doi.org/10.37772/2309-9275-2026-1(26)-6</x:v>
      </x:c>
    </x:row>
    <x:row r="360">
      <x:c r="A360" s="10" t="n">
        <x:f>RANK.EQ(B360,$B$2:$B$446,0)+COUNTIF($B$2:B360,B360)-1</x:f>
        <x:v>359</x:v>
      </x:c>
      <x:c r="B360" s="22" t="n">
        <x:f>I360+K360+M360+O360</x:f>
        <x:v>77</x:v>
      </x:c>
      <x:c r="C360" s="10" t="str">
        <x:f>IF(B360&gt;=93,"A — Highest",IF(B360&gt;=85,"B — Very strong",IF(B360&gt;=75,"C — Strong",IF(B360&gt;=65,"D — Useful","E — Supporting"))))</x:f>
        <x:v>C — Strong</x:v>
      </x:c>
      <x:c r="D360" s="10" t="str">
        <x:v>INTERNATIONAL VENTURE FINANCING OF INNOVATIVE STARTUPS</x:v>
      </x:c>
      <x:c r="E360" s="10" t="str">
        <x:v>2026-05-14</x:v>
      </x:c>
      <x:c r="F360" s="10" t="str">
        <x:v>A</x:v>
      </x:c>
      <x:c r="G360" s="10" t="str">
        <x:v>Economic Scope</x:v>
      </x:c>
      <x:c r="H360" s="10" t="str">
        <x:v>Ihor Krupka</x:v>
      </x:c>
      <x:c r="I360" s="10" t="n">
        <x:v>32</x:v>
      </x:c>
      <x:c r="J360" s="10" t="str">
        <x:v>Peer-reviewed journal</x:v>
      </x:c>
      <x:c r="K360" s="10" t="n">
        <x:v>25</x:v>
      </x:c>
      <x:c r="L360" s="10" t="str">
        <x:v>Direct EU relevance</x:v>
      </x:c>
      <x:c r="M360" s="10" t="n">
        <x:v>15</x:v>
      </x:c>
      <x:c r="N360" s="10" t="str">
        <x:v>Peer-reviewed article</x:v>
      </x:c>
      <x:c r="O360" s="10" t="n">
        <x:v>5</x:v>
      </x:c>
      <x:c r="P360" s="10" t="str">
        <x:v>peer-reviewed article</x:v>
      </x:c>
      <x:c r="Q360" s="10" t="str">
        <x:v>direct</x:v>
      </x:c>
      <x:c r="R360" s="10" t="str">
        <x:v>https://doi.org/10.30838/ep.212.367-376</x:v>
      </x:c>
    </x:row>
    <x:row r="361">
      <x:c r="A361" s="10" t="n">
        <x:f>RANK.EQ(B361,$B$2:$B$446,0)+COUNTIF($B$2:B361,B361)-1</x:f>
        <x:v>360</x:v>
      </x:c>
      <x:c r="B361" s="22" t="n">
        <x:f>I361+K361+M361+O361</x:f>
        <x:v>77</x:v>
      </x:c>
      <x:c r="C361" s="10" t="str">
        <x:f>IF(B361&gt;=93,"A — Highest",IF(B361&gt;=85,"B — Very strong",IF(B361&gt;=75,"C — Strong",IF(B361&gt;=65,"D — Useful","E — Supporting"))))</x:f>
        <x:v>C — Strong</x:v>
      </x:c>
      <x:c r="D361" s="10" t="str">
        <x:v>Pathways to EU decarbonization: the role of green investment and R&amp;D activity</x:v>
      </x:c>
      <x:c r="E361" s="10" t="str">
        <x:v>2026-05-13</x:v>
      </x:c>
      <x:c r="F361" s="10" t="str">
        <x:v>A</x:v>
      </x:c>
      <x:c r="G361" s="10" t="str">
        <x:v>Sustainability Science</x:v>
      </x:c>
      <x:c r="H361" s="10" t="str">
        <x:v>Aleksy Kwilinski, O. Lyulyov, Tetyana Pimonenko</x:v>
      </x:c>
      <x:c r="I361" s="10" t="n">
        <x:v>32</x:v>
      </x:c>
      <x:c r="J361" s="10" t="str">
        <x:v>Peer-reviewed journal</x:v>
      </x:c>
      <x:c r="K361" s="10" t="n">
        <x:v>25</x:v>
      </x:c>
      <x:c r="L361" s="10" t="str">
        <x:v>Direct EU relevance</x:v>
      </x:c>
      <x:c r="M361" s="10" t="n">
        <x:v>15</x:v>
      </x:c>
      <x:c r="N361" s="10" t="str">
        <x:v>Peer-reviewed article</x:v>
      </x:c>
      <x:c r="O361" s="10" t="n">
        <x:v>5</x:v>
      </x:c>
      <x:c r="P361" s="10" t="str">
        <x:v>peer-reviewed article</x:v>
      </x:c>
      <x:c r="Q361" s="10" t="str">
        <x:v>direct</x:v>
      </x:c>
      <x:c r="R361" s="10" t="str">
        <x:v>https://doi.org/10.1007/s11625-026-01852-6</x:v>
      </x:c>
    </x:row>
    <x:row r="362">
      <x:c r="A362" s="10" t="n">
        <x:f>RANK.EQ(B362,$B$2:$B$446,0)+COUNTIF($B$2:B362,B362)-1</x:f>
        <x:v>361</x:v>
      </x:c>
      <x:c r="B362" s="22" t="n">
        <x:f>I362+K362+M362+O362</x:f>
        <x:v>77</x:v>
      </x:c>
      <x:c r="C362" s="10" t="str">
        <x:f>IF(B362&gt;=93,"A — Highest",IF(B362&gt;=85,"B — Very strong",IF(B362&gt;=75,"C — Strong",IF(B362&gt;=65,"D — Useful","E — Supporting"))))</x:f>
        <x:v>C — Strong</x:v>
      </x:c>
      <x:c r="D362" s="10" t="str">
        <x:v>DIGITAL TECHNOLOGIES AS KEY VECTORS OF MODERNIZATION OF UKRAINE’S MILITARY-INDUSTRIAL POTENTIAL</x:v>
      </x:c>
      <x:c r="E362" s="10" t="str">
        <x:v>2026-05-12</x:v>
      </x:c>
      <x:c r="F362" s="10" t="str">
        <x:v>A</x:v>
      </x:c>
      <x:c r="G362" s="10" t="str">
        <x:v>Social Development Economic and Legal Issues</x:v>
      </x:c>
      <x:c r="H362" s="10" t="str">
        <x:v>Andriy Shakhovets</x:v>
      </x:c>
      <x:c r="I362" s="10" t="n">
        <x:v>32</x:v>
      </x:c>
      <x:c r="J362" s="10" t="str">
        <x:v>Peer-reviewed journal</x:v>
      </x:c>
      <x:c r="K362" s="10" t="n">
        <x:v>25</x:v>
      </x:c>
      <x:c r="L362" s="10" t="str">
        <x:v>Direct EU relevance</x:v>
      </x:c>
      <x:c r="M362" s="10" t="n">
        <x:v>15</x:v>
      </x:c>
      <x:c r="N362" s="10" t="str">
        <x:v>Peer-reviewed article</x:v>
      </x:c>
      <x:c r="O362" s="10" t="n">
        <x:v>5</x:v>
      </x:c>
      <x:c r="P362" s="10" t="str">
        <x:v>peer-reviewed article</x:v>
      </x:c>
      <x:c r="Q362" s="10" t="str">
        <x:v>direct</x:v>
      </x:c>
      <x:c r="R362" s="10" t="str">
        <x:v>https://doi.org/10.70651/3083-6018/2026.5.17</x:v>
      </x:c>
    </x:row>
    <x:row r="363">
      <x:c r="A363" s="10" t="n">
        <x:f>RANK.EQ(B363,$B$2:$B$446,0)+COUNTIF($B$2:B363,B363)-1</x:f>
        <x:v>362</x:v>
      </x:c>
      <x:c r="B363" s="22" t="n">
        <x:f>I363+K363+M363+O363</x:f>
        <x:v>77</x:v>
      </x:c>
      <x:c r="C363" s="10" t="str">
        <x:f>IF(B363&gt;=93,"A — Highest",IF(B363&gt;=85,"B — Very strong",IF(B363&gt;=75,"C — Strong",IF(B363&gt;=65,"D — Useful","E — Supporting"))))</x:f>
        <x:v>C — Strong</x:v>
      </x:c>
      <x:c r="D363" s="10" t="str">
        <x:v>Green manufacturing under geopolitical uncertainty: the role of artificial intelligence, environmental policy, and information in European car makers</x:v>
      </x:c>
      <x:c r="E363" s="10" t="str">
        <x:v>2026-05-11</x:v>
      </x:c>
      <x:c r="F363" s="10" t="str">
        <x:v>A</x:v>
      </x:c>
      <x:c r="G363" s="10" t="str">
        <x:v>Quality &amp; Quantity</x:v>
      </x:c>
      <x:c r="H363" s="10" t="str">
        <x:v>Muhammad Salman</x:v>
      </x:c>
      <x:c r="I363" s="10" t="n">
        <x:v>32</x:v>
      </x:c>
      <x:c r="J363" s="10" t="str">
        <x:v>Peer-reviewed journal</x:v>
      </x:c>
      <x:c r="K363" s="10" t="n">
        <x:v>25</x:v>
      </x:c>
      <x:c r="L363" s="10" t="str">
        <x:v>Direct EU relevance</x:v>
      </x:c>
      <x:c r="M363" s="10" t="n">
        <x:v>15</x:v>
      </x:c>
      <x:c r="N363" s="10" t="str">
        <x:v>Peer-reviewed article</x:v>
      </x:c>
      <x:c r="O363" s="10" t="n">
        <x:v>5</x:v>
      </x:c>
      <x:c r="P363" s="10" t="str">
        <x:v>peer-reviewed article</x:v>
      </x:c>
      <x:c r="Q363" s="10" t="str">
        <x:v>direct</x:v>
      </x:c>
      <x:c r="R363" s="10" t="str">
        <x:v>https://doi.org/10.1007/s11135-026-02824-9</x:v>
      </x:c>
    </x:row>
    <x:row r="364">
      <x:c r="A364" s="10" t="n">
        <x:f>RANK.EQ(B364,$B$2:$B$446,0)+COUNTIF($B$2:B364,B364)-1</x:f>
        <x:v>363</x:v>
      </x:c>
      <x:c r="B364" s="22" t="n">
        <x:f>I364+K364+M364+O364</x:f>
        <x:v>77</x:v>
      </x:c>
      <x:c r="C364" s="10" t="str">
        <x:f>IF(B364&gt;=93,"A — Highest",IF(B364&gt;=85,"B — Very strong",IF(B364&gt;=75,"C — Strong",IF(B364&gt;=65,"D — Useful","E — Supporting"))))</x:f>
        <x:v>C — Strong</x:v>
      </x:c>
      <x:c r="D364" s="10" t="str">
        <x:v>The European semiconductor ecosystem: Regional development in a geopolitical context development in a geopolitical context</x:v>
      </x:c>
      <x:c r="E364" s="10" t="str">
        <x:v>2026-05-08</x:v>
      </x:c>
      <x:c r="F364" s="10" t="str">
        <x:v>A</x:v>
      </x:c>
      <x:c r="G364" s="10" t="str">
        <x:v>Central European Journal of Geography and Sustainable Development</x:v>
      </x:c>
      <x:c r="H364" s="10" t="str">
        <x:v>Vasile Popa</x:v>
      </x:c>
      <x:c r="I364" s="10" t="n">
        <x:v>32</x:v>
      </x:c>
      <x:c r="J364" s="10" t="str">
        <x:v>Peer-reviewed journal</x:v>
      </x:c>
      <x:c r="K364" s="10" t="n">
        <x:v>25</x:v>
      </x:c>
      <x:c r="L364" s="10" t="str">
        <x:v>Direct EU relevance</x:v>
      </x:c>
      <x:c r="M364" s="10" t="n">
        <x:v>15</x:v>
      </x:c>
      <x:c r="N364" s="10" t="str">
        <x:v>Peer-reviewed article</x:v>
      </x:c>
      <x:c r="O364" s="10" t="n">
        <x:v>5</x:v>
      </x:c>
      <x:c r="P364" s="10" t="str">
        <x:v>peer-reviewed article</x:v>
      </x:c>
      <x:c r="Q364" s="10" t="str">
        <x:v>direct</x:v>
      </x:c>
      <x:c r="R364" s="10" t="str">
        <x:v>https://doi.org/10.51865/cejgsd.2026.8.1.1</x:v>
      </x:c>
    </x:row>
    <x:row r="365">
      <x:c r="A365" s="10" t="n">
        <x:f>RANK.EQ(B365,$B$2:$B$446,0)+COUNTIF($B$2:B365,B365)-1</x:f>
        <x:v>364</x:v>
      </x:c>
      <x:c r="B365" s="22" t="n">
        <x:f>I365+K365+M365+O365</x:f>
        <x:v>77</x:v>
      </x:c>
      <x:c r="C365" s="10" t="str">
        <x:f>IF(B365&gt;=93,"A — Highest",IF(B365&gt;=85,"B — Very strong",IF(B365&gt;=75,"C — Strong",IF(B365&gt;=65,"D — Useful","E — Supporting"))))</x:f>
        <x:v>C — Strong</x:v>
      </x:c>
      <x:c r="D365" s="10" t="str">
        <x:v>EU scientific diplomacy as a tool of strategic autonomy</x:v>
      </x:c>
      <x:c r="E365" s="10" t="str">
        <x:v>2026-05-07</x:v>
      </x:c>
      <x:c r="F365" s="10" t="str">
        <x:v>A</x:v>
      </x:c>
      <x:c r="G365" s="10" t="str">
        <x:v>MGIMO Review of International Relations</x:v>
      </x:c>
      <x:c r="H365" s="10" t="str">
        <x:v>O. A. Krasnyak</x:v>
      </x:c>
      <x:c r="I365" s="10" t="n">
        <x:v>32</x:v>
      </x:c>
      <x:c r="J365" s="10" t="str">
        <x:v>Peer-reviewed journal</x:v>
      </x:c>
      <x:c r="K365" s="10" t="n">
        <x:v>25</x:v>
      </x:c>
      <x:c r="L365" s="10" t="str">
        <x:v>Direct EU relevance</x:v>
      </x:c>
      <x:c r="M365" s="10" t="n">
        <x:v>15</x:v>
      </x:c>
      <x:c r="N365" s="10" t="str">
        <x:v>Peer-reviewed article</x:v>
      </x:c>
      <x:c r="O365" s="10" t="n">
        <x:v>5</x:v>
      </x:c>
      <x:c r="P365" s="10" t="str">
        <x:v>peer-reviewed article</x:v>
      </x:c>
      <x:c r="Q365" s="10" t="str">
        <x:v>direct</x:v>
      </x:c>
      <x:c r="R365" s="10" t="str">
        <x:v>https://doi.org/10.24833/2071-8160-2026-2-107-24-46</x:v>
      </x:c>
    </x:row>
    <x:row r="366">
      <x:c r="A366" s="10" t="n">
        <x:f>RANK.EQ(B366,$B$2:$B$446,0)+COUNTIF($B$2:B366,B366)-1</x:f>
        <x:v>365</x:v>
      </x:c>
      <x:c r="B366" s="22" t="n">
        <x:f>I366+K366+M366+O366</x:f>
        <x:v>77</x:v>
      </x:c>
      <x:c r="C366" s="10" t="str">
        <x:f>IF(B366&gt;=93,"A — Highest",IF(B366&gt;=85,"B — Very strong",IF(B366&gt;=75,"C — Strong",IF(B366&gt;=65,"D — Useful","E — Supporting"))))</x:f>
        <x:v>C — Strong</x:v>
      </x:c>
      <x:c r="D366" s="10" t="str">
        <x:v>Health AI research capacity and equity-adjusted patient value in 27 European Union countries: an ecological panel study, 2011–2024</x:v>
      </x:c>
      <x:c r="E366" s="10" t="str">
        <x:v>2026-05-07</x:v>
      </x:c>
      <x:c r="F366" s="10" t="str">
        <x:v>A</x:v>
      </x:c>
      <x:c r="G366" s="10" t="str">
        <x:v>BMC Public Health</x:v>
      </x:c>
      <x:c r="H366" s="10" t="str">
        <x:v>Horia Iuga, Mehmet Ali Balcı, Iulia Cristina Iuga, Ömer Akgüller</x:v>
      </x:c>
      <x:c r="I366" s="10" t="n">
        <x:v>32</x:v>
      </x:c>
      <x:c r="J366" s="10" t="str">
        <x:v>Peer-reviewed journal</x:v>
      </x:c>
      <x:c r="K366" s="10" t="n">
        <x:v>25</x:v>
      </x:c>
      <x:c r="L366" s="10" t="str">
        <x:v>Direct EU relevance</x:v>
      </x:c>
      <x:c r="M366" s="10" t="n">
        <x:v>15</x:v>
      </x:c>
      <x:c r="N366" s="10" t="str">
        <x:v>Peer-reviewed article</x:v>
      </x:c>
      <x:c r="O366" s="10" t="n">
        <x:v>5</x:v>
      </x:c>
      <x:c r="P366" s="10" t="str">
        <x:v>peer-reviewed article</x:v>
      </x:c>
      <x:c r="Q366" s="10" t="str">
        <x:v>direct</x:v>
      </x:c>
      <x:c r="R366" s="10" t="str">
        <x:v>https://doi.org/10.1186/s12889-026-27676-8</x:v>
      </x:c>
    </x:row>
    <x:row r="367">
      <x:c r="A367" s="10" t="n">
        <x:f>RANK.EQ(B367,$B$2:$B$446,0)+COUNTIF($B$2:B367,B367)-1</x:f>
        <x:v>366</x:v>
      </x:c>
      <x:c r="B367" s="22" t="n">
        <x:f>I367+K367+M367+O367</x:f>
        <x:v>77</x:v>
      </x:c>
      <x:c r="C367" s="10" t="str">
        <x:f>IF(B367&gt;=93,"A — Highest",IF(B367&gt;=85,"B — Very strong",IF(B367&gt;=75,"C — Strong",IF(B367&gt;=65,"D — Useful","E — Supporting"))))</x:f>
        <x:v>C — Strong</x:v>
      </x:c>
      <x:c r="D367" s="10" t="str">
        <x:v>China and Central and Eastern European Countries within 14+1 cooperation challenges</x:v>
      </x:c>
      <x:c r="E367" s="10" t="str">
        <x:v>2026-05-05</x:v>
      </x:c>
      <x:c r="F367" s="10" t="str">
        <x:v>A</x:v>
      </x:c>
      <x:c r="G367" s="10" t="str">
        <x:v>Polemos - Međunarodne studije</x:v>
      </x:c>
      <x:c r="H367" s="10" t="str">
        <x:v>Jelena Levak, Anita Britvec, Robert Bošnjak</x:v>
      </x:c>
      <x:c r="I367" s="10" t="n">
        <x:v>32</x:v>
      </x:c>
      <x:c r="J367" s="10" t="str">
        <x:v>Peer-reviewed journal</x:v>
      </x:c>
      <x:c r="K367" s="10" t="n">
        <x:v>25</x:v>
      </x:c>
      <x:c r="L367" s="10" t="str">
        <x:v>Direct EU relevance</x:v>
      </x:c>
      <x:c r="M367" s="10" t="n">
        <x:v>15</x:v>
      </x:c>
      <x:c r="N367" s="10" t="str">
        <x:v>Peer-reviewed article</x:v>
      </x:c>
      <x:c r="O367" s="10" t="n">
        <x:v>5</x:v>
      </x:c>
      <x:c r="P367" s="10" t="str">
        <x:v>peer-reviewed article</x:v>
      </x:c>
      <x:c r="Q367" s="10" t="str">
        <x:v>direct</x:v>
      </x:c>
      <x:c r="R367" s="10" t="str">
        <x:v>https://doi.org/10.46672/po-mest.29.1-2.6</x:v>
      </x:c>
    </x:row>
    <x:row r="368">
      <x:c r="A368" s="10" t="n">
        <x:f>RANK.EQ(B368,$B$2:$B$446,0)+COUNTIF($B$2:B368,B368)-1</x:f>
        <x:v>367</x:v>
      </x:c>
      <x:c r="B368" s="22" t="n">
        <x:f>I368+K368+M368+O368</x:f>
        <x:v>77</x:v>
      </x:c>
      <x:c r="C368" s="10" t="str">
        <x:f>IF(B368&gt;=93,"A — Highest",IF(B368&gt;=85,"B — Very strong",IF(B368&gt;=75,"C — Strong",IF(B368&gt;=65,"D — Useful","E — Supporting"))))</x:f>
        <x:v>C — Strong</x:v>
      </x:c>
      <x:c r="D368" s="10" t="str">
        <x:v>The European Commission as an engine for international cooperation</x:v>
      </x:c>
      <x:c r="E368" s="10" t="str">
        <x:v>2026-05-05</x:v>
      </x:c>
      <x:c r="F368" s="10" t="str">
        <x:v>A</x:v>
      </x:c>
      <x:c r="G368" s="10" t="str">
        <x:v>Impact</x:v>
      </x:c>
      <x:c r="H368" s="10" t="str">
        <x:v>Lucy Annette</x:v>
      </x:c>
      <x:c r="I368" s="10" t="n">
        <x:v>32</x:v>
      </x:c>
      <x:c r="J368" s="10" t="str">
        <x:v>Peer-reviewed journal</x:v>
      </x:c>
      <x:c r="K368" s="10" t="n">
        <x:v>25</x:v>
      </x:c>
      <x:c r="L368" s="10" t="str">
        <x:v>Direct EU relevance</x:v>
      </x:c>
      <x:c r="M368" s="10" t="n">
        <x:v>15</x:v>
      </x:c>
      <x:c r="N368" s="10" t="str">
        <x:v>Peer-reviewed article</x:v>
      </x:c>
      <x:c r="O368" s="10" t="n">
        <x:v>5</x:v>
      </x:c>
      <x:c r="P368" s="10" t="str">
        <x:v>peer-reviewed article</x:v>
      </x:c>
      <x:c r="Q368" s="10" t="str">
        <x:v>direct</x:v>
      </x:c>
      <x:c r="R368" s="10" t="str">
        <x:v>https://doi.org/10.21820/23987073.2026.1.35</x:v>
      </x:c>
    </x:row>
    <x:row r="369">
      <x:c r="A369" s="10" t="n">
        <x:f>RANK.EQ(B369,$B$2:$B$446,0)+COUNTIF($B$2:B369,B369)-1</x:f>
        <x:v>368</x:v>
      </x:c>
      <x:c r="B369" s="22" t="n">
        <x:f>I369+K369+M369+O369</x:f>
        <x:v>77</x:v>
      </x:c>
      <x:c r="C369" s="10" t="str">
        <x:f>IF(B369&gt;=93,"A — Highest",IF(B369&gt;=85,"B — Very strong",IF(B369&gt;=75,"C — Strong",IF(B369&gt;=65,"D — Useful","E — Supporting"))))</x:f>
        <x:v>C — Strong</x:v>
      </x:c>
      <x:c r="D369" s="10" t="str">
        <x:v>DIGITAL INNOVATION AND ECONOMIC GROWTH IN SOUTHEAST EUROPE</x:v>
      </x:c>
      <x:c r="E369" s="10" t="str">
        <x:v>2026-05-02</x:v>
      </x:c>
      <x:c r="F369" s="10" t="str">
        <x:v>A</x:v>
      </x:c>
      <x:c r="G369" s="10" t="str">
        <x:v>European Vector of Economic Development</x:v>
      </x:c>
      <x:c r="H369" s="10" t="str">
        <x:v>Sara Drakul</x:v>
      </x:c>
      <x:c r="I369" s="10" t="n">
        <x:v>32</x:v>
      </x:c>
      <x:c r="J369" s="10" t="str">
        <x:v>Peer-reviewed journal</x:v>
      </x:c>
      <x:c r="K369" s="10" t="n">
        <x:v>25</x:v>
      </x:c>
      <x:c r="L369" s="10" t="str">
        <x:v>Direct EU relevance</x:v>
      </x:c>
      <x:c r="M369" s="10" t="n">
        <x:v>15</x:v>
      </x:c>
      <x:c r="N369" s="10" t="str">
        <x:v>Peer-reviewed article</x:v>
      </x:c>
      <x:c r="O369" s="10" t="n">
        <x:v>5</x:v>
      </x:c>
      <x:c r="P369" s="10" t="str">
        <x:v>peer-reviewed article</x:v>
      </x:c>
      <x:c r="Q369" s="10" t="str">
        <x:v>direct</x:v>
      </x:c>
      <x:c r="R369" s="10" t="str">
        <x:v>https://doi.org/10.32342/3041-2153-2026-1-40-5</x:v>
      </x:c>
    </x:row>
    <x:row r="370">
      <x:c r="A370" s="10" t="n">
        <x:f>RANK.EQ(B370,$B$2:$B$446,0)+COUNTIF($B$2:B370,B370)-1</x:f>
        <x:v>369</x:v>
      </x:c>
      <x:c r="B370" s="22" t="n">
        <x:f>I370+K370+M370+O370</x:f>
        <x:v>77</x:v>
      </x:c>
      <x:c r="C370" s="10" t="str">
        <x:f>IF(B370&gt;=93,"A — Highest",IF(B370&gt;=85,"B — Very strong",IF(B370&gt;=75,"C — Strong",IF(B370&gt;=65,"D — Useful","E — Supporting"))))</x:f>
        <x:v>C — Strong</x:v>
      </x:c>
      <x:c r="D370" s="10" t="str">
        <x:v>Regional disparities in the transition to industry 5.0: an algorithmic approach to digitization</x:v>
      </x:c>
      <x:c r="E370" s="10" t="str">
        <x:v>2026-05-02</x:v>
      </x:c>
      <x:c r="F370" s="10" t="str">
        <x:v>A</x:v>
      </x:c>
      <x:c r="G370" s="10" t="str">
        <x:v>Economic Change and Restructuring</x:v>
      </x:c>
      <x:c r="H370" s="10" t="str">
        <x:v>Monica Laura Zlati, Camelia Madalina Beldiman, Iulian Vasiliev, Valentin-Marian Antohi, Costinela Fortea</x:v>
      </x:c>
      <x:c r="I370" s="10" t="n">
        <x:v>32</x:v>
      </x:c>
      <x:c r="J370" s="10" t="str">
        <x:v>Peer-reviewed journal</x:v>
      </x:c>
      <x:c r="K370" s="10" t="n">
        <x:v>25</x:v>
      </x:c>
      <x:c r="L370" s="10" t="str">
        <x:v>Direct EU relevance</x:v>
      </x:c>
      <x:c r="M370" s="10" t="n">
        <x:v>15</x:v>
      </x:c>
      <x:c r="N370" s="10" t="str">
        <x:v>Peer-reviewed article</x:v>
      </x:c>
      <x:c r="O370" s="10" t="n">
        <x:v>5</x:v>
      </x:c>
      <x:c r="P370" s="10" t="str">
        <x:v>peer-reviewed article</x:v>
      </x:c>
      <x:c r="Q370" s="10" t="str">
        <x:v>direct</x:v>
      </x:c>
      <x:c r="R370" s="10" t="str">
        <x:v>https://doi.org/10.1007/s10644-026-09988-2</x:v>
      </x:c>
    </x:row>
    <x:row r="371">
      <x:c r="A371" s="10" t="n">
        <x:f>RANK.EQ(B371,$B$2:$B$446,0)+COUNTIF($B$2:B371,B371)-1</x:f>
        <x:v>370</x:v>
      </x:c>
      <x:c r="B371" s="22" t="n">
        <x:f>I371+K371+M371+O371</x:f>
        <x:v>77</x:v>
      </x:c>
      <x:c r="C371" s="10" t="str">
        <x:f>IF(B371&gt;=93,"A — Highest",IF(B371&gt;=85,"B — Very strong",IF(B371&gt;=75,"C — Strong",IF(B371&gt;=65,"D — Useful","E — Supporting"))))</x:f>
        <x:v>C — Strong</x:v>
      </x:c>
      <x:c r="D371" s="10" t="str">
        <x:v>The Taboo of Withdrawal: Firsthand Perspectives From Former Doctoral Candidates in Poland and Portugal</x:v>
      </x:c>
      <x:c r="E371" s="10" t="str">
        <x:v>2026-05-02</x:v>
      </x:c>
      <x:c r="F371" s="10" t="str">
        <x:v>A</x:v>
      </x:c>
      <x:c r="G371" s="10" t="str">
        <x:v>Higher Education Quarterly</x:v>
      </x:c>
      <x:c r="H371" s="10" t="str">
        <x:v>Patrícia Alves, Marta Kowalczuk‐Walędziak, Amélia Lopes, Izabela Krasnicka, Isabel Menezes</x:v>
      </x:c>
      <x:c r="I371" s="10" t="n">
        <x:v>32</x:v>
      </x:c>
      <x:c r="J371" s="10" t="str">
        <x:v>Peer-reviewed journal</x:v>
      </x:c>
      <x:c r="K371" s="10" t="n">
        <x:v>25</x:v>
      </x:c>
      <x:c r="L371" s="10" t="str">
        <x:v>Direct EU relevance</x:v>
      </x:c>
      <x:c r="M371" s="10" t="n">
        <x:v>15</x:v>
      </x:c>
      <x:c r="N371" s="10" t="str">
        <x:v>Peer-reviewed article</x:v>
      </x:c>
      <x:c r="O371" s="10" t="n">
        <x:v>5</x:v>
      </x:c>
      <x:c r="P371" s="10" t="str">
        <x:v>peer-reviewed article</x:v>
      </x:c>
      <x:c r="Q371" s="10" t="str">
        <x:v>direct</x:v>
      </x:c>
      <x:c r="R371" s="10" t="str">
        <x:v>https://doi.org/10.1111/hequ.70141</x:v>
      </x:c>
    </x:row>
    <x:row r="372">
      <x:c r="A372" s="10" t="n">
        <x:f>RANK.EQ(B372,$B$2:$B$446,0)+COUNTIF($B$2:B372,B372)-1</x:f>
        <x:v>371</x:v>
      </x:c>
      <x:c r="B372" s="22" t="n">
        <x:f>I372+K372+M372+O372</x:f>
        <x:v>77</x:v>
      </x:c>
      <x:c r="C372" s="10" t="str">
        <x:f>IF(B372&gt;=93,"A — Highest",IF(B372&gt;=85,"B — Very strong",IF(B372&gt;=75,"C — Strong",IF(B372&gt;=65,"D — Useful","E — Supporting"))))</x:f>
        <x:v>C — Strong</x:v>
      </x:c>
      <x:c r="D372" s="10" t="str">
        <x:v>Implementing Sweden’s Biobank Act (2023:38): Insights and Lessons for International Collaboration in Health Research</x:v>
      </x:c>
      <x:c r="E372" s="10" t="str">
        <x:v>2026-05-01</x:v>
      </x:c>
      <x:c r="F372" s="10" t="str">
        <x:v>A</x:v>
      </x:c>
      <x:c r="G372" s="10" t="str">
        <x:v>Biopreservation and Biobanking</x:v>
      </x:c>
      <x:c r="H372" s="10" t="str">
        <x:v>Jennifer Viberg Johansson, Mio Fredriksson</x:v>
      </x:c>
      <x:c r="I372" s="10" t="n">
        <x:v>32</x:v>
      </x:c>
      <x:c r="J372" s="10" t="str">
        <x:v>Peer-reviewed journal</x:v>
      </x:c>
      <x:c r="K372" s="10" t="n">
        <x:v>25</x:v>
      </x:c>
      <x:c r="L372" s="10" t="str">
        <x:v>Direct EU relevance</x:v>
      </x:c>
      <x:c r="M372" s="10" t="n">
        <x:v>15</x:v>
      </x:c>
      <x:c r="N372" s="10" t="str">
        <x:v>Peer-reviewed article</x:v>
      </x:c>
      <x:c r="O372" s="10" t="n">
        <x:v>5</x:v>
      </x:c>
      <x:c r="P372" s="10" t="str">
        <x:v>peer-reviewed article</x:v>
      </x:c>
      <x:c r="Q372" s="10" t="str">
        <x:v>direct</x:v>
      </x:c>
      <x:c r="R372" s="10" t="str">
        <x:v>https://doi.org/10.1177/19475535261432944</x:v>
      </x:c>
    </x:row>
    <x:row r="373">
      <x:c r="A373" s="10" t="n">
        <x:f>RANK.EQ(B373,$B$2:$B$446,0)+COUNTIF($B$2:B373,B373)-1</x:f>
        <x:v>372</x:v>
      </x:c>
      <x:c r="B373" s="22" t="n">
        <x:f>I373+K373+M373+O373</x:f>
        <x:v>76</x:v>
      </x:c>
      <x:c r="C373" s="10" t="str">
        <x:f>IF(B373&gt;=93,"A — Highest",IF(B373&gt;=85,"B — Very strong",IF(B373&gt;=75,"C — Strong",IF(B373&gt;=65,"D — Useful","E — Supporting"))))</x:f>
        <x:v>C — Strong</x:v>
      </x:c>
      <x:c r="D373" s="10" t="str">
        <x:v>Co-creating climate-resilient cities: a multi-method participatory approach for future scenario building and prioritization</x:v>
      </x:c>
      <x:c r="E373" s="10" t="str">
        <x:v>2026-08-07</x:v>
      </x:c>
      <x:c r="F373" s="10" t="str">
        <x:v>B</x:v>
      </x:c>
      <x:c r="G373" s="10" t="str">
        <x:v>European Journal of Futures Research</x:v>
      </x:c>
      <x:c r="H373" s="10" t="str">
        <x:v>Havva Ebrahimipour, Monika Mačiulienė, Anna Maria Kotrikla, Franz-Ferdinand Rothe, Gintarė Gulevičiūtė, Aelita Skaržauskienė, Kristina Kovaitė, Amalia Polydoropoulou, et al.</x:v>
      </x:c>
      <x:c r="I373" s="10" t="n">
        <x:v>38</x:v>
      </x:c>
      <x:c r="J373" s="10" t="str">
        <x:v>Established peer-reviewed journal</x:v>
      </x:c>
      <x:c r="K373" s="10" t="n">
        <x:v>18</x:v>
      </x:c>
      <x:c r="L373" s="10" t="str">
        <x:v>Relevant by comparison / implication</x:v>
      </x:c>
      <x:c r="M373" s="10" t="n">
        <x:v>15</x:v>
      </x:c>
      <x:c r="N373" s="10" t="str">
        <x:v>Peer-reviewed article</x:v>
      </x:c>
      <x:c r="O373" s="10" t="n">
        <x:v>5</x:v>
      </x:c>
      <x:c r="P373" s="10" t="str">
        <x:v>peer-reviewed article</x:v>
      </x:c>
      <x:c r="Q373" s="10" t="str">
        <x:v>derived</x:v>
      </x:c>
      <x:c r="R373" s="10" t="str">
        <x:v>https://doi.org/10.1186/s40309-026-00291-x</x:v>
      </x:c>
    </x:row>
    <x:row r="374">
      <x:c r="A374" s="10" t="n">
        <x:f>RANK.EQ(B374,$B$2:$B$446,0)+COUNTIF($B$2:B374,B374)-1</x:f>
        <x:v>373</x:v>
      </x:c>
      <x:c r="B374" s="22" t="n">
        <x:f>I374+K374+M374+O374</x:f>
        <x:v>76</x:v>
      </x:c>
      <x:c r="C374" s="10" t="str">
        <x:f>IF(B374&gt;=93,"A — Highest",IF(B374&gt;=85,"B — Very strong",IF(B374&gt;=75,"C — Strong",IF(B374&gt;=65,"D — Useful","E — Supporting"))))</x:f>
        <x:v>C — Strong</x:v>
      </x:c>
      <x:c r="D374" s="10" t="str">
        <x:v>Supercomputers, artificial intelligence and Europe’s technological sovereignty</x:v>
      </x:c>
      <x:c r="E374" s="10" t="str">
        <x:v>2026-08-03</x:v>
      </x:c>
      <x:c r="F374" s="10" t="str">
        <x:v>A</x:v>
      </x:c>
      <x:c r="G374" s="10" t="str">
        <x:v>Proceedings of the European Academy of Sciences and Arts</x:v>
      </x:c>
      <x:c r="H374" s="10" t="str">
        <x:v>Michael Molls; Ulrich Marsch; Klaus Mainzer; Arndt Bode</x:v>
      </x:c>
      <x:c r="I374" s="10" t="n">
        <x:v>32</x:v>
      </x:c>
      <x:c r="J374" s="10" t="str">
        <x:v>Peer-reviewed journal</x:v>
      </x:c>
      <x:c r="K374" s="10" t="n">
        <x:v>25</x:v>
      </x:c>
      <x:c r="L374" s="10" t="str">
        <x:v>Direct EU relevance</x:v>
      </x:c>
      <x:c r="M374" s="10" t="n">
        <x:v>14</x:v>
      </x:c>
      <x:c r="N374" s="10" t="str">
        <x:v>Manually verified research/policy source</x:v>
      </x:c>
      <x:c r="O374" s="10" t="n">
        <x:v>5</x:v>
      </x:c>
      <x:c r="P374" s="10" t="str">
        <x:v>manual-verified scholarly/policy source</x:v>
      </x:c>
      <x:c r="Q374" s="10" t="str">
        <x:v>direct</x:v>
      </x:c>
      <x:c r="R374" s="10" t="str">
        <x:v>https://www.peasa.eu/site/article/view/88</x:v>
      </x:c>
    </x:row>
    <x:row r="375">
      <x:c r="A375" s="10" t="n">
        <x:f>RANK.EQ(B375,$B$2:$B$446,0)+COUNTIF($B$2:B375,B375)-1</x:f>
        <x:v>374</x:v>
      </x:c>
      <x:c r="B375" s="22" t="n">
        <x:f>I375+K375+M375+O375</x:f>
        <x:v>76</x:v>
      </x:c>
      <x:c r="C375" s="10" t="str">
        <x:f>IF(B375&gt;=93,"A — Highest",IF(B375&gt;=85,"B — Very strong",IF(B375&gt;=75,"C — Strong",IF(B375&gt;=65,"D — Useful","E — Supporting"))))</x:f>
        <x:v>C — Strong</x:v>
      </x:c>
      <x:c r="D375" s="10" t="str">
        <x:v>A Multi-Method Field–Topic–Technology (FTT) Approach with Dual-Path Integration for Identifying Key Core Technologies</x:v>
      </x:c>
      <x:c r="E375" s="10" t="str">
        <x:v>2026-07-29</x:v>
      </x:c>
      <x:c r="F375" s="10" t="str">
        <x:v>B</x:v>
      </x:c>
      <x:c r="G375" s="10" t="str">
        <x:v>Journal of Data and Information Science</x:v>
      </x:c>
      <x:c r="H375" s="10" t="str">
        <x:v>Chao Tang, Yan Qi, Haiyun Xu, Shuying Li, Zenghui Yue, Robin Haunschild</x:v>
      </x:c>
      <x:c r="I375" s="10" t="n">
        <x:v>38</x:v>
      </x:c>
      <x:c r="J375" s="10" t="str">
        <x:v>Established peer-reviewed journal</x:v>
      </x:c>
      <x:c r="K375" s="10" t="n">
        <x:v>18</x:v>
      </x:c>
      <x:c r="L375" s="10" t="str">
        <x:v>Relevant by comparison / implication</x:v>
      </x:c>
      <x:c r="M375" s="10" t="n">
        <x:v>15</x:v>
      </x:c>
      <x:c r="N375" s="10" t="str">
        <x:v>Peer-reviewed article</x:v>
      </x:c>
      <x:c r="O375" s="10" t="n">
        <x:v>5</x:v>
      </x:c>
      <x:c r="P375" s="10" t="str">
        <x:v>peer-reviewed article</x:v>
      </x:c>
      <x:c r="Q375" s="10" t="str">
        <x:v>derived</x:v>
      </x:c>
      <x:c r="R375" s="10" t="str">
        <x:v>https://doi.org/10.1515/jdis-2025-0120</x:v>
      </x:c>
    </x:row>
    <x:row r="376">
      <x:c r="A376" s="10" t="n">
        <x:f>RANK.EQ(B376,$B$2:$B$446,0)+COUNTIF($B$2:B376,B376)-1</x:f>
        <x:v>375</x:v>
      </x:c>
      <x:c r="B376" s="22" t="n">
        <x:f>I376+K376+M376+O376</x:f>
        <x:v>76</x:v>
      </x:c>
      <x:c r="C376" s="10" t="str">
        <x:f>IF(B376&gt;=93,"A — Highest",IF(B376&gt;=85,"B — Very strong",IF(B376&gt;=75,"C — Strong",IF(B376&gt;=65,"D — Useful","E — Supporting"))))</x:f>
        <x:v>C — Strong</x:v>
      </x:c>
      <x:c r="D376" s="10" t="str">
        <x:v>A Participatory Future Scenario-Building Methodology for Europe’s Just Transition by Sectors: The FITTER-EU Case</x:v>
      </x:c>
      <x:c r="E376" s="10" t="str">
        <x:v>2026-07-09</x:v>
      </x:c>
      <x:c r="F376" s="10" t="str">
        <x:v>B</x:v>
      </x:c>
      <x:c r="G376" s="10" t="str">
        <x:v>Politics and Governance</x:v>
      </x:c>
      <x:c r="H376" s="10" t="str">
        <x:v>Laura Armayones Carranza, Lluis Vine Rius</x:v>
      </x:c>
      <x:c r="I376" s="10" t="n">
        <x:v>38</x:v>
      </x:c>
      <x:c r="J376" s="10" t="str">
        <x:v>Established peer-reviewed journal</x:v>
      </x:c>
      <x:c r="K376" s="10" t="n">
        <x:v>18</x:v>
      </x:c>
      <x:c r="L376" s="10" t="str">
        <x:v>Relevant by comparison / implication</x:v>
      </x:c>
      <x:c r="M376" s="10" t="n">
        <x:v>15</x:v>
      </x:c>
      <x:c r="N376" s="10" t="str">
        <x:v>Peer-reviewed article</x:v>
      </x:c>
      <x:c r="O376" s="10" t="n">
        <x:v>5</x:v>
      </x:c>
      <x:c r="P376" s="10" t="str">
        <x:v>peer-reviewed article</x:v>
      </x:c>
      <x:c r="Q376" s="10" t="str">
        <x:v>derived</x:v>
      </x:c>
      <x:c r="R376" s="10" t="str">
        <x:v>https://doi.org/10.17645/pag.12281</x:v>
      </x:c>
    </x:row>
    <x:row r="377">
      <x:c r="A377" s="10" t="n">
        <x:f>RANK.EQ(B377,$B$2:$B$446,0)+COUNTIF($B$2:B377,B377)-1</x:f>
        <x:v>376</x:v>
      </x:c>
      <x:c r="B377" s="22" t="n">
        <x:f>I377+K377+M377+O377</x:f>
        <x:v>76</x:v>
      </x:c>
      <x:c r="C377" s="10" t="str">
        <x:f>IF(B377&gt;=93,"A — Highest",IF(B377&gt;=85,"B — Very strong",IF(B377&gt;=75,"C — Strong",IF(B377&gt;=65,"D — Useful","E — Supporting"))))</x:f>
        <x:v>C — Strong</x:v>
      </x:c>
      <x:c r="D377" s="10" t="str">
        <x:v>AgentProphet: Source-Aware Multi-Agent Emerging Technology Forecasting for Upstream Decision-Making in AI-Based IoT Systems</x:v>
      </x:c>
      <x:c r="E377" s="10" t="str">
        <x:v>2026-07-06</x:v>
      </x:c>
      <x:c r="F377" s="10" t="str">
        <x:v>B</x:v>
      </x:c>
      <x:c r="G377" s="10" t="str">
        <x:v>Applied Sciences</x:v>
      </x:c>
      <x:c r="H377" s="10" t="str">
        <x:v>Taorui Chen, Huan Wang, Kai Guo</x:v>
      </x:c>
      <x:c r="I377" s="10" t="n">
        <x:v>38</x:v>
      </x:c>
      <x:c r="J377" s="10" t="str">
        <x:v>Established peer-reviewed journal</x:v>
      </x:c>
      <x:c r="K377" s="10" t="n">
        <x:v>18</x:v>
      </x:c>
      <x:c r="L377" s="10" t="str">
        <x:v>Relevant by comparison / implication</x:v>
      </x:c>
      <x:c r="M377" s="10" t="n">
        <x:v>15</x:v>
      </x:c>
      <x:c r="N377" s="10" t="str">
        <x:v>Peer-reviewed article</x:v>
      </x:c>
      <x:c r="O377" s="10" t="n">
        <x:v>5</x:v>
      </x:c>
      <x:c r="P377" s="10" t="str">
        <x:v>peer-reviewed article</x:v>
      </x:c>
      <x:c r="Q377" s="10" t="str">
        <x:v>derived</x:v>
      </x:c>
      <x:c r="R377" s="10" t="str">
        <x:v>https://doi.org/10.3390/app16136787</x:v>
      </x:c>
    </x:row>
    <x:row r="378">
      <x:c r="A378" s="10" t="n">
        <x:f>RANK.EQ(B378,$B$2:$B$446,0)+COUNTIF($B$2:B378,B378)-1</x:f>
        <x:v>377</x:v>
      </x:c>
      <x:c r="B378" s="22" t="n">
        <x:f>I378+K378+M378+O378</x:f>
        <x:v>76</x:v>
      </x:c>
      <x:c r="C378" s="10" t="str">
        <x:f>IF(B378&gt;=93,"A — Highest",IF(B378&gt;=85,"B — Very strong",IF(B378&gt;=75,"C — Strong",IF(B378&gt;=65,"D — Useful","E — Supporting"))))</x:f>
        <x:v>C — Strong</x:v>
      </x:c>
      <x:c r="D378" s="10" t="str">
        <x:v>A Data-Driven Roadmapping Framework for Resilient Disaster Management</x:v>
      </x:c>
      <x:c r="E378" s="10" t="str">
        <x:v>2026-05-12</x:v>
      </x:c>
      <x:c r="F378" s="10" t="str">
        <x:v>B</x:v>
      </x:c>
      <x:c r="G378" s="10" t="str">
        <x:v>Journal of Innovation Management</x:v>
      </x:c>
      <x:c r="H378" s="10" t="str">
        <x:v>Dilek Çetindamar, Youngjung Geum, Robert Phaal</x:v>
      </x:c>
      <x:c r="I378" s="10" t="n">
        <x:v>38</x:v>
      </x:c>
      <x:c r="J378" s="10" t="str">
        <x:v>Established peer-reviewed journal</x:v>
      </x:c>
      <x:c r="K378" s="10" t="n">
        <x:v>18</x:v>
      </x:c>
      <x:c r="L378" s="10" t="str">
        <x:v>Relevant by comparison / implication</x:v>
      </x:c>
      <x:c r="M378" s="10" t="n">
        <x:v>15</x:v>
      </x:c>
      <x:c r="N378" s="10" t="str">
        <x:v>Peer-reviewed article</x:v>
      </x:c>
      <x:c r="O378" s="10" t="n">
        <x:v>5</x:v>
      </x:c>
      <x:c r="P378" s="10" t="str">
        <x:v>peer-reviewed article</x:v>
      </x:c>
      <x:c r="Q378" s="10" t="str">
        <x:v>derived</x:v>
      </x:c>
      <x:c r="R378" s="10" t="str">
        <x:v>https://doi.org/10.24840/2183-0606_014.001_0001</x:v>
      </x:c>
    </x:row>
    <x:row r="379">
      <x:c r="A379" s="10" t="n">
        <x:f>RANK.EQ(B379,$B$2:$B$446,0)+COUNTIF($B$2:B379,B379)-1</x:f>
        <x:v>378</x:v>
      </x:c>
      <x:c r="B379" s="22" t="n">
        <x:f>I379+K379+M379+O379</x:f>
        <x:v>76</x:v>
      </x:c>
      <x:c r="C379" s="10" t="str">
        <x:f>IF(B379&gt;=93,"A — Highest",IF(B379&gt;=85,"B — Very strong",IF(B379&gt;=75,"C — Strong",IF(B379&gt;=65,"D — Useful","E — Supporting"))))</x:f>
        <x:v>C — Strong</x:v>
      </x:c>
      <x:c r="D379" s="10" t="str">
        <x:v>Macrohistorical Cycle Synchronization as a Method for Long‐Range Foresight: The Ten Mega Epochs Model</x:v>
      </x:c>
      <x:c r="E379" s="10" t="str">
        <x:v>2026-05-04</x:v>
      </x:c>
      <x:c r="F379" s="10" t="str">
        <x:v>B</x:v>
      </x:c>
      <x:c r="G379" s="10" t="str">
        <x:v>FUTURES &amp; FORESIGHT SCIENCE</x:v>
      </x:c>
      <x:c r="H379" s="10" t="str">
        <x:v>Tuomo Kuosa</x:v>
      </x:c>
      <x:c r="I379" s="10" t="n">
        <x:v>38</x:v>
      </x:c>
      <x:c r="J379" s="10" t="str">
        <x:v>Established peer-reviewed journal</x:v>
      </x:c>
      <x:c r="K379" s="10" t="n">
        <x:v>18</x:v>
      </x:c>
      <x:c r="L379" s="10" t="str">
        <x:v>Relevant by comparison / implication</x:v>
      </x:c>
      <x:c r="M379" s="10" t="n">
        <x:v>15</x:v>
      </x:c>
      <x:c r="N379" s="10" t="str">
        <x:v>Peer-reviewed article</x:v>
      </x:c>
      <x:c r="O379" s="10" t="n">
        <x:v>5</x:v>
      </x:c>
      <x:c r="P379" s="10" t="str">
        <x:v>peer-reviewed article</x:v>
      </x:c>
      <x:c r="Q379" s="10" t="str">
        <x:v>derived</x:v>
      </x:c>
      <x:c r="R379" s="10" t="str">
        <x:v>https://doi.org/10.1002/ffo2.70042</x:v>
      </x:c>
    </x:row>
    <x:row r="380">
      <x:c r="A380" s="10" t="n">
        <x:f>RANK.EQ(B380,$B$2:$B$446,0)+COUNTIF($B$2:B380,B380)-1</x:f>
        <x:v>379</x:v>
      </x:c>
      <x:c r="B380" s="22" t="n">
        <x:f>I380+K380+M380+O380</x:f>
        <x:v>76</x:v>
      </x:c>
      <x:c r="C380" s="10" t="str">
        <x:f>IF(B380&gt;=93,"A — Highest",IF(B380&gt;=85,"B — Very strong",IF(B380&gt;=75,"C — Strong",IF(B380&gt;=65,"D — Useful","E — Supporting"))))</x:f>
        <x:v>C — Strong</x:v>
      </x:c>
      <x:c r="D380" s="10" t="str">
        <x:v>New institutional economics outlook for uncovering frictions in implementing the new Philippine graduate education policy</x:v>
      </x:c>
      <x:c r="E380" s="10" t="str">
        <x:v>2026-05-01</x:v>
      </x:c>
      <x:c r="F380" s="10" t="str">
        <x:v>B</x:v>
      </x:c>
      <x:c r="G380" s="10" t="str">
        <x:v>Journal of Science and Technology Policy Management</x:v>
      </x:c>
      <x:c r="H380" s="10" t="str">
        <x:v>Lanndon Ocampo, Francisco Largo</x:v>
      </x:c>
      <x:c r="I380" s="10" t="n">
        <x:v>38</x:v>
      </x:c>
      <x:c r="J380" s="10" t="str">
        <x:v>Established peer-reviewed journal</x:v>
      </x:c>
      <x:c r="K380" s="10" t="n">
        <x:v>18</x:v>
      </x:c>
      <x:c r="L380" s="10" t="str">
        <x:v>Relevant by comparison / implication</x:v>
      </x:c>
      <x:c r="M380" s="10" t="n">
        <x:v>15</x:v>
      </x:c>
      <x:c r="N380" s="10" t="str">
        <x:v>Peer-reviewed article</x:v>
      </x:c>
      <x:c r="O380" s="10" t="n">
        <x:v>5</x:v>
      </x:c>
      <x:c r="P380" s="10" t="str">
        <x:v>peer-reviewed article</x:v>
      </x:c>
      <x:c r="Q380" s="10" t="str">
        <x:v>derived</x:v>
      </x:c>
      <x:c r="R380" s="10" t="str">
        <x:v>https://doi.org/10.1108/jstpm-06-2025-0285</x:v>
      </x:c>
    </x:row>
    <x:row r="381">
      <x:c r="A381" s="10" t="n">
        <x:f>RANK.EQ(B381,$B$2:$B$446,0)+COUNTIF($B$2:B381,B381)-1</x:f>
        <x:v>380</x:v>
      </x:c>
      <x:c r="B381" s="22" t="n">
        <x:f>I381+K381+M381+O381</x:f>
        <x:v>75</x:v>
      </x:c>
      <x:c r="C381" s="10" t="str">
        <x:f>IF(B381&gt;=93,"A — Highest",IF(B381&gt;=85,"B — Very strong",IF(B381&gt;=75,"C — Strong",IF(B381&gt;=65,"D — Useful","E — Supporting"))))</x:f>
        <x:v>C — Strong</x:v>
      </x:c>
      <x:c r="D381" s="10" t="str">
        <x:v>India has an ambitious plan to lure scientists back — will it work? Initiatives to attract Indian researchers who are working abroad do not offer long-term income security, some scientists say. News | 01 SEP 2026</x:v>
      </x:c>
      <x:c r="E381" s="10" t="str">
        <x:v>2026-09-01</x:v>
      </x:c>
      <x:c r="F381" s="10" t="str">
        <x:v>C</x:v>
      </x:c>
      <x:c r="G381" s="10" t="str">
        <x:v>Nature</x:v>
      </x:c>
      <x:c r="H381" s="10" t="str"/>
      <x:c r="I381" s="10" t="n">
        <x:v>46</x:v>
      </x:c>
      <x:c r="J381" s="10" t="str">
        <x:v>Leading peer-reviewed journal</x:v>
      </x:c>
      <x:c r="K381" s="10" t="n">
        <x:v>18</x:v>
      </x:c>
      <x:c r="L381" s="10" t="str">
        <x:v>Scanner-admitted EU-relevant signal</x:v>
      </x:c>
      <x:c r="M381" s="10" t="n">
        <x:v>9</x:v>
      </x:c>
      <x:c r="N381" s="10" t="str">
        <x:v>Current-event/signal evidence</x:v>
      </x:c>
      <x:c r="O381" s="10" t="n">
        <x:v>2</x:v>
      </x:c>
      <x:c r="P381" s="10" t="str">
        <x:v>policy / strategy</x:v>
      </x:c>
      <x:c r="Q381" s="10" t="str"/>
      <x:c r="R381" s="10" t="str">
        <x:v>https://www.nature.com/articles/d41586-026-02636-9</x:v>
      </x:c>
    </x:row>
    <x:row r="382">
      <x:c r="A382" s="10" t="n">
        <x:f>RANK.EQ(B382,$B$2:$B$446,0)+COUNTIF($B$2:B382,B382)-1</x:f>
        <x:v>381</x:v>
      </x:c>
      <x:c r="B382" s="22" t="n">
        <x:f>I382+K382+M382+O382</x:f>
        <x:v>74</x:v>
      </x:c>
      <x:c r="C382" s="10" t="str">
        <x:f>IF(B382&gt;=93,"A — Highest",IF(B382&gt;=85,"B — Very strong",IF(B382&gt;=75,"C — Strong",IF(B382&gt;=65,"D — Useful","E — Supporting"))))</x:f>
        <x:v>D — Useful</x:v>
      </x:c>
      <x:c r="D382" s="10" t="str">
        <x:v>Mapping Non-Monetary Values in Data Sharing: Development and Validation of an SSH Framework Across Sectors</x:v>
      </x:c>
      <x:c r="E382" s="10" t="str">
        <x:v>2026-05-26</x:v>
      </x:c>
      <x:c r="F382" s="10" t="str">
        <x:v>B</x:v>
      </x:c>
      <x:c r="G382" s="10" t="str">
        <x:v>Open Research Europe</x:v>
      </x:c>
      <x:c r="H382" s="10" t="str">
        <x:v>Margit Hofer, Daniela Fuchs, Eduardo Vyhmeister, Agnieszka Rausch</x:v>
      </x:c>
      <x:c r="I382" s="10" t="n">
        <x:v>36</x:v>
      </x:c>
      <x:c r="J382" s="10" t="str">
        <x:v>EU-supported peer-reviewed platform</x:v>
      </x:c>
      <x:c r="K382" s="10" t="n">
        <x:v>18</x:v>
      </x:c>
      <x:c r="L382" s="10" t="str">
        <x:v>Relevant by comparison / implication</x:v>
      </x:c>
      <x:c r="M382" s="10" t="n">
        <x:v>15</x:v>
      </x:c>
      <x:c r="N382" s="10" t="str">
        <x:v>Peer-reviewed article</x:v>
      </x:c>
      <x:c r="O382" s="10" t="n">
        <x:v>5</x:v>
      </x:c>
      <x:c r="P382" s="10" t="str">
        <x:v>peer-reviewed article</x:v>
      </x:c>
      <x:c r="Q382" s="10" t="str">
        <x:v>derived</x:v>
      </x:c>
      <x:c r="R382" s="10" t="str">
        <x:v>https://doi.org/10.12688/openreseurope.23548.1</x:v>
      </x:c>
    </x:row>
    <x:row r="383">
      <x:c r="A383" s="10" t="n">
        <x:f>RANK.EQ(B383,$B$2:$B$446,0)+COUNTIF($B$2:B383,B383)-1</x:f>
        <x:v>382</x:v>
      </x:c>
      <x:c r="B383" s="22" t="n">
        <x:f>I383+K383+M383+O383</x:f>
        <x:v>71</x:v>
      </x:c>
      <x:c r="C383" s="10" t="str">
        <x:f>IF(B383&gt;=93,"A — Highest",IF(B383&gt;=85,"B — Very strong",IF(B383&gt;=75,"C — Strong",IF(B383&gt;=65,"D — Useful","E — Supporting"))))</x:f>
        <x:v>D — Useful</x:v>
      </x:c>
      <x:c r="D383" s="10" t="str">
        <x:v>SEMI Europe | EU Policy Brief | April 2026</x:v>
      </x:c>
      <x:c r="E383" s="10" t="str">
        <x:v>2026-05-27</x:v>
      </x:c>
      <x:c r="F383" s="10" t="str">
        <x:v>A</x:v>
      </x:c>
      <x:c r="G383" s="10" t="str">
        <x:v>SEMI Europe</x:v>
      </x:c>
      <x:c r="H383" s="10" t="str">
        <x:v>SEMI Europe</x:v>
      </x:c>
      <x:c r="I383" s="10" t="n">
        <x:v>27</x:v>
      </x:c>
      <x:c r="J383" s="10" t="str">
        <x:v>Specialist source</x:v>
      </x:c>
      <x:c r="K383" s="10" t="n">
        <x:v>25</x:v>
      </x:c>
      <x:c r="L383" s="10" t="str">
        <x:v>Direct EU relevance</x:v>
      </x:c>
      <x:c r="M383" s="10" t="n">
        <x:v>14</x:v>
      </x:c>
      <x:c r="N383" s="10" t="str">
        <x:v>Manually verified research/policy source</x:v>
      </x:c>
      <x:c r="O383" s="10" t="n">
        <x:v>5</x:v>
      </x:c>
      <x:c r="P383" s="10" t="str">
        <x:v>manual-verified scholarly/policy source</x:v>
      </x:c>
      <x:c r="Q383" s="10" t="str">
        <x:v>direct</x:v>
      </x:c>
      <x:c r="R383" s="10" t="str">
        <x:v>https://www.semi.org/sites/semi.org/files/2026-05/European_Policy_Brief_April_%202026.pdf</x:v>
      </x:c>
    </x:row>
    <x:row r="384">
      <x:c r="A384" s="10" t="n">
        <x:f>RANK.EQ(B384,$B$2:$B$446,0)+COUNTIF($B$2:B384,B384)-1</x:f>
        <x:v>383</x:v>
      </x:c>
      <x:c r="B384" s="22" t="n">
        <x:f>I384+K384+M384+O384</x:f>
        <x:v>70</x:v>
      </x:c>
      <x:c r="C384" s="10" t="str">
        <x:f>IF(B384&gt;=93,"A — Highest",IF(B384&gt;=85,"B — Very strong",IF(B384&gt;=75,"C — Strong",IF(B384&gt;=65,"D — Useful","E — Supporting"))))</x:f>
        <x:v>D — Useful</x:v>
      </x:c>
      <x:c r="D384" s="10" t="str">
        <x:v>A Multi-agent Approach to Technology Intelligence: From Patents to Market Signals with Large Language Models</x:v>
      </x:c>
      <x:c r="E384" s="10" t="str">
        <x:v>2026-08-25</x:v>
      </x:c>
      <x:c r="F384" s="10" t="str">
        <x:v>B</x:v>
      </x:c>
      <x:c r="G384" s="10" t="str">
        <x:v>European Conference on Knowledge Management</x:v>
      </x:c>
      <x:c r="H384" s="10" t="str">
        <x:v>Jan Černý</x:v>
      </x:c>
      <x:c r="I384" s="10" t="n">
        <x:v>32</x:v>
      </x:c>
      <x:c r="J384" s="10" t="str">
        <x:v>Peer-reviewed journal</x:v>
      </x:c>
      <x:c r="K384" s="10" t="n">
        <x:v>18</x:v>
      </x:c>
      <x:c r="L384" s="10" t="str">
        <x:v>Relevant by comparison / implication</x:v>
      </x:c>
      <x:c r="M384" s="10" t="n">
        <x:v>15</x:v>
      </x:c>
      <x:c r="N384" s="10" t="str">
        <x:v>Peer-reviewed article</x:v>
      </x:c>
      <x:c r="O384" s="10" t="n">
        <x:v>5</x:v>
      </x:c>
      <x:c r="P384" s="10" t="str">
        <x:v>peer-reviewed article</x:v>
      </x:c>
      <x:c r="Q384" s="10" t="str">
        <x:v>derived</x:v>
      </x:c>
      <x:c r="R384" s="10" t="str">
        <x:v>https://doi.org/10.34190/eckm.27.1.5344</x:v>
      </x:c>
    </x:row>
    <x:row r="385">
      <x:c r="A385" s="10" t="n">
        <x:f>RANK.EQ(B385,$B$2:$B$446,0)+COUNTIF($B$2:B385,B385)-1</x:f>
        <x:v>384</x:v>
      </x:c>
      <x:c r="B385" s="22" t="n">
        <x:f>I385+K385+M385+O385</x:f>
        <x:v>70</x:v>
      </x:c>
      <x:c r="C385" s="10" t="str">
        <x:f>IF(B385&gt;=93,"A — Highest",IF(B385&gt;=85,"B — Very strong",IF(B385&gt;=75,"C — Strong",IF(B385&gt;=65,"D — Useful","E — Supporting"))))</x:f>
        <x:v>D — Useful</x:v>
      </x:c>
      <x:c r="D385" s="10" t="str">
        <x:v>Forest pests on the move: Adapting horizon scanning methodology to assess climate-driven range expansion in forest pests</x:v>
      </x:c>
      <x:c r="E385" s="10" t="str">
        <x:v>2026-08-17</x:v>
      </x:c>
      <x:c r="F385" s="10" t="str">
        <x:v>B</x:v>
      </x:c>
      <x:c r="G385" s="10" t="str">
        <x:v>ARPHA Conference Abstracts</x:v>
      </x:c>
      <x:c r="H385" s="10" t="str">
        <x:v>Deah Lieurance, Annette Evans, Julie Lockwood, Cesilia Aguilar, Sofia Al-Shayeb, Coleman Earnest, Laura Meyerson, Alanna Richman, et al.</x:v>
      </x:c>
      <x:c r="I385" s="10" t="n">
        <x:v>32</x:v>
      </x:c>
      <x:c r="J385" s="10" t="str">
        <x:v>Peer-reviewed journal</x:v>
      </x:c>
      <x:c r="K385" s="10" t="n">
        <x:v>18</x:v>
      </x:c>
      <x:c r="L385" s="10" t="str">
        <x:v>Relevant by comparison / implication</x:v>
      </x:c>
      <x:c r="M385" s="10" t="n">
        <x:v>15</x:v>
      </x:c>
      <x:c r="N385" s="10" t="str">
        <x:v>Peer-reviewed article</x:v>
      </x:c>
      <x:c r="O385" s="10" t="n">
        <x:v>5</x:v>
      </x:c>
      <x:c r="P385" s="10" t="str">
        <x:v>peer-reviewed article</x:v>
      </x:c>
      <x:c r="Q385" s="10" t="str">
        <x:v>derived</x:v>
      </x:c>
      <x:c r="R385" s="10" t="str">
        <x:v>https://doi.org/10.3897/aca.9.e202193</x:v>
      </x:c>
    </x:row>
    <x:row r="386">
      <x:c r="A386" s="10" t="n">
        <x:f>RANK.EQ(B386,$B$2:$B$446,0)+COUNTIF($B$2:B386,B386)-1</x:f>
        <x:v>385</x:v>
      </x:c>
      <x:c r="B386" s="22" t="n">
        <x:f>I386+K386+M386+O386</x:f>
        <x:v>70</x:v>
      </x:c>
      <x:c r="C386" s="10" t="str">
        <x:f>IF(B386&gt;=93,"A — Highest",IF(B386&gt;=85,"B — Very strong",IF(B386&gt;=75,"C — Strong",IF(B386&gt;=65,"D — Useful","E — Supporting"))))</x:f>
        <x:v>D — Useful</x:v>
      </x:c>
      <x:c r="D386" s="10" t="str">
        <x:v>Chips Act 2.0, Part 1: Europe’s second semiconductor push</x:v>
      </x:c>
      <x:c r="E386" s="10" t="str">
        <x:v>2026-08-12</x:v>
      </x:c>
      <x:c r="F386" s="10" t="str">
        <x:v>A</x:v>
      </x:c>
      <x:c r="G386" s="10" t="str">
        <x:v>eeNews Europe</x:v>
      </x:c>
      <x:c r="H386" s="10" t="str">
        <x:v>eeNews Europe</x:v>
      </x:c>
      <x:c r="I386" s="10" t="n">
        <x:v>26</x:v>
      </x:c>
      <x:c r="J386" s="10" t="str">
        <x:v>Other source</x:v>
      </x:c>
      <x:c r="K386" s="10" t="n">
        <x:v>25</x:v>
      </x:c>
      <x:c r="L386" s="10" t="str">
        <x:v>Direct EU relevance</x:v>
      </x:c>
      <x:c r="M386" s="10" t="n">
        <x:v>14</x:v>
      </x:c>
      <x:c r="N386" s="10" t="str">
        <x:v>Manually verified research/policy source</x:v>
      </x:c>
      <x:c r="O386" s="10" t="n">
        <x:v>5</x:v>
      </x:c>
      <x:c r="P386" s="10" t="str">
        <x:v>manual-verified scholarly/policy source</x:v>
      </x:c>
      <x:c r="Q386" s="10" t="str">
        <x:v>direct</x:v>
      </x:c>
      <x:c r="R386" s="10" t="str">
        <x:v>https://www.eenewseurope.com/en/chips-act-2-europe-second-semiconductor-push/</x:v>
      </x:c>
    </x:row>
    <x:row r="387">
      <x:c r="A387" s="10" t="n">
        <x:f>RANK.EQ(B387,$B$2:$B$446,0)+COUNTIF($B$2:B387,B387)-1</x:f>
        <x:v>386</x:v>
      </x:c>
      <x:c r="B387" s="22" t="n">
        <x:f>I387+K387+M387+O387</x:f>
        <x:v>70</x:v>
      </x:c>
      <x:c r="C387" s="10" t="str">
        <x:f>IF(B387&gt;=93,"A — Highest",IF(B387&gt;=85,"B — Very strong",IF(B387&gt;=75,"C — Strong",IF(B387&gt;=65,"D — Useful","E — Supporting"))))</x:f>
        <x:v>D — Useful</x:v>
      </x:c>
      <x:c r="D387" s="10" t="str">
        <x:v>Design and Application of Weak Signal Detection Method Based on the Four-Dimensional Bistable Stochastic Resonance System</x:v>
      </x:c>
      <x:c r="E387" s="10" t="str">
        <x:v>2026-07-18</x:v>
      </x:c>
      <x:c r="F387" s="10" t="str">
        <x:v>B</x:v>
      </x:c>
      <x:c r="G387" s="10" t="str">
        <x:v>Fluctuation and Noise Letters</x:v>
      </x:c>
      <x:c r="H387" s="10" t="str">
        <x:v>Qi Chen, Wenxin Yu</x:v>
      </x:c>
      <x:c r="I387" s="10" t="n">
        <x:v>32</x:v>
      </x:c>
      <x:c r="J387" s="10" t="str">
        <x:v>Peer-reviewed journal</x:v>
      </x:c>
      <x:c r="K387" s="10" t="n">
        <x:v>18</x:v>
      </x:c>
      <x:c r="L387" s="10" t="str">
        <x:v>Relevant by comparison / implication</x:v>
      </x:c>
      <x:c r="M387" s="10" t="n">
        <x:v>15</x:v>
      </x:c>
      <x:c r="N387" s="10" t="str">
        <x:v>Peer-reviewed article</x:v>
      </x:c>
      <x:c r="O387" s="10" t="n">
        <x:v>5</x:v>
      </x:c>
      <x:c r="P387" s="10" t="str">
        <x:v>peer-reviewed article</x:v>
      </x:c>
      <x:c r="Q387" s="10" t="str">
        <x:v>derived</x:v>
      </x:c>
      <x:c r="R387" s="10" t="str">
        <x:v>https://doi.org/10.1142/s0219477526500525</x:v>
      </x:c>
    </x:row>
    <x:row r="388">
      <x:c r="A388" s="10" t="n">
        <x:f>RANK.EQ(B388,$B$2:$B$446,0)+COUNTIF($B$2:B388,B388)-1</x:f>
        <x:v>387</x:v>
      </x:c>
      <x:c r="B388" s="22" t="n">
        <x:f>I388+K388+M388+O388</x:f>
        <x:v>70</x:v>
      </x:c>
      <x:c r="C388" s="10" t="str">
        <x:f>IF(B388&gt;=93,"A — Highest",IF(B388&gt;=85,"B — Very strong",IF(B388&gt;=75,"C — Strong",IF(B388&gt;=65,"D — Useful","E — Supporting"))))</x:f>
        <x:v>D — Useful</x:v>
      </x:c>
      <x:c r="D388" s="10" t="str">
        <x:v>Does Europe Really Have a Plan for Tech Sovereignty? Tech Policy Press (AI hype and European policymaking series)</x:v>
      </x:c>
      <x:c r="E388" s="10" t="str">
        <x:v>2026-06-29</x:v>
      </x:c>
      <x:c r="F388" s="10" t="str">
        <x:v>A</x:v>
      </x:c>
      <x:c r="G388" s="10" t="str">
        <x:v>Tech Policy Press</x:v>
      </x:c>
      <x:c r="H388" s="10" t="str">
        <x:v>Cecilia Rikap</x:v>
      </x:c>
      <x:c r="I388" s="10" t="n">
        <x:v>26</x:v>
      </x:c>
      <x:c r="J388" s="10" t="str">
        <x:v>Other source</x:v>
      </x:c>
      <x:c r="K388" s="10" t="n">
        <x:v>25</x:v>
      </x:c>
      <x:c r="L388" s="10" t="str">
        <x:v>Direct EU relevance</x:v>
      </x:c>
      <x:c r="M388" s="10" t="n">
        <x:v>14</x:v>
      </x:c>
      <x:c r="N388" s="10" t="str">
        <x:v>Manually verified research/policy source</x:v>
      </x:c>
      <x:c r="O388" s="10" t="n">
        <x:v>5</x:v>
      </x:c>
      <x:c r="P388" s="10" t="str">
        <x:v>manual-verified scholarly/policy source</x:v>
      </x:c>
      <x:c r="Q388" s="10" t="str">
        <x:v>direct</x:v>
      </x:c>
      <x:c r="R388" s="10" t="str">
        <x:v>https://www.techpolicy.press/does-europe-really-have-a-plan-for-tech-sovereignty/</x:v>
      </x:c>
    </x:row>
    <x:row r="389">
      <x:c r="A389" s="10" t="n">
        <x:f>RANK.EQ(B389,$B$2:$B$446,0)+COUNTIF($B$2:B389,B389)-1</x:f>
        <x:v>388</x:v>
      </x:c>
      <x:c r="B389" s="22" t="n">
        <x:f>I389+K389+M389+O389</x:f>
        <x:v>70</x:v>
      </x:c>
      <x:c r="C389" s="10" t="str">
        <x:f>IF(B389&gt;=93,"A — Highest",IF(B389&gt;=85,"B — Very strong",IF(B389&gt;=75,"C — Strong",IF(B389&gt;=65,"D — Useful","E — Supporting"))))</x:f>
        <x:v>D — Useful</x:v>
      </x:c>
      <x:c r="D389" s="10" t="str">
        <x:v>Doctoral collaboration with society: Drivers, success factors and ways forward</x:v>
      </x:c>
      <x:c r="E389" s="10" t="str">
        <x:v>2026-06-18</x:v>
      </x:c>
      <x:c r="F389" s="10" t="str">
        <x:v>A</x:v>
      </x:c>
      <x:c r="G389" s="10" t="str">
        <x:v>European University Association</x:v>
      </x:c>
      <x:c r="H389" s="10" t="str">
        <x:v>Katerina Topalidou</x:v>
      </x:c>
      <x:c r="I389" s="10" t="n">
        <x:v>26</x:v>
      </x:c>
      <x:c r="J389" s="10" t="str">
        <x:v>Other source</x:v>
      </x:c>
      <x:c r="K389" s="10" t="n">
        <x:v>25</x:v>
      </x:c>
      <x:c r="L389" s="10" t="str">
        <x:v>Direct EU relevance</x:v>
      </x:c>
      <x:c r="M389" s="10" t="n">
        <x:v>14</x:v>
      </x:c>
      <x:c r="N389" s="10" t="str">
        <x:v>Institutional report</x:v>
      </x:c>
      <x:c r="O389" s="10" t="n">
        <x:v>5</x:v>
      </x:c>
      <x:c r="P389" s="10" t="str">
        <x:v>institutional report</x:v>
      </x:c>
      <x:c r="Q389" s="10" t="str">
        <x:v>direct</x:v>
      </x:c>
      <x:c r="R389" s="10" t="str">
        <x:v>https://eua.eu/images/publications/Publication_PDFs/CDE_TPG_Report_Doctoral_collaboration_with_society_online.pdf</x:v>
      </x:c>
    </x:row>
    <x:row r="390">
      <x:c r="A390" s="10" t="n">
        <x:f>RANK.EQ(B390,$B$2:$B$446,0)+COUNTIF($B$2:B390,B390)-1</x:f>
        <x:v>389</x:v>
      </x:c>
      <x:c r="B390" s="22" t="n">
        <x:f>I390+K390+M390+O390</x:f>
        <x:v>70</x:v>
      </x:c>
      <x:c r="C390" s="10" t="str">
        <x:f>IF(B390&gt;=93,"A — Highest",IF(B390&gt;=85,"B — Very strong",IF(B390&gt;=75,"C — Strong",IF(B390&gt;=65,"D — Useful","E — Supporting"))))</x:f>
        <x:v>D — Useful</x:v>
      </x:c>
      <x:c r="D390" s="10" t="str">
        <x:v>Strategic Leadership in Multinational FMCG Corporations: Managing Regional Market Complexity in Emerging Economies</x:v>
      </x:c>
      <x:c r="E390" s="10" t="str">
        <x:v>2026-06-01</x:v>
      </x:c>
      <x:c r="F390" s="10" t="str">
        <x:v>B</x:v>
      </x:c>
      <x:c r="G390" s="10" t="str">
        <x:v>Research Journal in Business and Economics</x:v>
      </x:c>
      <x:c r="H390" s="10" t="str">
        <x:v>Konstantin Yakimov</x:v>
      </x:c>
      <x:c r="I390" s="10" t="n">
        <x:v>32</x:v>
      </x:c>
      <x:c r="J390" s="10" t="str">
        <x:v>Peer-reviewed journal</x:v>
      </x:c>
      <x:c r="K390" s="10" t="n">
        <x:v>18</x:v>
      </x:c>
      <x:c r="L390" s="10" t="str">
        <x:v>Relevant by comparison / implication</x:v>
      </x:c>
      <x:c r="M390" s="10" t="n">
        <x:v>15</x:v>
      </x:c>
      <x:c r="N390" s="10" t="str">
        <x:v>Peer-reviewed article</x:v>
      </x:c>
      <x:c r="O390" s="10" t="n">
        <x:v>5</x:v>
      </x:c>
      <x:c r="P390" s="10" t="str">
        <x:v>peer-reviewed article</x:v>
      </x:c>
      <x:c r="Q390" s="10" t="str">
        <x:v>derived</x:v>
      </x:c>
      <x:c r="R390" s="10" t="str">
        <x:v>https://doi.org/10.61424/rjbe.v4i2.889</x:v>
      </x:c>
    </x:row>
    <x:row r="391">
      <x:c r="A391" s="10" t="n">
        <x:f>RANK.EQ(B391,$B$2:$B$446,0)+COUNTIF($B$2:B391,B391)-1</x:f>
        <x:v>390</x:v>
      </x:c>
      <x:c r="B391" s="22" t="n">
        <x:f>I391+K391+M391+O391</x:f>
        <x:v>70</x:v>
      </x:c>
      <x:c r="C391" s="10" t="str">
        <x:f>IF(B391&gt;=93,"A — Highest",IF(B391&gt;=85,"B — Very strong",IF(B391&gt;=75,"C — Strong",IF(B391&gt;=65,"D — Useful","E — Supporting"))))</x:f>
        <x:v>D — Useful</x:v>
      </x:c>
      <x:c r="D391" s="10" t="str">
        <x:v>Transformative pathways toward just and sustainable urban mobility in Kampala: A backcasting and adaptation approach</x:v>
      </x:c>
      <x:c r="E391" s="10" t="str">
        <x:v>2026-06-01</x:v>
      </x:c>
      <x:c r="F391" s="10" t="str">
        <x:v>B</x:v>
      </x:c>
      <x:c r="G391" s="10" t="str">
        <x:v>Journal of Urban Mobility</x:v>
      </x:c>
      <x:c r="H391" s="10" t="str">
        <x:v>Calvin Rapa, Emmanuel Tolulope Busayo</x:v>
      </x:c>
      <x:c r="I391" s="10" t="n">
        <x:v>32</x:v>
      </x:c>
      <x:c r="J391" s="10" t="str">
        <x:v>Peer-reviewed journal</x:v>
      </x:c>
      <x:c r="K391" s="10" t="n">
        <x:v>18</x:v>
      </x:c>
      <x:c r="L391" s="10" t="str">
        <x:v>Relevant by comparison / implication</x:v>
      </x:c>
      <x:c r="M391" s="10" t="n">
        <x:v>15</x:v>
      </x:c>
      <x:c r="N391" s="10" t="str">
        <x:v>Peer-reviewed article</x:v>
      </x:c>
      <x:c r="O391" s="10" t="n">
        <x:v>5</x:v>
      </x:c>
      <x:c r="P391" s="10" t="str">
        <x:v>peer-reviewed article</x:v>
      </x:c>
      <x:c r="Q391" s="10" t="str">
        <x:v>derived</x:v>
      </x:c>
      <x:c r="R391" s="10" t="str">
        <x:v>https://doi.org/10.1016/j.urbmob.2026.100236</x:v>
      </x:c>
    </x:row>
    <x:row r="392">
      <x:c r="A392" s="10" t="n">
        <x:f>RANK.EQ(B392,$B$2:$B$446,0)+COUNTIF($B$2:B392,B392)-1</x:f>
        <x:v>391</x:v>
      </x:c>
      <x:c r="B392" s="22" t="n">
        <x:f>I392+K392+M392+O392</x:f>
        <x:v>70</x:v>
      </x:c>
      <x:c r="C392" s="10" t="str">
        <x:f>IF(B392&gt;=93,"A — Highest",IF(B392&gt;=85,"B — Very strong",IF(B392&gt;=75,"C — Strong",IF(B392&gt;=65,"D — Useful","E — Supporting"))))</x:f>
        <x:v>D — Useful</x:v>
      </x:c>
      <x:c r="D392" s="10" t="str">
        <x:v>A sectoral strategic roadmapping framework for combining regulatory and industry perspectives: the case of Advanced Air Mobility in Canada</x:v>
      </x:c>
      <x:c r="E392" s="10" t="str">
        <x:v>2026-05-28</x:v>
      </x:c>
      <x:c r="F392" s="10" t="str">
        <x:v>B</x:v>
      </x:c>
      <x:c r="G392" s="10" t="str">
        <x:v>Aviation</x:v>
      </x:c>
      <x:c r="H392" s="10" t="str">
        <x:v>Jeremy Laplante, Fabiano Armellini, Isabelle Deschamps</x:v>
      </x:c>
      <x:c r="I392" s="10" t="n">
        <x:v>32</x:v>
      </x:c>
      <x:c r="J392" s="10" t="str">
        <x:v>Peer-reviewed journal</x:v>
      </x:c>
      <x:c r="K392" s="10" t="n">
        <x:v>18</x:v>
      </x:c>
      <x:c r="L392" s="10" t="str">
        <x:v>Relevant by comparison / implication</x:v>
      </x:c>
      <x:c r="M392" s="10" t="n">
        <x:v>15</x:v>
      </x:c>
      <x:c r="N392" s="10" t="str">
        <x:v>Peer-reviewed article</x:v>
      </x:c>
      <x:c r="O392" s="10" t="n">
        <x:v>5</x:v>
      </x:c>
      <x:c r="P392" s="10" t="str">
        <x:v>peer-reviewed article</x:v>
      </x:c>
      <x:c r="Q392" s="10" t="str">
        <x:v>derived</x:v>
      </x:c>
      <x:c r="R392" s="10" t="str">
        <x:v>https://doi.org/10.3846/aviation.2026.26878</x:v>
      </x:c>
    </x:row>
    <x:row r="393">
      <x:c r="A393" s="10" t="n">
        <x:f>RANK.EQ(B393,$B$2:$B$446,0)+COUNTIF($B$2:B393,B393)-1</x:f>
        <x:v>392</x:v>
      </x:c>
      <x:c r="B393" s="22" t="n">
        <x:f>I393+K393+M393+O393</x:f>
        <x:v>70</x:v>
      </x:c>
      <x:c r="C393" s="10" t="str">
        <x:f>IF(B393&gt;=93,"A — Highest",IF(B393&gt;=85,"B — Very strong",IF(B393&gt;=75,"C — Strong",IF(B393&gt;=65,"D — Useful","E — Supporting"))))</x:f>
        <x:v>D — Useful</x:v>
      </x:c>
      <x:c r="D393" s="10" t="str">
        <x:v>EU Defence Series: European Autonomy in Orbit</x:v>
      </x:c>
      <x:c r="E393" s="10" t="str">
        <x:v>2026-05-26</x:v>
      </x:c>
      <x:c r="F393" s="10" t="str">
        <x:v>A</x:v>
      </x:c>
      <x:c r="G393" s="10" t="str">
        <x:v>International Centre for Defence and Security (ICDS)</x:v>
      </x:c>
      <x:c r="H393" s="10" t="str">
        <x:v>Béatrice Hainaut</x:v>
      </x:c>
      <x:c r="I393" s="10" t="n">
        <x:v>26</x:v>
      </x:c>
      <x:c r="J393" s="10" t="str">
        <x:v>Other source</x:v>
      </x:c>
      <x:c r="K393" s="10" t="n">
        <x:v>25</x:v>
      </x:c>
      <x:c r="L393" s="10" t="str">
        <x:v>Direct EU relevance</x:v>
      </x:c>
      <x:c r="M393" s="10" t="n">
        <x:v>14</x:v>
      </x:c>
      <x:c r="N393" s="10" t="str">
        <x:v>Manually verified research/policy source</x:v>
      </x:c>
      <x:c r="O393" s="10" t="n">
        <x:v>5</x:v>
      </x:c>
      <x:c r="P393" s="10" t="str">
        <x:v>manual-verified scholarly/policy source</x:v>
      </x:c>
      <x:c r="Q393" s="10" t="str">
        <x:v>direct</x:v>
      </x:c>
      <x:c r="R393" s="10" t="str">
        <x:v>https://icds.ee/en/eu-defence-series-european-autonomy-in-orbit/</x:v>
      </x:c>
    </x:row>
    <x:row r="394">
      <x:c r="A394" s="10" t="n">
        <x:f>RANK.EQ(B394,$B$2:$B$446,0)+COUNTIF($B$2:B394,B394)-1</x:f>
        <x:v>393</x:v>
      </x:c>
      <x:c r="B394" s="22" t="n">
        <x:f>I394+K394+M394+O394</x:f>
        <x:v>70</x:v>
      </x:c>
      <x:c r="C394" s="10" t="str">
        <x:f>IF(B394&gt;=93,"A — Highest",IF(B394&gt;=85,"B — Very strong",IF(B394&gt;=75,"C — Strong",IF(B394&gt;=65,"D — Useful","E — Supporting"))))</x:f>
        <x:v>D — Useful</x:v>
      </x:c>
      <x:c r="D394" s="10" t="str">
        <x:v>Scientific foundations of Horizon Scanning methodology for early signal identification in healthcare</x:v>
      </x:c>
      <x:c r="E394" s="10" t="str">
        <x:v>2026-05-26</x:v>
      </x:c>
      <x:c r="F394" s="10" t="str">
        <x:v>B</x:v>
      </x:c>
      <x:c r="G394" s="10" t="str">
        <x:v>Farmatsevtychnyi zhurnal</x:v>
      </x:c>
      <x:c r="H394" s="10" t="str">
        <x:v>M. P. Martynchuk, K. L. Kosiachenko</x:v>
      </x:c>
      <x:c r="I394" s="10" t="n">
        <x:v>32</x:v>
      </x:c>
      <x:c r="J394" s="10" t="str">
        <x:v>Peer-reviewed journal</x:v>
      </x:c>
      <x:c r="K394" s="10" t="n">
        <x:v>18</x:v>
      </x:c>
      <x:c r="L394" s="10" t="str">
        <x:v>Relevant by comparison / implication</x:v>
      </x:c>
      <x:c r="M394" s="10" t="n">
        <x:v>15</x:v>
      </x:c>
      <x:c r="N394" s="10" t="str">
        <x:v>Peer-reviewed article</x:v>
      </x:c>
      <x:c r="O394" s="10" t="n">
        <x:v>5</x:v>
      </x:c>
      <x:c r="P394" s="10" t="str">
        <x:v>peer-reviewed article</x:v>
      </x:c>
      <x:c r="Q394" s="10" t="str">
        <x:v>derived</x:v>
      </x:c>
      <x:c r="R394" s="10" t="str">
        <x:v>https://doi.org/10.32352/0367-3057.3.26.03</x:v>
      </x:c>
    </x:row>
    <x:row r="395">
      <x:c r="A395" s="10" t="n">
        <x:f>RANK.EQ(B395,$B$2:$B$446,0)+COUNTIF($B$2:B395,B395)-1</x:f>
        <x:v>394</x:v>
      </x:c>
      <x:c r="B395" s="22" t="n">
        <x:f>I395+K395+M395+O395</x:f>
        <x:v>70</x:v>
      </x:c>
      <x:c r="C395" s="10" t="str">
        <x:f>IF(B395&gt;=93,"A — Highest",IF(B395&gt;=85,"B — Very strong",IF(B395&gt;=75,"C — Strong",IF(B395&gt;=65,"D — Useful","E — Supporting"))))</x:f>
        <x:v>D — Useful</x:v>
      </x:c>
      <x:c r="D395" s="10" t="str">
        <x:v>THE IMPORTANCE OF FORESIGHT METHODS IN DEVELOPING ECO-FORESIGHT COMPETENCE OF FUTURE ECOLOGISTS</x:v>
      </x:c>
      <x:c r="E395" s="10" t="str">
        <x:v>2026-05-14</x:v>
      </x:c>
      <x:c r="F395" s="10" t="str">
        <x:v>B</x:v>
      </x:c>
      <x:c r="G395" s="10" t="str">
        <x:v>Advances in Science and Environment</x:v>
      </x:c>
      <x:c r="H395" s="10" t="str">
        <x:v>Shomurotov Bahrom Khusanovich, Safarov Anvar Abdinazarovich, Jonqobilov Bektemir Ulug’murodovich</x:v>
      </x:c>
      <x:c r="I395" s="10" t="n">
        <x:v>32</x:v>
      </x:c>
      <x:c r="J395" s="10" t="str">
        <x:v>Peer-reviewed journal</x:v>
      </x:c>
      <x:c r="K395" s="10" t="n">
        <x:v>18</x:v>
      </x:c>
      <x:c r="L395" s="10" t="str">
        <x:v>Relevant by comparison / implication</x:v>
      </x:c>
      <x:c r="M395" s="10" t="n">
        <x:v>15</x:v>
      </x:c>
      <x:c r="N395" s="10" t="str">
        <x:v>Peer-reviewed article</x:v>
      </x:c>
      <x:c r="O395" s="10" t="n">
        <x:v>5</x:v>
      </x:c>
      <x:c r="P395" s="10" t="str">
        <x:v>peer-reviewed article</x:v>
      </x:c>
      <x:c r="Q395" s="10" t="str">
        <x:v>derived</x:v>
      </x:c>
      <x:c r="R395" s="10" t="str">
        <x:v>https://doi.org/10.70728/envire.v02.i08.008</x:v>
      </x:c>
    </x:row>
    <x:row r="396">
      <x:c r="A396" s="10" t="n">
        <x:f>RANK.EQ(B396,$B$2:$B$446,0)+COUNTIF($B$2:B396,B396)-1</x:f>
        <x:v>395</x:v>
      </x:c>
      <x:c r="B396" s="22" t="n">
        <x:f>I396+K396+M396+O396</x:f>
        <x:v>69</x:v>
      </x:c>
      <x:c r="C396" s="10" t="str">
        <x:f>IF(B396&gt;=93,"A — Highest",IF(B396&gt;=85,"B — Very strong",IF(B396&gt;=75,"C — Strong",IF(B396&gt;=65,"D — Useful","E — Supporting"))))</x:f>
        <x:v>D — Useful</x:v>
      </x:c>
      <x:c r="D396" s="10" t="str">
        <x:v>Commission appoints Maive Rute as Deputy Director-General of the Joint Research Centre</x:v>
      </x:c>
      <x:c r="E396" s="10" t="str">
        <x:v>2026-09-01</x:v>
      </x:c>
      <x:c r="F396" s="10" t="str">
        <x:v>A</x:v>
      </x:c>
      <x:c r="G396" s="10" t="str">
        <x:v>ERA Portal Austria</x:v>
      </x:c>
      <x:c r="H396" s="10" t="str">
        <x:v>ERA Portal Austria</x:v>
      </x:c>
      <x:c r="I396" s="10" t="n">
        <x:v>26</x:v>
      </x:c>
      <x:c r="J396" s="10" t="str">
        <x:v>Other source</x:v>
      </x:c>
      <x:c r="K396" s="10" t="n">
        <x:v>25</x:v>
      </x:c>
      <x:c r="L396" s="10" t="str">
        <x:v>Direct EU relevance</x:v>
      </x:c>
      <x:c r="M396" s="10" t="n">
        <x:v>13</x:v>
      </x:c>
      <x:c r="N396" s="10" t="str">
        <x:v>Research/policy paper</x:v>
      </x:c>
      <x:c r="O396" s="10" t="n">
        <x:v>5</x:v>
      </x:c>
      <x:c r="P396" s="10" t="str">
        <x:v>research/policy paper</x:v>
      </x:c>
      <x:c r="Q396" s="10" t="str">
        <x:v>direct</x:v>
      </x:c>
      <x:c r="R396" s="10" t="str">
        <x:v>https://era.gv.at/news-items/commission-appoints-maive-rute-as-deputy-director-general-of-the-joint-research-centre/</x:v>
      </x:c>
    </x:row>
    <x:row r="397">
      <x:c r="A397" s="10" t="n">
        <x:f>RANK.EQ(B397,$B$2:$B$446,0)+COUNTIF($B$2:B397,B397)-1</x:f>
        <x:v>396</x:v>
      </x:c>
      <x:c r="B397" s="22" t="n">
        <x:f>I397+K397+M397+O397</x:f>
        <x:v>69</x:v>
      </x:c>
      <x:c r="C397" s="10" t="str">
        <x:f>IF(B397&gt;=93,"A — Highest",IF(B397&gt;=85,"B — Very strong",IF(B397&gt;=75,"C — Strong",IF(B397&gt;=65,"D — Useful","E — Supporting"))))</x:f>
        <x:v>D — Useful</x:v>
      </x:c>
      <x:c r="D397" s="10" t="str">
        <x:v>EC launches call for evidence or future EIT Regulation and Strategic Innovation Agenda (2028-2034)</x:v>
      </x:c>
      <x:c r="E397" s="10" t="str">
        <x:v>2026-08-12</x:v>
      </x:c>
      <x:c r="F397" s="10" t="str">
        <x:v>A</x:v>
      </x:c>
      <x:c r="G397" s="10" t="str">
        <x:v>ERA Portal Austria</x:v>
      </x:c>
      <x:c r="H397" s="10" t="str">
        <x:v>ERA Portal Austria</x:v>
      </x:c>
      <x:c r="I397" s="10" t="n">
        <x:v>26</x:v>
      </x:c>
      <x:c r="J397" s="10" t="str">
        <x:v>Other source</x:v>
      </x:c>
      <x:c r="K397" s="10" t="n">
        <x:v>25</x:v>
      </x:c>
      <x:c r="L397" s="10" t="str">
        <x:v>Direct EU relevance</x:v>
      </x:c>
      <x:c r="M397" s="10" t="n">
        <x:v>13</x:v>
      </x:c>
      <x:c r="N397" s="10" t="str">
        <x:v>Research/policy paper</x:v>
      </x:c>
      <x:c r="O397" s="10" t="n">
        <x:v>5</x:v>
      </x:c>
      <x:c r="P397" s="10" t="str">
        <x:v>research/policy paper</x:v>
      </x:c>
      <x:c r="Q397" s="10" t="str">
        <x:v>direct</x:v>
      </x:c>
      <x:c r="R397" s="10" t="str">
        <x:v>https://era.gv.at/news-items/ec-launches-call-for-evidence-or-future-eit-regulation-and-strategic-innovation-agenda-2028-2034/</x:v>
      </x:c>
    </x:row>
    <x:row r="398">
      <x:c r="A398" s="10" t="n">
        <x:f>RANK.EQ(B398,$B$2:$B$446,0)+COUNTIF($B$2:B398,B398)-1</x:f>
        <x:v>397</x:v>
      </x:c>
      <x:c r="B398" s="22" t="n">
        <x:f>I398+K398+M398+O398</x:f>
        <x:v>69</x:v>
      </x:c>
      <x:c r="C398" s="10" t="str">
        <x:f>IF(B398&gt;=93,"A — Highest",IF(B398&gt;=85,"B — Very strong",IF(B398&gt;=75,"C — Strong",IF(B398&gt;=65,"D — Useful","E — Supporting"))))</x:f>
        <x:v>D — Useful</x:v>
      </x:c>
      <x:c r="D398" s="10" t="str">
        <x:v>EACEA publishes two reports highlighting higher education reform in EU partner countries</x:v>
      </x:c>
      <x:c r="E398" s="10" t="str">
        <x:v>2026-07-29</x:v>
      </x:c>
      <x:c r="F398" s="10" t="str">
        <x:v>A</x:v>
      </x:c>
      <x:c r="G398" s="10" t="str">
        <x:v>ERA Portal Austria</x:v>
      </x:c>
      <x:c r="H398" s="10" t="str">
        <x:v>ERA Portal Austria</x:v>
      </x:c>
      <x:c r="I398" s="10" t="n">
        <x:v>26</x:v>
      </x:c>
      <x:c r="J398" s="10" t="str">
        <x:v>Other source</x:v>
      </x:c>
      <x:c r="K398" s="10" t="n">
        <x:v>25</x:v>
      </x:c>
      <x:c r="L398" s="10" t="str">
        <x:v>Direct EU relevance</x:v>
      </x:c>
      <x:c r="M398" s="10" t="n">
        <x:v>13</x:v>
      </x:c>
      <x:c r="N398" s="10" t="str">
        <x:v>Research/policy paper</x:v>
      </x:c>
      <x:c r="O398" s="10" t="n">
        <x:v>5</x:v>
      </x:c>
      <x:c r="P398" s="10" t="str">
        <x:v>research/policy paper</x:v>
      </x:c>
      <x:c r="Q398" s="10" t="str">
        <x:v>direct</x:v>
      </x:c>
      <x:c r="R398" s="10" t="str">
        <x:v>https://era.gv.at/news-items/eacea-publishes-two-reports-highlighting-higher-education-reform-in-eu-partner-countries/</x:v>
      </x:c>
    </x:row>
    <x:row r="399">
      <x:c r="A399" s="10" t="n">
        <x:f>RANK.EQ(B399,$B$2:$B$446,0)+COUNTIF($B$2:B399,B399)-1</x:f>
        <x:v>398</x:v>
      </x:c>
      <x:c r="B399" s="22" t="n">
        <x:f>I399+K399+M399+O399</x:f>
        <x:v>69</x:v>
      </x:c>
      <x:c r="C399" s="10" t="str">
        <x:f>IF(B399&gt;=93,"A — Highest",IF(B399&gt;=85,"B — Very strong",IF(B399&gt;=75,"C — Strong",IF(B399&gt;=65,"D — Useful","E — Supporting"))))</x:f>
        <x:v>D — Useful</x:v>
      </x:c>
      <x:c r="D399" s="10" t="str">
        <x:v>European Research Ministers discuss how to maximise R&amp;I contribution to improve Europe’s competitiveness, security and prosperity</x:v>
      </x:c>
      <x:c r="E399" s="10" t="str">
        <x:v>2026-07-21</x:v>
      </x:c>
      <x:c r="F399" s="10" t="str">
        <x:v>A</x:v>
      </x:c>
      <x:c r="G399" s="10" t="str">
        <x:v>ERA Portal Austria</x:v>
      </x:c>
      <x:c r="H399" s="10" t="str">
        <x:v>ERA Portal Austria</x:v>
      </x:c>
      <x:c r="I399" s="10" t="n">
        <x:v>26</x:v>
      </x:c>
      <x:c r="J399" s="10" t="str">
        <x:v>Other source</x:v>
      </x:c>
      <x:c r="K399" s="10" t="n">
        <x:v>25</x:v>
      </x:c>
      <x:c r="L399" s="10" t="str">
        <x:v>Direct EU relevance</x:v>
      </x:c>
      <x:c r="M399" s="10" t="n">
        <x:v>13</x:v>
      </x:c>
      <x:c r="N399" s="10" t="str">
        <x:v>Research/policy paper</x:v>
      </x:c>
      <x:c r="O399" s="10" t="n">
        <x:v>5</x:v>
      </x:c>
      <x:c r="P399" s="10" t="str">
        <x:v>research/policy paper</x:v>
      </x:c>
      <x:c r="Q399" s="10" t="str">
        <x:v>direct</x:v>
      </x:c>
      <x:c r="R399" s="10" t="str">
        <x:v>https://era.gv.at/news-items/european-research-ministers-discuss-how-to-maximise-ri-contribution-to-improve-europes-competitiveness-security-and-prosperity/</x:v>
      </x:c>
    </x:row>
    <x:row r="400">
      <x:c r="A400" s="10" t="n">
        <x:f>RANK.EQ(B400,$B$2:$B$446,0)+COUNTIF($B$2:B400,B400)-1</x:f>
        <x:v>399</x:v>
      </x:c>
      <x:c r="B400" s="22" t="n">
        <x:f>I400+K400+M400+O400</x:f>
        <x:v>69</x:v>
      </x:c>
      <x:c r="C400" s="10" t="str">
        <x:f>IF(B400&gt;=93,"A — Highest",IF(B400&gt;=85,"B — Very strong",IF(B400&gt;=75,"C — Strong",IF(B400&gt;=65,"D — Useful","E — Supporting"))))</x:f>
        <x:v>D — Useful</x:v>
      </x:c>
      <x:c r="D400" s="10" t="str">
        <x:v>Governing with cities: Europe's overlooked governance infrastructure | Demos Helsinki</x:v>
      </x:c>
      <x:c r="E400" s="10" t="str">
        <x:v>2026-07-21</x:v>
      </x:c>
      <x:c r="F400" s="10" t="str">
        <x:v>A</x:v>
      </x:c>
      <x:c r="G400" s="10" t="str">
        <x:v>Demos Helsinki</x:v>
      </x:c>
      <x:c r="H400" s="10" t="str">
        <x:v>demoshelsinki</x:v>
      </x:c>
      <x:c r="I400" s="10" t="n">
        <x:v>26</x:v>
      </x:c>
      <x:c r="J400" s="10" t="str">
        <x:v>Other source</x:v>
      </x:c>
      <x:c r="K400" s="10" t="n">
        <x:v>25</x:v>
      </x:c>
      <x:c r="L400" s="10" t="str">
        <x:v>Direct EU relevance</x:v>
      </x:c>
      <x:c r="M400" s="10" t="n">
        <x:v>13</x:v>
      </x:c>
      <x:c r="N400" s="10" t="str">
        <x:v>Research/policy paper</x:v>
      </x:c>
      <x:c r="O400" s="10" t="n">
        <x:v>5</x:v>
      </x:c>
      <x:c r="P400" s="10" t="str">
        <x:v>research/policy paper</x:v>
      </x:c>
      <x:c r="Q400" s="10" t="str">
        <x:v>direct</x:v>
      </x:c>
      <x:c r="R400" s="10" t="str">
        <x:v>https://demoshelsinki.fi/governing-with-cities-europes-overlooked-governance-infrastructure/</x:v>
      </x:c>
    </x:row>
    <x:row r="401">
      <x:c r="A401" s="10" t="n">
        <x:f>RANK.EQ(B401,$B$2:$B$446,0)+COUNTIF($B$2:B401,B401)-1</x:f>
        <x:v>400</x:v>
      </x:c>
      <x:c r="B401" s="22" t="n">
        <x:f>I401+K401+M401+O401</x:f>
        <x:v>69</x:v>
      </x:c>
      <x:c r="C401" s="10" t="str">
        <x:f>IF(B401&gt;=93,"A — Highest",IF(B401&gt;=85,"B — Very strong",IF(B401&gt;=75,"C — Strong",IF(B401&gt;=65,"D — Useful","E — Supporting"))))</x:f>
        <x:v>D — Useful</x:v>
      </x:c>
      <x:c r="D401" s="10" t="str">
        <x:v>Science Europe presents Practical Guide to Implementing Responsible Research Assessment at RFOs</x:v>
      </x:c>
      <x:c r="E401" s="10" t="str">
        <x:v>2026-07-21</x:v>
      </x:c>
      <x:c r="F401" s="10" t="str">
        <x:v>A</x:v>
      </x:c>
      <x:c r="G401" s="10" t="str">
        <x:v>ERA Portal Austria</x:v>
      </x:c>
      <x:c r="H401" s="10" t="str">
        <x:v>ERA Portal Austria</x:v>
      </x:c>
      <x:c r="I401" s="10" t="n">
        <x:v>26</x:v>
      </x:c>
      <x:c r="J401" s="10" t="str">
        <x:v>Other source</x:v>
      </x:c>
      <x:c r="K401" s="10" t="n">
        <x:v>25</x:v>
      </x:c>
      <x:c r="L401" s="10" t="str">
        <x:v>Direct EU relevance</x:v>
      </x:c>
      <x:c r="M401" s="10" t="n">
        <x:v>13</x:v>
      </x:c>
      <x:c r="N401" s="10" t="str">
        <x:v>Research/policy paper</x:v>
      </x:c>
      <x:c r="O401" s="10" t="n">
        <x:v>5</x:v>
      </x:c>
      <x:c r="P401" s="10" t="str">
        <x:v>research/policy paper</x:v>
      </x:c>
      <x:c r="Q401" s="10" t="str">
        <x:v>direct</x:v>
      </x:c>
      <x:c r="R401" s="10" t="str">
        <x:v>https://era.gv.at/news-items/science-europe-presents-practical-guide-to-implementing-responsible-research-assessment-at-rfos/</x:v>
      </x:c>
    </x:row>
    <x:row r="402">
      <x:c r="A402" s="10" t="n">
        <x:f>RANK.EQ(B402,$B$2:$B$446,0)+COUNTIF($B$2:B402,B402)-1</x:f>
        <x:v>401</x:v>
      </x:c>
      <x:c r="B402" s="22" t="n">
        <x:f>I402+K402+M402+O402</x:f>
        <x:v>69</x:v>
      </x:c>
      <x:c r="C402" s="10" t="str">
        <x:f>IF(B402&gt;=93,"A — Highest",IF(B402&gt;=85,"B — Very strong",IF(B402&gt;=75,"C — Strong",IF(B402&gt;=65,"D — Useful","E — Supporting"))))</x:f>
        <x:v>D — Useful</x:v>
      </x:c>
      <x:c r="D402" s="10" t="str">
        <x:v>Commissioner Zaharieva leads dialogue on how to attract and retain research talent in Europe</x:v>
      </x:c>
      <x:c r="E402" s="10" t="str">
        <x:v>2026-07-10</x:v>
      </x:c>
      <x:c r="F402" s="10" t="str">
        <x:v>A</x:v>
      </x:c>
      <x:c r="G402" s="10" t="str">
        <x:v>ERA Portal Austria</x:v>
      </x:c>
      <x:c r="H402" s="10" t="str">
        <x:v>ERA Portal Austria</x:v>
      </x:c>
      <x:c r="I402" s="10" t="n">
        <x:v>26</x:v>
      </x:c>
      <x:c r="J402" s="10" t="str">
        <x:v>Other source</x:v>
      </x:c>
      <x:c r="K402" s="10" t="n">
        <x:v>25</x:v>
      </x:c>
      <x:c r="L402" s="10" t="str">
        <x:v>Direct EU relevance</x:v>
      </x:c>
      <x:c r="M402" s="10" t="n">
        <x:v>13</x:v>
      </x:c>
      <x:c r="N402" s="10" t="str">
        <x:v>Research/policy paper</x:v>
      </x:c>
      <x:c r="O402" s="10" t="n">
        <x:v>5</x:v>
      </x:c>
      <x:c r="P402" s="10" t="str">
        <x:v>research/policy paper</x:v>
      </x:c>
      <x:c r="Q402" s="10" t="str">
        <x:v>direct</x:v>
      </x:c>
      <x:c r="R402" s="10" t="str">
        <x:v>https://era.gv.at/news-items/commissioner-zaharieva-leads-dialogue-on-how-to-attract-and-retain-research-talent-in-europe/</x:v>
      </x:c>
    </x:row>
    <x:row r="403">
      <x:c r="A403" s="10" t="n">
        <x:f>RANK.EQ(B403,$B$2:$B$446,0)+COUNTIF($B$2:B403,B403)-1</x:f>
        <x:v>402</x:v>
      </x:c>
      <x:c r="B403" s="22" t="n">
        <x:f>I403+K403+M403+O403</x:f>
        <x:v>69</x:v>
      </x:c>
      <x:c r="C403" s="10" t="str">
        <x:f>IF(B403&gt;=93,"A — Highest",IF(B403&gt;=85,"B — Very strong",IF(B403&gt;=75,"C — Strong",IF(B403&gt;=65,"D — Useful","E — Supporting"))))</x:f>
        <x:v>D — Useful</x:v>
      </x:c>
      <x:c r="D403" s="10" t="str">
        <x:v>EIS 2026: Europe's innovation performance continues to improve</x:v>
      </x:c>
      <x:c r="E403" s="10" t="str">
        <x:v>2026-07-09</x:v>
      </x:c>
      <x:c r="F403" s="10" t="str">
        <x:v>A</x:v>
      </x:c>
      <x:c r="G403" s="10" t="str">
        <x:v>ERA Portal Austria</x:v>
      </x:c>
      <x:c r="H403" s="10" t="str">
        <x:v>ERA Portal Austria</x:v>
      </x:c>
      <x:c r="I403" s="10" t="n">
        <x:v>26</x:v>
      </x:c>
      <x:c r="J403" s="10" t="str">
        <x:v>Other source</x:v>
      </x:c>
      <x:c r="K403" s="10" t="n">
        <x:v>25</x:v>
      </x:c>
      <x:c r="L403" s="10" t="str">
        <x:v>Direct EU relevance</x:v>
      </x:c>
      <x:c r="M403" s="10" t="n">
        <x:v>13</x:v>
      </x:c>
      <x:c r="N403" s="10" t="str">
        <x:v>Research/policy paper</x:v>
      </x:c>
      <x:c r="O403" s="10" t="n">
        <x:v>5</x:v>
      </x:c>
      <x:c r="P403" s="10" t="str">
        <x:v>research/policy paper</x:v>
      </x:c>
      <x:c r="Q403" s="10" t="str">
        <x:v>direct</x:v>
      </x:c>
      <x:c r="R403" s="10" t="str">
        <x:v>https://era.gv.at/news-items/eis-2026-europes-innovation-performance-continues-to-improve/</x:v>
      </x:c>
    </x:row>
    <x:row r="404">
      <x:c r="A404" s="10" t="n">
        <x:f>RANK.EQ(B404,$B$2:$B$446,0)+COUNTIF($B$2:B404,B404)-1</x:f>
        <x:v>403</x:v>
      </x:c>
      <x:c r="B404" s="22" t="n">
        <x:f>I404+K404+M404+O404</x:f>
        <x:v>69</x:v>
      </x:c>
      <x:c r="C404" s="10" t="str">
        <x:f>IF(B404&gt;=93,"A — Highest",IF(B404&gt;=85,"B — Very strong",IF(B404&gt;=75,"C — Strong",IF(B404&gt;=65,"D — Useful","E — Supporting"))))</x:f>
        <x:v>D — Useful</x:v>
      </x:c>
      <x:c r="D404" s="10" t="str">
        <x:v>EC's Call for evidence on European ocean research and innovation strategy is closing soon</x:v>
      </x:c>
      <x:c r="E404" s="10" t="str">
        <x:v>2026-06-15</x:v>
      </x:c>
      <x:c r="F404" s="10" t="str">
        <x:v>A</x:v>
      </x:c>
      <x:c r="G404" s="10" t="str">
        <x:v>ERA Portal Austria</x:v>
      </x:c>
      <x:c r="H404" s="10" t="str">
        <x:v>ERA Portal Austria</x:v>
      </x:c>
      <x:c r="I404" s="10" t="n">
        <x:v>26</x:v>
      </x:c>
      <x:c r="J404" s="10" t="str">
        <x:v>Other source</x:v>
      </x:c>
      <x:c r="K404" s="10" t="n">
        <x:v>25</x:v>
      </x:c>
      <x:c r="L404" s="10" t="str">
        <x:v>Direct EU relevance</x:v>
      </x:c>
      <x:c r="M404" s="10" t="n">
        <x:v>13</x:v>
      </x:c>
      <x:c r="N404" s="10" t="str">
        <x:v>Research/policy paper</x:v>
      </x:c>
      <x:c r="O404" s="10" t="n">
        <x:v>5</x:v>
      </x:c>
      <x:c r="P404" s="10" t="str">
        <x:v>research/policy paper</x:v>
      </x:c>
      <x:c r="Q404" s="10" t="str">
        <x:v>direct</x:v>
      </x:c>
      <x:c r="R404" s="10" t="str">
        <x:v>https://era.gv.at/news-items/ecs-call-for-evidence-on-european-ocean-research-and-innovation-strategy-is-closing-soon/</x:v>
      </x:c>
    </x:row>
    <x:row r="405">
      <x:c r="A405" s="10" t="n">
        <x:f>RANK.EQ(B405,$B$2:$B$446,0)+COUNTIF($B$2:B405,B405)-1</x:f>
        <x:v>404</x:v>
      </x:c>
      <x:c r="B405" s="22" t="n">
        <x:f>I405+K405+M405+O405</x:f>
        <x:v>69</x:v>
      </x:c>
      <x:c r="C405" s="10" t="str">
        <x:f>IF(B405&gt;=93,"A — Highest",IF(B405&gt;=85,"B — Very strong",IF(B405&gt;=75,"C — Strong",IF(B405&gt;=65,"D — Useful","E — Supporting"))))</x:f>
        <x:v>D — Useful</x:v>
      </x:c>
      <x:c r="D405" s="10" t="str">
        <x:v>How the European Commission aims to promote the EU quantum sector through the Cloud and AI Development Act</x:v>
      </x:c>
      <x:c r="E405" s="10" t="str">
        <x:v>2026-06-15</x:v>
      </x:c>
      <x:c r="F405" s="10" t="str">
        <x:v>A</x:v>
      </x:c>
      <x:c r="G405" s="10" t="str">
        <x:v>Inside Global Tech.</x:v>
      </x:c>
      <x:c r="H405" s="10" t="str">
        <x:v>Inside Global Tech.</x:v>
      </x:c>
      <x:c r="I405" s="10" t="n">
        <x:v>26</x:v>
      </x:c>
      <x:c r="J405" s="10" t="str">
        <x:v>Other source</x:v>
      </x:c>
      <x:c r="K405" s="10" t="n">
        <x:v>25</x:v>
      </x:c>
      <x:c r="L405" s="10" t="str">
        <x:v>Direct EU relevance</x:v>
      </x:c>
      <x:c r="M405" s="10" t="n">
        <x:v>13</x:v>
      </x:c>
      <x:c r="N405" s="10" t="str">
        <x:v>Research/policy paper</x:v>
      </x:c>
      <x:c r="O405" s="10" t="n">
        <x:v>5</x:v>
      </x:c>
      <x:c r="P405" s="10" t="str">
        <x:v>research/policy paper</x:v>
      </x:c>
      <x:c r="Q405" s="10" t="str">
        <x:v>direct</x:v>
      </x:c>
      <x:c r="R405" s="10" t="str">
        <x:v>https://www.insideglobaltech.com/2026/06/15/how-the-european-commission-aims-to-promote-the-eu-quantum-sector-through-the-cloud-and-ai-development-act/</x:v>
      </x:c>
    </x:row>
    <x:row r="406">
      <x:c r="A406" s="10" t="n">
        <x:f>RANK.EQ(B406,$B$2:$B$446,0)+COUNTIF($B$2:B406,B406)-1</x:f>
        <x:v>405</x:v>
      </x:c>
      <x:c r="B406" s="22" t="n">
        <x:f>I406+K406+M406+O406</x:f>
        <x:v>69</x:v>
      </x:c>
      <x:c r="C406" s="10" t="str">
        <x:f>IF(B406&gt;=93,"A — Highest",IF(B406&gt;=85,"B — Very strong",IF(B406&gt;=75,"C — Strong",IF(B406&gt;=65,"D — Useful","E — Supporting"))))</x:f>
        <x:v>D — Useful</x:v>
      </x:c>
      <x:c r="D406" s="10" t="str">
        <x:v>ERA Forum focuses on ERA Act, talent attraction and ERA Policy Agenda implementation</x:v>
      </x:c>
      <x:c r="E406" s="10" t="str">
        <x:v>2026-06-10</x:v>
      </x:c>
      <x:c r="F406" s="10" t="str">
        <x:v>A</x:v>
      </x:c>
      <x:c r="G406" s="10" t="str">
        <x:v>ERA Portal Austria</x:v>
      </x:c>
      <x:c r="H406" s="10" t="str">
        <x:v>ERA Portal Austria</x:v>
      </x:c>
      <x:c r="I406" s="10" t="n">
        <x:v>26</x:v>
      </x:c>
      <x:c r="J406" s="10" t="str">
        <x:v>Other source</x:v>
      </x:c>
      <x:c r="K406" s="10" t="n">
        <x:v>25</x:v>
      </x:c>
      <x:c r="L406" s="10" t="str">
        <x:v>Direct EU relevance</x:v>
      </x:c>
      <x:c r="M406" s="10" t="n">
        <x:v>13</x:v>
      </x:c>
      <x:c r="N406" s="10" t="str">
        <x:v>Research/policy paper</x:v>
      </x:c>
      <x:c r="O406" s="10" t="n">
        <x:v>5</x:v>
      </x:c>
      <x:c r="P406" s="10" t="str">
        <x:v>research/policy paper</x:v>
      </x:c>
      <x:c r="Q406" s="10" t="str">
        <x:v>direct</x:v>
      </x:c>
      <x:c r="R406" s="10" t="str">
        <x:v>https://era.gv.at/news-items/era-forum-focuses-on-era-act-talent-attraction-and-era-policy-agenda-implementation/</x:v>
      </x:c>
    </x:row>
    <x:row r="407">
      <x:c r="A407" s="10" t="n">
        <x:f>RANK.EQ(B407,$B$2:$B$446,0)+COUNTIF($B$2:B407,B407)-1</x:f>
        <x:v>406</x:v>
      </x:c>
      <x:c r="B407" s="22" t="n">
        <x:f>I407+K407+M407+O407</x:f>
        <x:v>69</x:v>
      </x:c>
      <x:c r="C407" s="10" t="str">
        <x:f>IF(B407&gt;=93,"A — Highest",IF(B407&gt;=85,"B — Very strong",IF(B407&gt;=75,"C — Strong",IF(B407&gt;=65,"D — Useful","E — Supporting"))))</x:f>
        <x:v>D — Useful</x:v>
      </x:c>
      <x:c r="D407" s="10" t="str">
        <x:v>Competitiveness Council (Research) 29 May 2026</x:v>
      </x:c>
      <x:c r="E407" s="10" t="str">
        <x:v>2026-05-29</x:v>
      </x:c>
      <x:c r="F407" s="10" t="str">
        <x:v>A</x:v>
      </x:c>
      <x:c r="G407" s="10" t="str">
        <x:v>ERA Portal Austria</x:v>
      </x:c>
      <x:c r="H407" s="10" t="str">
        <x:v>ERA Portal Austria</x:v>
      </x:c>
      <x:c r="I407" s="10" t="n">
        <x:v>26</x:v>
      </x:c>
      <x:c r="J407" s="10" t="str">
        <x:v>Other source</x:v>
      </x:c>
      <x:c r="K407" s="10" t="n">
        <x:v>25</x:v>
      </x:c>
      <x:c r="L407" s="10" t="str">
        <x:v>Direct EU relevance</x:v>
      </x:c>
      <x:c r="M407" s="10" t="n">
        <x:v>13</x:v>
      </x:c>
      <x:c r="N407" s="10" t="str">
        <x:v>Research/policy paper</x:v>
      </x:c>
      <x:c r="O407" s="10" t="n">
        <x:v>5</x:v>
      </x:c>
      <x:c r="P407" s="10" t="str">
        <x:v>research/policy paper</x:v>
      </x:c>
      <x:c r="Q407" s="10" t="str">
        <x:v>direct</x:v>
      </x:c>
      <x:c r="R407" s="10" t="str">
        <x:v>https://era.gv.at/governance/competitiveness-council/competitiveness-council-research-29-may-2026/</x:v>
      </x:c>
    </x:row>
    <x:row r="408">
      <x:c r="A408" s="10" t="n">
        <x:f>RANK.EQ(B408,$B$2:$B$446,0)+COUNTIF($B$2:B408,B408)-1</x:f>
        <x:v>407</x:v>
      </x:c>
      <x:c r="B408" s="22" t="n">
        <x:f>I408+K408+M408+O408</x:f>
        <x:v>69</x:v>
      </x:c>
      <x:c r="C408" s="10" t="str">
        <x:f>IF(B408&gt;=93,"A — Highest",IF(B408&gt;=85,"B — Very strong",IF(B408&gt;=75,"C — Strong",IF(B408&gt;=65,"D — Useful","E — Supporting"))))</x:f>
        <x:v>D — Useful</x:v>
      </x:c>
      <x:c r="D408" s="10" t="str">
        <x:v>New scoreboard shows success of European startup policies</x:v>
      </x:c>
      <x:c r="E408" s="10" t="str">
        <x:v>2026-05-29</x:v>
      </x:c>
      <x:c r="F408" s="10" t="str">
        <x:v>A</x:v>
      </x:c>
      <x:c r="G408" s="10" t="str">
        <x:v>ERA Portal Austria</x:v>
      </x:c>
      <x:c r="H408" s="10" t="str">
        <x:v>ERA Portal Austria</x:v>
      </x:c>
      <x:c r="I408" s="10" t="n">
        <x:v>26</x:v>
      </x:c>
      <x:c r="J408" s="10" t="str">
        <x:v>Other source</x:v>
      </x:c>
      <x:c r="K408" s="10" t="n">
        <x:v>25</x:v>
      </x:c>
      <x:c r="L408" s="10" t="str">
        <x:v>Direct EU relevance</x:v>
      </x:c>
      <x:c r="M408" s="10" t="n">
        <x:v>13</x:v>
      </x:c>
      <x:c r="N408" s="10" t="str">
        <x:v>Research/policy paper</x:v>
      </x:c>
      <x:c r="O408" s="10" t="n">
        <x:v>5</x:v>
      </x:c>
      <x:c r="P408" s="10" t="str">
        <x:v>research/policy paper</x:v>
      </x:c>
      <x:c r="Q408" s="10" t="str">
        <x:v>direct</x:v>
      </x:c>
      <x:c r="R408" s="10" t="str">
        <x:v>https://era.gv.at/news-items/new-scoreboard-shows-success-of-european-startup-policies/</x:v>
      </x:c>
    </x:row>
    <x:row r="409">
      <x:c r="A409" s="10" t="n">
        <x:f>RANK.EQ(B409,$B$2:$B$446,0)+COUNTIF($B$2:B409,B409)-1</x:f>
        <x:v>408</x:v>
      </x:c>
      <x:c r="B409" s="22" t="n">
        <x:f>I409+K409+M409+O409</x:f>
        <x:v>69</x:v>
      </x:c>
      <x:c r="C409" s="10" t="str">
        <x:f>IF(B409&gt;=93,"A — Highest",IF(B409&gt;=85,"B — Very strong",IF(B409&gt;=75,"C — Strong",IF(B409&gt;=65,"D — Useful","E — Supporting"))))</x:f>
        <x:v>D — Useful</x:v>
      </x:c>
      <x:c r="D409" s="10" t="str">
        <x:v>Research Ministers discuss key elements of future Horizon Europe package and adopt EU framework for science diplomacy</x:v>
      </x:c>
      <x:c r="E409" s="10" t="str">
        <x:v>2026-05-29</x:v>
      </x:c>
      <x:c r="F409" s="10" t="str">
        <x:v>A</x:v>
      </x:c>
      <x:c r="G409" s="10" t="str">
        <x:v>ERA Portal Austria</x:v>
      </x:c>
      <x:c r="H409" s="10" t="str">
        <x:v>ERA Portal Austria</x:v>
      </x:c>
      <x:c r="I409" s="10" t="n">
        <x:v>26</x:v>
      </x:c>
      <x:c r="J409" s="10" t="str">
        <x:v>Other source</x:v>
      </x:c>
      <x:c r="K409" s="10" t="n">
        <x:v>25</x:v>
      </x:c>
      <x:c r="L409" s="10" t="str">
        <x:v>Direct EU relevance</x:v>
      </x:c>
      <x:c r="M409" s="10" t="n">
        <x:v>13</x:v>
      </x:c>
      <x:c r="N409" s="10" t="str">
        <x:v>Research/policy paper</x:v>
      </x:c>
      <x:c r="O409" s="10" t="n">
        <x:v>5</x:v>
      </x:c>
      <x:c r="P409" s="10" t="str">
        <x:v>research/policy paper</x:v>
      </x:c>
      <x:c r="Q409" s="10" t="str">
        <x:v>direct</x:v>
      </x:c>
      <x:c r="R409" s="10" t="str">
        <x:v>https://era.gv.at/news-items/research-ministers-discuss-key-elements-of-future-horizon-europe-package-and-adopt-eu-framework-for-science-diplomacy/</x:v>
      </x:c>
    </x:row>
    <x:row r="410">
      <x:c r="A410" s="10" t="n">
        <x:f>RANK.EQ(B410,$B$2:$B$446,0)+COUNTIF($B$2:B410,B410)-1</x:f>
        <x:v>409</x:v>
      </x:c>
      <x:c r="B410" s="22" t="n">
        <x:f>I410+K410+M410+O410</x:f>
        <x:v>69</x:v>
      </x:c>
      <x:c r="C410" s="10" t="str">
        <x:f>IF(B410&gt;=93,"A — Highest",IF(B410&gt;=85,"B — Very strong",IF(B410&gt;=75,"C — Strong",IF(B410&gt;=65,"D — Useful","E — Supporting"))))</x:f>
        <x:v>D — Useful</x:v>
      </x:c>
      <x:c r="D410" s="10" t="str">
        <x:v>MSCA programme opens €593 million call in doctoral programmes and research</x:v>
      </x:c>
      <x:c r="E410" s="10" t="str">
        <x:v>2026-05-28</x:v>
      </x:c>
      <x:c r="F410" s="10" t="str">
        <x:v>A</x:v>
      </x:c>
      <x:c r="G410" s="10" t="str">
        <x:v>ERA Portal Austria</x:v>
      </x:c>
      <x:c r="H410" s="10" t="str">
        <x:v>ERA Portal Austria</x:v>
      </x:c>
      <x:c r="I410" s="10" t="n">
        <x:v>26</x:v>
      </x:c>
      <x:c r="J410" s="10" t="str">
        <x:v>Other source</x:v>
      </x:c>
      <x:c r="K410" s="10" t="n">
        <x:v>25</x:v>
      </x:c>
      <x:c r="L410" s="10" t="str">
        <x:v>Direct EU relevance</x:v>
      </x:c>
      <x:c r="M410" s="10" t="n">
        <x:v>13</x:v>
      </x:c>
      <x:c r="N410" s="10" t="str">
        <x:v>Research/policy paper</x:v>
      </x:c>
      <x:c r="O410" s="10" t="n">
        <x:v>5</x:v>
      </x:c>
      <x:c r="P410" s="10" t="str">
        <x:v>research/policy paper</x:v>
      </x:c>
      <x:c r="Q410" s="10" t="str">
        <x:v>direct</x:v>
      </x:c>
      <x:c r="R410" s="10" t="str">
        <x:v>https://era.gv.at/news-items/marie-sk%C5%82odowska-curie-actions-programme-opens-call-for-593-million-in-doctoral-programmes-and-research/</x:v>
      </x:c>
    </x:row>
    <x:row r="411">
      <x:c r="A411" s="10" t="n">
        <x:f>RANK.EQ(B411,$B$2:$B$446,0)+COUNTIF($B$2:B411,B411)-1</x:f>
        <x:v>410</x:v>
      </x:c>
      <x:c r="B411" s="22" t="n">
        <x:f>I411+K411+M411+O411</x:f>
        <x:v>69</x:v>
      </x:c>
      <x:c r="C411" s="10" t="str">
        <x:f>IF(B411&gt;=93,"A — Highest",IF(B411&gt;=85,"B — Very strong",IF(B411&gt;=75,"C — Strong",IF(B411&gt;=65,"D — Useful","E — Supporting"))))</x:f>
        <x:v>D — Useful</x:v>
      </x:c>
      <x:c r="D411" s="10" t="str">
        <x:v>The Guild signs Barcelona Declaration on Open Research Information</x:v>
      </x:c>
      <x:c r="E411" s="10" t="str">
        <x:v>2026-05-28</x:v>
      </x:c>
      <x:c r="F411" s="10" t="str">
        <x:v>A</x:v>
      </x:c>
      <x:c r="G411" s="10" t="str">
        <x:v>ERA Portal Austria</x:v>
      </x:c>
      <x:c r="H411" s="10" t="str">
        <x:v>ERA Portal Austria</x:v>
      </x:c>
      <x:c r="I411" s="10" t="n">
        <x:v>26</x:v>
      </x:c>
      <x:c r="J411" s="10" t="str">
        <x:v>Other source</x:v>
      </x:c>
      <x:c r="K411" s="10" t="n">
        <x:v>25</x:v>
      </x:c>
      <x:c r="L411" s="10" t="str">
        <x:v>Direct EU relevance</x:v>
      </x:c>
      <x:c r="M411" s="10" t="n">
        <x:v>13</x:v>
      </x:c>
      <x:c r="N411" s="10" t="str">
        <x:v>Research/policy paper</x:v>
      </x:c>
      <x:c r="O411" s="10" t="n">
        <x:v>5</x:v>
      </x:c>
      <x:c r="P411" s="10" t="str">
        <x:v>research/policy paper</x:v>
      </x:c>
      <x:c r="Q411" s="10" t="str">
        <x:v>direct</x:v>
      </x:c>
      <x:c r="R411" s="10" t="str">
        <x:v>https://era.gv.at/news-items/the-guild-signs-barcelona-declaration-on-open-research-information/</x:v>
      </x:c>
    </x:row>
    <x:row r="412">
      <x:c r="A412" s="10" t="n">
        <x:f>RANK.EQ(B412,$B$2:$B$446,0)+COUNTIF($B$2:B412,B412)-1</x:f>
        <x:v>411</x:v>
      </x:c>
      <x:c r="B412" s="22" t="n">
        <x:f>I412+K412+M412+O412</x:f>
        <x:v>69</x:v>
      </x:c>
      <x:c r="C412" s="10" t="str">
        <x:f>IF(B412&gt;=93,"A — Highest",IF(B412&gt;=85,"B — Very strong",IF(B412&gt;=75,"C — Strong",IF(B412&gt;=65,"D — Useful","E — Supporting"))))</x:f>
        <x:v>D — Useful</x:v>
      </x:c>
      <x:c r="D412" s="10" t="str">
        <x:v>EU and Vietnam deepen cooperation in science, technology and innovation</x:v>
      </x:c>
      <x:c r="E412" s="10" t="str">
        <x:v>2026-05-27</x:v>
      </x:c>
      <x:c r="F412" s="10" t="str">
        <x:v>A</x:v>
      </x:c>
      <x:c r="G412" s="10" t="str">
        <x:v>ERA Portal Austria</x:v>
      </x:c>
      <x:c r="H412" s="10" t="str">
        <x:v>ERA Portal Austria</x:v>
      </x:c>
      <x:c r="I412" s="10" t="n">
        <x:v>26</x:v>
      </x:c>
      <x:c r="J412" s="10" t="str">
        <x:v>Other source</x:v>
      </x:c>
      <x:c r="K412" s="10" t="n">
        <x:v>25</x:v>
      </x:c>
      <x:c r="L412" s="10" t="str">
        <x:v>Direct EU relevance</x:v>
      </x:c>
      <x:c r="M412" s="10" t="n">
        <x:v>13</x:v>
      </x:c>
      <x:c r="N412" s="10" t="str">
        <x:v>Research/policy paper</x:v>
      </x:c>
      <x:c r="O412" s="10" t="n">
        <x:v>5</x:v>
      </x:c>
      <x:c r="P412" s="10" t="str">
        <x:v>research/policy paper</x:v>
      </x:c>
      <x:c r="Q412" s="10" t="str">
        <x:v>direct</x:v>
      </x:c>
      <x:c r="R412" s="10" t="str">
        <x:v>https://era.gv.at/news-items/eu-and-vietnam-deepen-cooperation-in-science-and-innovation/</x:v>
      </x:c>
    </x:row>
    <x:row r="413">
      <x:c r="A413" s="10" t="n">
        <x:f>RANK.EQ(B413,$B$2:$B$446,0)+COUNTIF($B$2:B413,B413)-1</x:f>
        <x:v>412</x:v>
      </x:c>
      <x:c r="B413" s="22" t="n">
        <x:f>I413+K413+M413+O413</x:f>
        <x:v>69</x:v>
      </x:c>
      <x:c r="C413" s="10" t="str">
        <x:f>IF(B413&gt;=93,"A — Highest",IF(B413&gt;=85,"B — Very strong",IF(B413&gt;=75,"C — Strong",IF(B413&gt;=65,"D — Useful","E — Supporting"))))</x:f>
        <x:v>D — Useful</x:v>
      </x:c>
      <x:c r="D413" s="10" t="str">
        <x:v>Europe has produced tech champions: Here is what they can teach us</x:v>
      </x:c>
      <x:c r="E413" s="10" t="str">
        <x:v>2026-05-27</x:v>
      </x:c>
      <x:c r="F413" s="10" t="str">
        <x:v>A</x:v>
      </x:c>
      <x:c r="G413" s="10" t="str">
        <x:v>Centre for European Reform</x:v>
      </x:c>
      <x:c r="H413" s="10" t="str">
        <x:v>Centre for European Reform</x:v>
      </x:c>
      <x:c r="I413" s="10" t="n">
        <x:v>26</x:v>
      </x:c>
      <x:c r="J413" s="10" t="str">
        <x:v>Other source</x:v>
      </x:c>
      <x:c r="K413" s="10" t="n">
        <x:v>25</x:v>
      </x:c>
      <x:c r="L413" s="10" t="str">
        <x:v>Direct EU relevance</x:v>
      </x:c>
      <x:c r="M413" s="10" t="n">
        <x:v>13</x:v>
      </x:c>
      <x:c r="N413" s="10" t="str">
        <x:v>Research/policy paper</x:v>
      </x:c>
      <x:c r="O413" s="10" t="n">
        <x:v>5</x:v>
      </x:c>
      <x:c r="P413" s="10" t="str">
        <x:v>research/policy paper</x:v>
      </x:c>
      <x:c r="Q413" s="10" t="str">
        <x:v>direct</x:v>
      </x:c>
      <x:c r="R413" s="10" t="str">
        <x:v>https://www.cer.eu/sites/default/files/JG_tech_success_27.5.26.pdf</x:v>
      </x:c>
    </x:row>
    <x:row r="414">
      <x:c r="A414" s="10" t="n">
        <x:f>RANK.EQ(B414,$B$2:$B$446,0)+COUNTIF($B$2:B414,B414)-1</x:f>
        <x:v>413</x:v>
      </x:c>
      <x:c r="B414" s="22" t="n">
        <x:f>I414+K414+M414+O414</x:f>
        <x:v>69</x:v>
      </x:c>
      <x:c r="C414" s="10" t="str">
        <x:f>IF(B414&gt;=93,"A — Highest",IF(B414&gt;=85,"B — Very strong",IF(B414&gt;=75,"C — Strong",IF(B414&gt;=65,"D — Useful","E — Supporting"))))</x:f>
        <x:v>D — Useful</x:v>
      </x:c>
      <x:c r="D414" s="10" t="str">
        <x:v>New ERA-LEARN Country Report highlights Portugal’s strong rise in European Partnerships</x:v>
      </x:c>
      <x:c r="E414" s="10" t="str">
        <x:v>2026-05-27</x:v>
      </x:c>
      <x:c r="F414" s="10" t="str">
        <x:v>A</x:v>
      </x:c>
      <x:c r="G414" s="10" t="str">
        <x:v>ERA Portal Austria</x:v>
      </x:c>
      <x:c r="H414" s="10" t="str">
        <x:v>ERA Portal Austria</x:v>
      </x:c>
      <x:c r="I414" s="10" t="n">
        <x:v>26</x:v>
      </x:c>
      <x:c r="J414" s="10" t="str">
        <x:v>Other source</x:v>
      </x:c>
      <x:c r="K414" s="10" t="n">
        <x:v>25</x:v>
      </x:c>
      <x:c r="L414" s="10" t="str">
        <x:v>Direct EU relevance</x:v>
      </x:c>
      <x:c r="M414" s="10" t="n">
        <x:v>13</x:v>
      </x:c>
      <x:c r="N414" s="10" t="str">
        <x:v>Research/policy paper</x:v>
      </x:c>
      <x:c r="O414" s="10" t="n">
        <x:v>5</x:v>
      </x:c>
      <x:c r="P414" s="10" t="str">
        <x:v>research/policy paper</x:v>
      </x:c>
      <x:c r="Q414" s="10" t="str">
        <x:v>direct</x:v>
      </x:c>
      <x:c r="R414" s="10" t="str">
        <x:v>https://era.gv.at/news-items/new-era-learn-country-report-highlights-portugals-strong-rise-in-european-partnerships/</x:v>
      </x:c>
    </x:row>
    <x:row r="415">
      <x:c r="A415" s="10" t="n">
        <x:f>RANK.EQ(B415,$B$2:$B$446,0)+COUNTIF($B$2:B415,B415)-1</x:f>
        <x:v>414</x:v>
      </x:c>
      <x:c r="B415" s="22" t="n">
        <x:f>I415+K415+M415+O415</x:f>
        <x:v>69</x:v>
      </x:c>
      <x:c r="C415" s="10" t="str">
        <x:f>IF(B415&gt;=93,"A — Highest",IF(B415&gt;=85,"B — Very strong",IF(B415&gt;=75,"C — Strong",IF(B415&gt;=65,"D — Useful","E — Supporting"))))</x:f>
        <x:v>D — Useful</x:v>
      </x:c>
      <x:c r="D415" s="10" t="str">
        <x:v>EU Mission on Adaptation to Climate Change publishes 2025/26 Activity Report</x:v>
      </x:c>
      <x:c r="E415" s="10" t="str">
        <x:v>2026-05-26</x:v>
      </x:c>
      <x:c r="F415" s="10" t="str">
        <x:v>A</x:v>
      </x:c>
      <x:c r="G415" s="10" t="str">
        <x:v>ERA Portal Austria</x:v>
      </x:c>
      <x:c r="H415" s="10" t="str">
        <x:v>ERA Portal Austria</x:v>
      </x:c>
      <x:c r="I415" s="10" t="n">
        <x:v>26</x:v>
      </x:c>
      <x:c r="J415" s="10" t="str">
        <x:v>Other source</x:v>
      </x:c>
      <x:c r="K415" s="10" t="n">
        <x:v>25</x:v>
      </x:c>
      <x:c r="L415" s="10" t="str">
        <x:v>Direct EU relevance</x:v>
      </x:c>
      <x:c r="M415" s="10" t="n">
        <x:v>13</x:v>
      </x:c>
      <x:c r="N415" s="10" t="str">
        <x:v>Research/policy paper</x:v>
      </x:c>
      <x:c r="O415" s="10" t="n">
        <x:v>5</x:v>
      </x:c>
      <x:c r="P415" s="10" t="str">
        <x:v>research/policy paper</x:v>
      </x:c>
      <x:c r="Q415" s="10" t="str">
        <x:v>direct</x:v>
      </x:c>
      <x:c r="R415" s="10" t="str">
        <x:v>https://era.gv.at/news-items/the-eu-mission-on-adaptation-to-climate-change-publishes-202526-activity-report/</x:v>
      </x:c>
    </x:row>
    <x:row r="416">
      <x:c r="A416" s="10" t="n">
        <x:f>RANK.EQ(B416,$B$2:$B$446,0)+COUNTIF($B$2:B416,B416)-1</x:f>
        <x:v>415</x:v>
      </x:c>
      <x:c r="B416" s="22" t="n">
        <x:f>I416+K416+M416+O416</x:f>
        <x:v>69</x:v>
      </x:c>
      <x:c r="C416" s="10" t="str">
        <x:f>IF(B416&gt;=93,"A — Highest",IF(B416&gt;=85,"B — Very strong",IF(B416&gt;=75,"C — Strong",IF(B416&gt;=65,"D — Useful","E — Supporting"))))</x:f>
        <x:v>D — Useful</x:v>
      </x:c>
      <x:c r="D416" s="10" t="str">
        <x:v>LERU publishes proposal for a framework to help universities navigate defence research</x:v>
      </x:c>
      <x:c r="E416" s="10" t="str">
        <x:v>2026-05-26</x:v>
      </x:c>
      <x:c r="F416" s="10" t="str">
        <x:v>A</x:v>
      </x:c>
      <x:c r="G416" s="10" t="str">
        <x:v>ERA Portal Austria</x:v>
      </x:c>
      <x:c r="H416" s="10" t="str">
        <x:v>ERA Portal Austria</x:v>
      </x:c>
      <x:c r="I416" s="10" t="n">
        <x:v>26</x:v>
      </x:c>
      <x:c r="J416" s="10" t="str">
        <x:v>Other source</x:v>
      </x:c>
      <x:c r="K416" s="10" t="n">
        <x:v>25</x:v>
      </x:c>
      <x:c r="L416" s="10" t="str">
        <x:v>Direct EU relevance</x:v>
      </x:c>
      <x:c r="M416" s="10" t="n">
        <x:v>13</x:v>
      </x:c>
      <x:c r="N416" s="10" t="str">
        <x:v>Research/policy paper</x:v>
      </x:c>
      <x:c r="O416" s="10" t="n">
        <x:v>5</x:v>
      </x:c>
      <x:c r="P416" s="10" t="str">
        <x:v>research/policy paper</x:v>
      </x:c>
      <x:c r="Q416" s="10" t="str">
        <x:v>direct</x:v>
      </x:c>
      <x:c r="R416" s="10" t="str">
        <x:v>https://era.gv.at/news-items/leru-publishes-proposal-for-a-framework-to-help-universities-navigate-defence-research/</x:v>
      </x:c>
    </x:row>
    <x:row r="417">
      <x:c r="A417" s="10" t="n">
        <x:f>RANK.EQ(B417,$B$2:$B$446,0)+COUNTIF($B$2:B417,B417)-1</x:f>
        <x:v>416</x:v>
      </x:c>
      <x:c r="B417" s="22" t="n">
        <x:f>I417+K417+M417+O417</x:f>
        <x:v>69</x:v>
      </x:c>
      <x:c r="C417" s="10" t="str">
        <x:f>IF(B417&gt;=93,"A — Highest",IF(B417&gt;=85,"B — Very strong",IF(B417&gt;=75,"C — Strong",IF(B417&gt;=65,"D — Useful","E — Supporting"))))</x:f>
        <x:v>D — Useful</x:v>
      </x:c>
      <x:c r="D417" s="10" t="str">
        <x:v>Practical guide aims at supporting implementation of responsible Research Assessment at RFOs</x:v>
      </x:c>
      <x:c r="E417" s="10" t="str">
        <x:v>2026-05-26</x:v>
      </x:c>
      <x:c r="F417" s="10" t="str">
        <x:v>A</x:v>
      </x:c>
      <x:c r="G417" s="10" t="str">
        <x:v>ERA Portal Austria</x:v>
      </x:c>
      <x:c r="H417" s="10" t="str">
        <x:v>ERA Portal Austria</x:v>
      </x:c>
      <x:c r="I417" s="10" t="n">
        <x:v>26</x:v>
      </x:c>
      <x:c r="J417" s="10" t="str">
        <x:v>Other source</x:v>
      </x:c>
      <x:c r="K417" s="10" t="n">
        <x:v>25</x:v>
      </x:c>
      <x:c r="L417" s="10" t="str">
        <x:v>Direct EU relevance</x:v>
      </x:c>
      <x:c r="M417" s="10" t="n">
        <x:v>13</x:v>
      </x:c>
      <x:c r="N417" s="10" t="str">
        <x:v>Research/policy paper</x:v>
      </x:c>
      <x:c r="O417" s="10" t="n">
        <x:v>5</x:v>
      </x:c>
      <x:c r="P417" s="10" t="str">
        <x:v>research/policy paper</x:v>
      </x:c>
      <x:c r="Q417" s="10" t="str">
        <x:v>direct</x:v>
      </x:c>
      <x:c r="R417" s="10" t="str">
        <x:v>https://era.gv.at/news-items/practical-guide-aims-at-supporting-implementation-of-responsible-research-assessment-at-rfos/</x:v>
      </x:c>
    </x:row>
    <x:row r="418">
      <x:c r="A418" s="10" t="n">
        <x:f>RANK.EQ(B418,$B$2:$B$446,0)+COUNTIF($B$2:B418,B418)-1</x:f>
        <x:v>417</x:v>
      </x:c>
      <x:c r="B418" s="22" t="n">
        <x:f>I418+K418+M418+O418</x:f>
        <x:v>69</x:v>
      </x:c>
      <x:c r="C418" s="10" t="str">
        <x:f>IF(B418&gt;=93,"A — Highest",IF(B418&gt;=85,"B — Very strong",IF(B418&gt;=75,"C — Strong",IF(B418&gt;=65,"D — Useful","E — Supporting"))))</x:f>
        <x:v>D — Useful</x:v>
      </x:c>
      <x:c r="D418" s="10" t="str">
        <x:v>Science|Business: Rumoured overhaul of Commission research directorate gets mixed response</x:v>
      </x:c>
      <x:c r="E418" s="10" t="str">
        <x:v>2026-05-26</x:v>
      </x:c>
      <x:c r="F418" s="10" t="str">
        <x:v>A</x:v>
      </x:c>
      <x:c r="G418" s="10" t="str">
        <x:v>ERA Portal Austria</x:v>
      </x:c>
      <x:c r="H418" s="10" t="str">
        <x:v>ERA Portal Austria</x:v>
      </x:c>
      <x:c r="I418" s="10" t="n">
        <x:v>26</x:v>
      </x:c>
      <x:c r="J418" s="10" t="str">
        <x:v>Other source</x:v>
      </x:c>
      <x:c r="K418" s="10" t="n">
        <x:v>25</x:v>
      </x:c>
      <x:c r="L418" s="10" t="str">
        <x:v>Direct EU relevance</x:v>
      </x:c>
      <x:c r="M418" s="10" t="n">
        <x:v>13</x:v>
      </x:c>
      <x:c r="N418" s="10" t="str">
        <x:v>Research/policy paper</x:v>
      </x:c>
      <x:c r="O418" s="10" t="n">
        <x:v>5</x:v>
      </x:c>
      <x:c r="P418" s="10" t="str">
        <x:v>research/policy paper</x:v>
      </x:c>
      <x:c r="Q418" s="10" t="str">
        <x:v>direct</x:v>
      </x:c>
      <x:c r="R418" s="10" t="str">
        <x:v>https://era.gv.at/news-items/sciencebusiness-rumoured-overhaul-of-commission-research-directorate-gets-mixed-response/</x:v>
      </x:c>
    </x:row>
    <x:row r="419">
      <x:c r="A419" s="10" t="n">
        <x:f>RANK.EQ(B419,$B$2:$B$446,0)+COUNTIF($B$2:B419,B419)-1</x:f>
        <x:v>418</x:v>
      </x:c>
      <x:c r="B419" s="22" t="n">
        <x:f>I419+K419+M419+O419</x:f>
        <x:v>69</x:v>
      </x:c>
      <x:c r="C419" s="10" t="str">
        <x:f>IF(B419&gt;=93,"A — Highest",IF(B419&gt;=85,"B — Very strong",IF(B419&gt;=75,"C — Strong",IF(B419&gt;=65,"D — Useful","E — Supporting"))))</x:f>
        <x:v>D — Useful</x:v>
      </x:c>
      <x:c r="D419" s="10" t="str">
        <x:v>STOA publishes study on 'Widening' indicator</x:v>
      </x:c>
      <x:c r="E419" s="10" t="str">
        <x:v>2026-05-26</x:v>
      </x:c>
      <x:c r="F419" s="10" t="str">
        <x:v>A</x:v>
      </x:c>
      <x:c r="G419" s="10" t="str">
        <x:v>ERA Portal Austria</x:v>
      </x:c>
      <x:c r="H419" s="10" t="str">
        <x:v>ERA Portal Austria</x:v>
      </x:c>
      <x:c r="I419" s="10" t="n">
        <x:v>26</x:v>
      </x:c>
      <x:c r="J419" s="10" t="str">
        <x:v>Other source</x:v>
      </x:c>
      <x:c r="K419" s="10" t="n">
        <x:v>25</x:v>
      </x:c>
      <x:c r="L419" s="10" t="str">
        <x:v>Direct EU relevance</x:v>
      </x:c>
      <x:c r="M419" s="10" t="n">
        <x:v>13</x:v>
      </x:c>
      <x:c r="N419" s="10" t="str">
        <x:v>Research/policy paper</x:v>
      </x:c>
      <x:c r="O419" s="10" t="n">
        <x:v>5</x:v>
      </x:c>
      <x:c r="P419" s="10" t="str">
        <x:v>research/policy paper</x:v>
      </x:c>
      <x:c r="Q419" s="10" t="str">
        <x:v>direct</x:v>
      </x:c>
      <x:c r="R419" s="10" t="str">
        <x:v>https://era.gv.at/news-items/stoa-publishes-study-on-widening-indicator/</x:v>
      </x:c>
    </x:row>
    <x:row r="420">
      <x:c r="A420" s="10" t="n">
        <x:f>RANK.EQ(B420,$B$2:$B$446,0)+COUNTIF($B$2:B420,B420)-1</x:f>
        <x:v>419</x:v>
      </x:c>
      <x:c r="B420" s="22" t="n">
        <x:f>I420+K420+M420+O420</x:f>
        <x:v>69</x:v>
      </x:c>
      <x:c r="C420" s="10" t="str">
        <x:f>IF(B420&gt;=93,"A — Highest",IF(B420&gt;=85,"B — Very strong",IF(B420&gt;=75,"C — Strong",IF(B420&gt;=65,"D — Useful","E — Supporting"))))</x:f>
        <x:v>D — Useful</x:v>
      </x:c>
      <x:c r="D420" s="10" t="str">
        <x:v>LERU requests safeguards for dual-use research in FP10</x:v>
      </x:c>
      <x:c r="E420" s="10" t="str">
        <x:v>2026-05-21</x:v>
      </x:c>
      <x:c r="F420" s="10" t="str">
        <x:v>A</x:v>
      </x:c>
      <x:c r="G420" s="10" t="str">
        <x:v>ERA Portal Austria</x:v>
      </x:c>
      <x:c r="H420" s="10" t="str">
        <x:v>ERA Portal Austria</x:v>
      </x:c>
      <x:c r="I420" s="10" t="n">
        <x:v>26</x:v>
      </x:c>
      <x:c r="J420" s="10" t="str">
        <x:v>Other source</x:v>
      </x:c>
      <x:c r="K420" s="10" t="n">
        <x:v>25</x:v>
      </x:c>
      <x:c r="L420" s="10" t="str">
        <x:v>Direct EU relevance</x:v>
      </x:c>
      <x:c r="M420" s="10" t="n">
        <x:v>13</x:v>
      </x:c>
      <x:c r="N420" s="10" t="str">
        <x:v>Research/policy paper</x:v>
      </x:c>
      <x:c r="O420" s="10" t="n">
        <x:v>5</x:v>
      </x:c>
      <x:c r="P420" s="10" t="str">
        <x:v>research/policy paper</x:v>
      </x:c>
      <x:c r="Q420" s="10" t="str">
        <x:v>direct</x:v>
      </x:c>
      <x:c r="R420" s="10" t="str">
        <x:v>https://era.gv.at/news-items/leru-urges-safeguards-for-dual-use-research-in-fp10/</x:v>
      </x:c>
    </x:row>
    <x:row r="421">
      <x:c r="A421" s="10" t="n">
        <x:f>RANK.EQ(B421,$B$2:$B$446,0)+COUNTIF($B$2:B421,B421)-1</x:f>
        <x:v>420</x:v>
      </x:c>
      <x:c r="B421" s="22" t="n">
        <x:f>I421+K421+M421+O421</x:f>
        <x:v>69</x:v>
      </x:c>
      <x:c r="C421" s="10" t="str">
        <x:f>IF(B421&gt;=93,"A — Highest",IF(B421&gt;=85,"B — Very strong",IF(B421&gt;=75,"C — Strong",IF(B421&gt;=65,"D — Useful","E — Supporting"))))</x:f>
        <x:v>D — Useful</x:v>
      </x:c>
      <x:c r="D421" s="10" t="str">
        <x:v>European Parliament backs post-2027 Research Fund for Coal and Steel</x:v>
      </x:c>
      <x:c r="E421" s="10" t="str">
        <x:v>2026-05-20</x:v>
      </x:c>
      <x:c r="F421" s="10" t="str">
        <x:v>A</x:v>
      </x:c>
      <x:c r="G421" s="10" t="str">
        <x:v>ERA Portal Austria</x:v>
      </x:c>
      <x:c r="H421" s="10" t="str">
        <x:v>ERA Portal Austria</x:v>
      </x:c>
      <x:c r="I421" s="10" t="n">
        <x:v>26</x:v>
      </x:c>
      <x:c r="J421" s="10" t="str">
        <x:v>Other source</x:v>
      </x:c>
      <x:c r="K421" s="10" t="n">
        <x:v>25</x:v>
      </x:c>
      <x:c r="L421" s="10" t="str">
        <x:v>Direct EU relevance</x:v>
      </x:c>
      <x:c r="M421" s="10" t="n">
        <x:v>13</x:v>
      </x:c>
      <x:c r="N421" s="10" t="str">
        <x:v>Research/policy paper</x:v>
      </x:c>
      <x:c r="O421" s="10" t="n">
        <x:v>5</x:v>
      </x:c>
      <x:c r="P421" s="10" t="str">
        <x:v>research/policy paper</x:v>
      </x:c>
      <x:c r="Q421" s="10" t="str">
        <x:v>direct</x:v>
      </x:c>
      <x:c r="R421" s="10" t="str">
        <x:v>https://era.gv.at/news-items/european-parliament-backs-post-2027-research-fund-for-coal-and-steel/</x:v>
      </x:c>
    </x:row>
    <x:row r="422">
      <x:c r="A422" s="10" t="n">
        <x:f>RANK.EQ(B422,$B$2:$B$446,0)+COUNTIF($B$2:B422,B422)-1</x:f>
        <x:v>421</x:v>
      </x:c>
      <x:c r="B422" s="22" t="n">
        <x:f>I422+K422+M422+O422</x:f>
        <x:v>69</x:v>
      </x:c>
      <x:c r="C422" s="10" t="str">
        <x:f>IF(B422&gt;=93,"A — Highest",IF(B422&gt;=85,"B — Very strong",IF(B422&gt;=75,"C — Strong",IF(B422&gt;=65,"D — Useful","E — Supporting"))))</x:f>
        <x:v>D — Useful</x:v>
      </x:c>
      <x:c r="D422" s="10" t="str">
        <x:v>Associated Countries urge EU to keep FP10 open and research-led</x:v>
      </x:c>
      <x:c r="E422" s="10" t="str">
        <x:v>2026-05-18</x:v>
      </x:c>
      <x:c r="F422" s="10" t="str">
        <x:v>A</x:v>
      </x:c>
      <x:c r="G422" s="10" t="str">
        <x:v>ERA Portal Austria</x:v>
      </x:c>
      <x:c r="H422" s="10" t="str">
        <x:v>ERA Portal Austria</x:v>
      </x:c>
      <x:c r="I422" s="10" t="n">
        <x:v>26</x:v>
      </x:c>
      <x:c r="J422" s="10" t="str">
        <x:v>Other source</x:v>
      </x:c>
      <x:c r="K422" s="10" t="n">
        <x:v>25</x:v>
      </x:c>
      <x:c r="L422" s="10" t="str">
        <x:v>Direct EU relevance</x:v>
      </x:c>
      <x:c r="M422" s="10" t="n">
        <x:v>13</x:v>
      </x:c>
      <x:c r="N422" s="10" t="str">
        <x:v>Research/policy paper</x:v>
      </x:c>
      <x:c r="O422" s="10" t="n">
        <x:v>5</x:v>
      </x:c>
      <x:c r="P422" s="10" t="str">
        <x:v>research/policy paper</x:v>
      </x:c>
      <x:c r="Q422" s="10" t="str">
        <x:v>direct</x:v>
      </x:c>
      <x:c r="R422" s="10" t="str">
        <x:v>https://era.gv.at/news-items/associated-countries-urge-eu-to-keep-fp10-open-and-research-led/</x:v>
      </x:c>
    </x:row>
    <x:row r="423">
      <x:c r="A423" s="10" t="n">
        <x:f>RANK.EQ(B423,$B$2:$B$446,0)+COUNTIF($B$2:B423,B423)-1</x:f>
        <x:v>422</x:v>
      </x:c>
      <x:c r="B423" s="22" t="n">
        <x:f>I423+K423+M423+O423</x:f>
        <x:v>69</x:v>
      </x:c>
      <x:c r="C423" s="10" t="str">
        <x:f>IF(B423&gt;=93,"A — Highest",IF(B423&gt;=85,"B — Very strong",IF(B423&gt;=75,"C — Strong",IF(B423&gt;=65,"D — Useful","E — Supporting"))))</x:f>
        <x:v>D — Useful</x:v>
      </x:c>
      <x:c r="D423" s="10" t="str">
        <x:v>CESAER presents input paper on 28th regime</x:v>
      </x:c>
      <x:c r="E423" s="10" t="str">
        <x:v>2026-05-18</x:v>
      </x:c>
      <x:c r="F423" s="10" t="str">
        <x:v>A</x:v>
      </x:c>
      <x:c r="G423" s="10" t="str">
        <x:v>ERA Portal Austria</x:v>
      </x:c>
      <x:c r="H423" s="10" t="str">
        <x:v>ERA Portal Austria</x:v>
      </x:c>
      <x:c r="I423" s="10" t="n">
        <x:v>26</x:v>
      </x:c>
      <x:c r="J423" s="10" t="str">
        <x:v>Other source</x:v>
      </x:c>
      <x:c r="K423" s="10" t="n">
        <x:v>25</x:v>
      </x:c>
      <x:c r="L423" s="10" t="str">
        <x:v>Direct EU relevance</x:v>
      </x:c>
      <x:c r="M423" s="10" t="n">
        <x:v>13</x:v>
      </x:c>
      <x:c r="N423" s="10" t="str">
        <x:v>Research/policy paper</x:v>
      </x:c>
      <x:c r="O423" s="10" t="n">
        <x:v>5</x:v>
      </x:c>
      <x:c r="P423" s="10" t="str">
        <x:v>research/policy paper</x:v>
      </x:c>
      <x:c r="Q423" s="10" t="str">
        <x:v>direct</x:v>
      </x:c>
      <x:c r="R423" s="10" t="str">
        <x:v>https://era.gv.at/news-items/cesaer-presents-input-paper-on-28th-regime/</x:v>
      </x:c>
    </x:row>
    <x:row r="424">
      <x:c r="A424" s="10" t="n">
        <x:f>RANK.EQ(B424,$B$2:$B$446,0)+COUNTIF($B$2:B424,B424)-1</x:f>
        <x:v>423</x:v>
      </x:c>
      <x:c r="B424" s="22" t="n">
        <x:f>I424+K424+M424+O424</x:f>
        <x:v>69</x:v>
      </x:c>
      <x:c r="C424" s="10" t="str">
        <x:f>IF(B424&gt;=93,"A — Highest",IF(B424&gt;=85,"B — Very strong",IF(B424&gt;=75,"C — Strong",IF(B424&gt;=65,"D — Useful","E — Supporting"))))</x:f>
        <x:v>D — Useful</x:v>
      </x:c>
      <x:c r="D424" s="10" t="str">
        <x:v>EC seeks feedback on industrial biotechnology and biomanufacturing</x:v>
      </x:c>
      <x:c r="E424" s="10" t="str">
        <x:v>2026-05-18</x:v>
      </x:c>
      <x:c r="F424" s="10" t="str">
        <x:v>A</x:v>
      </x:c>
      <x:c r="G424" s="10" t="str">
        <x:v>ERA Portal Austria</x:v>
      </x:c>
      <x:c r="H424" s="10" t="str">
        <x:v>ERA Portal Austria</x:v>
      </x:c>
      <x:c r="I424" s="10" t="n">
        <x:v>26</x:v>
      </x:c>
      <x:c r="J424" s="10" t="str">
        <x:v>Other source</x:v>
      </x:c>
      <x:c r="K424" s="10" t="n">
        <x:v>25</x:v>
      </x:c>
      <x:c r="L424" s="10" t="str">
        <x:v>Direct EU relevance</x:v>
      </x:c>
      <x:c r="M424" s="10" t="n">
        <x:v>13</x:v>
      </x:c>
      <x:c r="N424" s="10" t="str">
        <x:v>Research/policy paper</x:v>
      </x:c>
      <x:c r="O424" s="10" t="n">
        <x:v>5</x:v>
      </x:c>
      <x:c r="P424" s="10" t="str">
        <x:v>research/policy paper</x:v>
      </x:c>
      <x:c r="Q424" s="10" t="str">
        <x:v>direct</x:v>
      </x:c>
      <x:c r="R424" s="10" t="str">
        <x:v>https://era.gv.at/news-items/ec-seeks-feedback-on-industrial-biotechnology-and-biomanufacturing/</x:v>
      </x:c>
    </x:row>
    <x:row r="425">
      <x:c r="A425" s="10" t="n">
        <x:f>RANK.EQ(B425,$B$2:$B$446,0)+COUNTIF($B$2:B425,B425)-1</x:f>
        <x:v>424</x:v>
      </x:c>
      <x:c r="B425" s="22" t="n">
        <x:f>I425+K425+M425+O425</x:f>
        <x:v>69</x:v>
      </x:c>
      <x:c r="C425" s="10" t="str">
        <x:f>IF(B425&gt;=93,"A — Highest",IF(B425&gt;=85,"B — Very strong",IF(B425&gt;=75,"C — Strong",IF(B425&gt;=65,"D — Useful","E — Supporting"))))</x:f>
        <x:v>D — Useful</x:v>
      </x:c>
      <x:c r="D425" s="10" t="str">
        <x:v>Brussels seminar highlights regions’ role in Europe’s research and technology infrastructure strategy</x:v>
      </x:c>
      <x:c r="E425" s="10" t="str">
        <x:v>2026-05-13</x:v>
      </x:c>
      <x:c r="F425" s="10" t="str">
        <x:v>A</x:v>
      </x:c>
      <x:c r="G425" s="10" t="str">
        <x:v>ERA Portal Austria</x:v>
      </x:c>
      <x:c r="H425" s="10" t="str">
        <x:v>ERA Portal Austria</x:v>
      </x:c>
      <x:c r="I425" s="10" t="n">
        <x:v>26</x:v>
      </x:c>
      <x:c r="J425" s="10" t="str">
        <x:v>Other source</x:v>
      </x:c>
      <x:c r="K425" s="10" t="n">
        <x:v>25</x:v>
      </x:c>
      <x:c r="L425" s="10" t="str">
        <x:v>Direct EU relevance</x:v>
      </x:c>
      <x:c r="M425" s="10" t="n">
        <x:v>13</x:v>
      </x:c>
      <x:c r="N425" s="10" t="str">
        <x:v>Research/policy paper</x:v>
      </x:c>
      <x:c r="O425" s="10" t="n">
        <x:v>5</x:v>
      </x:c>
      <x:c r="P425" s="10" t="str">
        <x:v>research/policy paper</x:v>
      </x:c>
      <x:c r="Q425" s="10" t="str">
        <x:v>direct</x:v>
      </x:c>
      <x:c r="R425" s="10" t="str">
        <x:v>https://era.gv.at/news-items/brussels-seminar-highlights-regions-role-in-europes-research-and-technology-infrastructure-strategy/</x:v>
      </x:c>
    </x:row>
    <x:row r="426">
      <x:c r="A426" s="10" t="n">
        <x:f>RANK.EQ(B426,$B$2:$B$446,0)+COUNTIF($B$2:B426,B426)-1</x:f>
        <x:v>425</x:v>
      </x:c>
      <x:c r="B426" s="22" t="n">
        <x:f>I426+K426+M426+O426</x:f>
        <x:v>69</x:v>
      </x:c>
      <x:c r="C426" s="10" t="str">
        <x:f>IF(B426&gt;=93,"A — Highest",IF(B426&gt;=85,"B — Very strong",IF(B426&gt;=75,"C — Strong",IF(B426&gt;=65,"D — Useful","E — Supporting"))))</x:f>
        <x:v>D — Useful</x:v>
      </x:c>
      <x:c r="D426" s="10" t="str">
        <x:v>Marie Curie Alumni Association welcomes EU proposal for framework on science diplomacy</x:v>
      </x:c>
      <x:c r="E426" s="10" t="str">
        <x:v>2026-05-13</x:v>
      </x:c>
      <x:c r="F426" s="10" t="str">
        <x:v>A</x:v>
      </x:c>
      <x:c r="G426" s="10" t="str">
        <x:v>ERA Portal Austria</x:v>
      </x:c>
      <x:c r="H426" s="10" t="str">
        <x:v>ERA Portal Austria</x:v>
      </x:c>
      <x:c r="I426" s="10" t="n">
        <x:v>26</x:v>
      </x:c>
      <x:c r="J426" s="10" t="str">
        <x:v>Other source</x:v>
      </x:c>
      <x:c r="K426" s="10" t="n">
        <x:v>25</x:v>
      </x:c>
      <x:c r="L426" s="10" t="str">
        <x:v>Direct EU relevance</x:v>
      </x:c>
      <x:c r="M426" s="10" t="n">
        <x:v>13</x:v>
      </x:c>
      <x:c r="N426" s="10" t="str">
        <x:v>Research/policy paper</x:v>
      </x:c>
      <x:c r="O426" s="10" t="n">
        <x:v>5</x:v>
      </x:c>
      <x:c r="P426" s="10" t="str">
        <x:v>research/policy paper</x:v>
      </x:c>
      <x:c r="Q426" s="10" t="str">
        <x:v>direct</x:v>
      </x:c>
      <x:c r="R426" s="10" t="str">
        <x:v>https://era.gv.at/news-items/marie-curie-alumni-association-welcomes-eu-proposal-for-a-framework-on-science-diplomacy/</x:v>
      </x:c>
    </x:row>
    <x:row r="427">
      <x:c r="A427" s="10" t="n">
        <x:f>RANK.EQ(B427,$B$2:$B$446,0)+COUNTIF($B$2:B427,B427)-1</x:f>
        <x:v>426</x:v>
      </x:c>
      <x:c r="B427" s="22" t="n">
        <x:f>I427+K427+M427+O427</x:f>
        <x:v>69</x:v>
      </x:c>
      <x:c r="C427" s="10" t="str">
        <x:f>IF(B427&gt;=93,"A — Highest",IF(B427&gt;=85,"B — Very strong",IF(B427&gt;=75,"C — Strong",IF(B427&gt;=65,"D — Useful","E — Supporting"))))</x:f>
        <x:v>D — Useful</x:v>
      </x:c>
      <x:c r="D427" s="10" t="str">
        <x:v>Commission publishes update of ERA Living Guidelines on responsible use of Generative AI in research</x:v>
      </x:c>
      <x:c r="E427" s="10" t="str">
        <x:v>2026-05-11</x:v>
      </x:c>
      <x:c r="F427" s="10" t="str">
        <x:v>A</x:v>
      </x:c>
      <x:c r="G427" s="10" t="str">
        <x:v>ERA Portal Austria</x:v>
      </x:c>
      <x:c r="H427" s="10" t="str">
        <x:v>ERA Portal Austria</x:v>
      </x:c>
      <x:c r="I427" s="10" t="n">
        <x:v>26</x:v>
      </x:c>
      <x:c r="J427" s="10" t="str">
        <x:v>Other source</x:v>
      </x:c>
      <x:c r="K427" s="10" t="n">
        <x:v>25</x:v>
      </x:c>
      <x:c r="L427" s="10" t="str">
        <x:v>Direct EU relevance</x:v>
      </x:c>
      <x:c r="M427" s="10" t="n">
        <x:v>13</x:v>
      </x:c>
      <x:c r="N427" s="10" t="str">
        <x:v>Research/policy paper</x:v>
      </x:c>
      <x:c r="O427" s="10" t="n">
        <x:v>5</x:v>
      </x:c>
      <x:c r="P427" s="10" t="str">
        <x:v>research/policy paper</x:v>
      </x:c>
      <x:c r="Q427" s="10" t="str">
        <x:v>direct</x:v>
      </x:c>
      <x:c r="R427" s="10" t="str">
        <x:v>https://era.gv.at/news-items/commission-publishes-update-of-era-living-guidelines-on-responsible-use-of-generative-ai-in-research/</x:v>
      </x:c>
    </x:row>
    <x:row r="428">
      <x:c r="A428" s="10" t="n">
        <x:f>RANK.EQ(B428,$B$2:$B$446,0)+COUNTIF($B$2:B428,B428)-1</x:f>
        <x:v>427</x:v>
      </x:c>
      <x:c r="B428" s="22" t="n">
        <x:f>I428+K428+M428+O428</x:f>
        <x:v>69</x:v>
      </x:c>
      <x:c r="C428" s="10" t="str">
        <x:f>IF(B428&gt;=93,"A — Highest",IF(B428&gt;=85,"B — Very strong",IF(B428&gt;=75,"C — Strong",IF(B428&gt;=65,"D — Useful","E — Supporting"))))</x:f>
        <x:v>D — Useful</x:v>
      </x:c>
      <x:c r="D428" s="10" t="str">
        <x:v>Science Europe calls for stronger minimum standards to improve research careers across Europe</x:v>
      </x:c>
      <x:c r="E428" s="10" t="str">
        <x:v>2026-05-11</x:v>
      </x:c>
      <x:c r="F428" s="10" t="str">
        <x:v>A</x:v>
      </x:c>
      <x:c r="G428" s="10" t="str">
        <x:v>ERA Portal Austria</x:v>
      </x:c>
      <x:c r="H428" s="10" t="str">
        <x:v>ERA Portal Austria</x:v>
      </x:c>
      <x:c r="I428" s="10" t="n">
        <x:v>26</x:v>
      </x:c>
      <x:c r="J428" s="10" t="str">
        <x:v>Other source</x:v>
      </x:c>
      <x:c r="K428" s="10" t="n">
        <x:v>25</x:v>
      </x:c>
      <x:c r="L428" s="10" t="str">
        <x:v>Direct EU relevance</x:v>
      </x:c>
      <x:c r="M428" s="10" t="n">
        <x:v>13</x:v>
      </x:c>
      <x:c r="N428" s="10" t="str">
        <x:v>Research/policy paper</x:v>
      </x:c>
      <x:c r="O428" s="10" t="n">
        <x:v>5</x:v>
      </x:c>
      <x:c r="P428" s="10" t="str">
        <x:v>research/policy paper</x:v>
      </x:c>
      <x:c r="Q428" s="10" t="str">
        <x:v>direct</x:v>
      </x:c>
      <x:c r="R428" s="10" t="str">
        <x:v>https://era.gv.at/news-items/science-europe-calls-for-stronger-minimum-standards-to-improve-research-careers-across-europe/</x:v>
      </x:c>
    </x:row>
    <x:row r="429">
      <x:c r="A429" s="10" t="n">
        <x:f>RANK.EQ(B429,$B$2:$B$446,0)+COUNTIF($B$2:B429,B429)-1</x:f>
        <x:v>428</x:v>
      </x:c>
      <x:c r="B429" s="22" t="n">
        <x:f>I429+K429+M429+O429</x:f>
        <x:v>69</x:v>
      </x:c>
      <x:c r="C429" s="10" t="str">
        <x:f>IF(B429&gt;=93,"A — Highest",IF(B429&gt;=85,"B — Very strong",IF(B429&gt;=75,"C — Strong",IF(B429&gt;=65,"D — Useful","E — Supporting"))))</x:f>
        <x:v>D — Useful</x:v>
      </x:c>
      <x:c r="D429" s="10" t="str">
        <x:v>Science|Business: Make more use of Horizon Europe funding, Zaharieva tells university alliances</x:v>
      </x:c>
      <x:c r="E429" s="10" t="str">
        <x:v>2026-05-07</x:v>
      </x:c>
      <x:c r="F429" s="10" t="str">
        <x:v>A</x:v>
      </x:c>
      <x:c r="G429" s="10" t="str">
        <x:v>ERA Portal Austria</x:v>
      </x:c>
      <x:c r="H429" s="10" t="str">
        <x:v>ERA Portal Austria</x:v>
      </x:c>
      <x:c r="I429" s="10" t="n">
        <x:v>26</x:v>
      </x:c>
      <x:c r="J429" s="10" t="str">
        <x:v>Other source</x:v>
      </x:c>
      <x:c r="K429" s="10" t="n">
        <x:v>25</x:v>
      </x:c>
      <x:c r="L429" s="10" t="str">
        <x:v>Direct EU relevance</x:v>
      </x:c>
      <x:c r="M429" s="10" t="n">
        <x:v>13</x:v>
      </x:c>
      <x:c r="N429" s="10" t="str">
        <x:v>Research/policy paper</x:v>
      </x:c>
      <x:c r="O429" s="10" t="n">
        <x:v>5</x:v>
      </x:c>
      <x:c r="P429" s="10" t="str">
        <x:v>research/policy paper</x:v>
      </x:c>
      <x:c r="Q429" s="10" t="str">
        <x:v>direct</x:v>
      </x:c>
      <x:c r="R429" s="10" t="str">
        <x:v>https://era.gv.at/news-items/sciencebusiness-make-more-use-of-horizon-europe-funding-zaharieva-tells-university-alliances/</x:v>
      </x:c>
    </x:row>
    <x:row r="430">
      <x:c r="A430" s="10" t="n">
        <x:f>RANK.EQ(B430,$B$2:$B$446,0)+COUNTIF($B$2:B430,B430)-1</x:f>
        <x:v>429</x:v>
      </x:c>
      <x:c r="B430" s="22" t="n">
        <x:f>I430+K430+M430+O430</x:f>
        <x:v>69</x:v>
      </x:c>
      <x:c r="C430" s="10" t="str">
        <x:f>IF(B430&gt;=93,"A — Highest",IF(B430&gt;=85,"B — Very strong",IF(B430&gt;=75,"C — Strong",IF(B430&gt;=65,"D — Useful","E — Supporting"))))</x:f>
        <x:v>D — Useful</x:v>
      </x:c>
      <x:c r="D430" s="10" t="str">
        <x:v>European stakeholders discuss European strategy on research and technology infrastructures</x:v>
      </x:c>
      <x:c r="E430" s="10" t="str">
        <x:v>2026-05-06</x:v>
      </x:c>
      <x:c r="F430" s="10" t="str">
        <x:v>A</x:v>
      </x:c>
      <x:c r="G430" s="10" t="str">
        <x:v>ERA Portal Austria</x:v>
      </x:c>
      <x:c r="H430" s="10" t="str">
        <x:v>ERA Portal Austria</x:v>
      </x:c>
      <x:c r="I430" s="10" t="n">
        <x:v>26</x:v>
      </x:c>
      <x:c r="J430" s="10" t="str">
        <x:v>Other source</x:v>
      </x:c>
      <x:c r="K430" s="10" t="n">
        <x:v>25</x:v>
      </x:c>
      <x:c r="L430" s="10" t="str">
        <x:v>Direct EU relevance</x:v>
      </x:c>
      <x:c r="M430" s="10" t="n">
        <x:v>13</x:v>
      </x:c>
      <x:c r="N430" s="10" t="str">
        <x:v>Research/policy paper</x:v>
      </x:c>
      <x:c r="O430" s="10" t="n">
        <x:v>5</x:v>
      </x:c>
      <x:c r="P430" s="10" t="str">
        <x:v>research/policy paper</x:v>
      </x:c>
      <x:c r="Q430" s="10" t="str">
        <x:v>direct</x:v>
      </x:c>
      <x:c r="R430" s="10" t="str">
        <x:v>https://era.gv.at/news-items/european-stakeholders-discuss-european-strategy-on-research-and-technology-infrastructures/</x:v>
      </x:c>
    </x:row>
    <x:row r="431">
      <x:c r="A431" s="10" t="n">
        <x:f>RANK.EQ(B431,$B$2:$B$446,0)+COUNTIF($B$2:B431,B431)-1</x:f>
        <x:v>430</x:v>
      </x:c>
      <x:c r="B431" s="22" t="n">
        <x:f>I431+K431+M431+O431</x:f>
        <x:v>68</x:v>
      </x:c>
      <x:c r="C431" s="10" t="str">
        <x:f>IF(B431&gt;=93,"A — Highest",IF(B431&gt;=85,"B — Very strong",IF(B431&gt;=75,"C — Strong",IF(B431&gt;=65,"D — Useful","E — Supporting"))))</x:f>
        <x:v>D — Useful</x:v>
      </x:c>
      <x:c r="D431" s="10" t="str">
        <x:v>Entrepreneurial postdoc positions at ELLIS Institute Finland | ELLIS Institute Finland</x:v>
      </x:c>
      <x:c r="E431" s="10" t="str">
        <x:v>2026-08-21</x:v>
      </x:c>
      <x:c r="F431" s="10" t="str">
        <x:v>A</x:v>
      </x:c>
      <x:c r="G431" s="10" t="str">
        <x:v>ELLIS Institute Finland</x:v>
      </x:c>
      <x:c r="H431" s="10" t="str">
        <x:v>ELLIS Institute Finland</x:v>
      </x:c>
      <x:c r="I431" s="10" t="n">
        <x:v>26</x:v>
      </x:c>
      <x:c r="J431" s="10" t="str">
        <x:v>Other source</x:v>
      </x:c>
      <x:c r="K431" s="10" t="n">
        <x:v>25</x:v>
      </x:c>
      <x:c r="L431" s="10" t="str">
        <x:v>Direct EU relevance</x:v>
      </x:c>
      <x:c r="M431" s="10" t="n">
        <x:v>13</x:v>
      </x:c>
      <x:c r="N431" s="10" t="str">
        <x:v>Research/policy paper</x:v>
      </x:c>
      <x:c r="O431" s="10" t="n">
        <x:v>4</x:v>
      </x:c>
      <x:c r="P431" s="10" t="str">
        <x:v>research/policy paper</x:v>
      </x:c>
      <x:c r="Q431" s="10" t="str">
        <x:v>direct</x:v>
      </x:c>
      <x:c r="R431" s="10" t="str">
        <x:v>https://www.ellisinstitute.fi/entrepreneurial-postdoc-recruit-autumn-2026</x:v>
      </x:c>
    </x:row>
    <x:row r="432">
      <x:c r="A432" s="10" t="n">
        <x:f>RANK.EQ(B432,$B$2:$B$446,0)+COUNTIF($B$2:B432,B432)-1</x:f>
        <x:v>431</x:v>
      </x:c>
      <x:c r="B432" s="22" t="n">
        <x:f>I432+K432+M432+O432</x:f>
        <x:v>68</x:v>
      </x:c>
      <x:c r="C432" s="10" t="str">
        <x:f>IF(B432&gt;=93,"A — Highest",IF(B432&gt;=85,"B — Very strong",IF(B432&gt;=75,"C — Strong",IF(B432&gt;=65,"D — Useful","E — Supporting"))))</x:f>
        <x:v>D — Useful</x:v>
      </x:c>
      <x:c r="D432" s="10" t="str">
        <x:v>Postdoc and doctoral student positions at ELLIS Institute Finland | ELLIS Institute Finland</x:v>
      </x:c>
      <x:c r="E432" s="10" t="str">
        <x:v>2026-08-21</x:v>
      </x:c>
      <x:c r="F432" s="10" t="str">
        <x:v>A</x:v>
      </x:c>
      <x:c r="G432" s="10" t="str">
        <x:v>ELLIS Institute Finland</x:v>
      </x:c>
      <x:c r="H432" s="10" t="str">
        <x:v>ELLIS Institute Finland</x:v>
      </x:c>
      <x:c r="I432" s="10" t="n">
        <x:v>26</x:v>
      </x:c>
      <x:c r="J432" s="10" t="str">
        <x:v>Other source</x:v>
      </x:c>
      <x:c r="K432" s="10" t="n">
        <x:v>25</x:v>
      </x:c>
      <x:c r="L432" s="10" t="str">
        <x:v>Direct EU relevance</x:v>
      </x:c>
      <x:c r="M432" s="10" t="n">
        <x:v>13</x:v>
      </x:c>
      <x:c r="N432" s="10" t="str">
        <x:v>Research/policy paper</x:v>
      </x:c>
      <x:c r="O432" s="10" t="n">
        <x:v>4</x:v>
      </x:c>
      <x:c r="P432" s="10" t="str">
        <x:v>research/policy paper</x:v>
      </x:c>
      <x:c r="Q432" s="10" t="str">
        <x:v>direct</x:v>
      </x:c>
      <x:c r="R432" s="10" t="str">
        <x:v>https://www.ellisinstitute.fi/postdoc-and-phd-recruit-autumn-2026</x:v>
      </x:c>
    </x:row>
    <x:row r="433">
      <x:c r="A433" s="10" t="n">
        <x:f>RANK.EQ(B433,$B$2:$B$446,0)+COUNTIF($B$2:B433,B433)-1</x:f>
        <x:v>432</x:v>
      </x:c>
      <x:c r="B433" s="22" t="n">
        <x:f>I433+K433+M433+O433</x:f>
        <x:v>68</x:v>
      </x:c>
      <x:c r="C433" s="10" t="str">
        <x:f>IF(B433&gt;=93,"A — Highest",IF(B433&gt;=85,"B — Very strong",IF(B433&gt;=75,"C — Strong",IF(B433&gt;=65,"D — Useful","E — Supporting"))))</x:f>
        <x:v>D — Useful</x:v>
      </x:c>
      <x:c r="D433" s="10" t="str">
        <x:v>RealYou AI will develop the next generation of personalized AI decision assistants | ELLIS Institute Finland</x:v>
      </x:c>
      <x:c r="E433" s="10" t="str">
        <x:v>2026-07-01</x:v>
      </x:c>
      <x:c r="F433" s="10" t="str">
        <x:v>A</x:v>
      </x:c>
      <x:c r="G433" s="10" t="str">
        <x:v>ELLIS Institute Finland</x:v>
      </x:c>
      <x:c r="H433" s="10" t="str">
        <x:v>ELLIS Institute Finland</x:v>
      </x:c>
      <x:c r="I433" s="10" t="n">
        <x:v>26</x:v>
      </x:c>
      <x:c r="J433" s="10" t="str">
        <x:v>Other source</x:v>
      </x:c>
      <x:c r="K433" s="10" t="n">
        <x:v>25</x:v>
      </x:c>
      <x:c r="L433" s="10" t="str">
        <x:v>Direct EU relevance</x:v>
      </x:c>
      <x:c r="M433" s="10" t="n">
        <x:v>13</x:v>
      </x:c>
      <x:c r="N433" s="10" t="str">
        <x:v>Research/policy paper</x:v>
      </x:c>
      <x:c r="O433" s="10" t="n">
        <x:v>4</x:v>
      </x:c>
      <x:c r="P433" s="10" t="str">
        <x:v>research/policy paper</x:v>
      </x:c>
      <x:c r="Q433" s="10" t="str">
        <x:v>direct</x:v>
      </x:c>
      <x:c r="R433" s="10" t="str">
        <x:v>https://www.ellisinstitute.fi/realyou-ai-will-develop-the-next-generation-of-personalized-ai-decision-assistants</x:v>
      </x:c>
    </x:row>
    <x:row r="434">
      <x:c r="A434" s="10" t="n">
        <x:f>RANK.EQ(B434,$B$2:$B$446,0)+COUNTIF($B$2:B434,B434)-1</x:f>
        <x:v>433</x:v>
      </x:c>
      <x:c r="B434" s="22" t="n">
        <x:f>I434+K434+M434+O434</x:f>
        <x:v>66</x:v>
      </x:c>
      <x:c r="C434" s="10" t="str">
        <x:f>IF(B434&gt;=93,"A — Highest",IF(B434&gt;=85,"B — Very strong",IF(B434&gt;=75,"C — Strong",IF(B434&gt;=65,"D — Useful","E — Supporting"))))</x:f>
        <x:v>D — Useful</x:v>
      </x:c>
      <x:c r="D434" s="10" t="str">
        <x:v>The Global Landscape of National AI Strategies</x:v>
      </x:c>
      <x:c r="E434" s="10" t="str">
        <x:v>2026-07-28</x:v>
      </x:c>
      <x:c r="F434" s="10" t="str">
        <x:v>A</x:v>
      </x:c>
      <x:c r="G434" s="10" t="str">
        <x:v>World Bank</x:v>
      </x:c>
      <x:c r="H434" s="10" t="str">
        <x:v>Roxana Radu</x:v>
      </x:c>
      <x:c r="I434" s="10" t="n">
        <x:v>26</x:v>
      </x:c>
      <x:c r="J434" s="10" t="str">
        <x:v>Other source</x:v>
      </x:c>
      <x:c r="K434" s="10" t="n">
        <x:v>25</x:v>
      </x:c>
      <x:c r="L434" s="10" t="str">
        <x:v>Direct EU relevance</x:v>
      </x:c>
      <x:c r="M434" s="10" t="n">
        <x:v>10</x:v>
      </x:c>
      <x:c r="N434" s="10" t="str">
        <x:v>General evidence source</x:v>
      </x:c>
      <x:c r="O434" s="10" t="n">
        <x:v>5</x:v>
      </x:c>
      <x:c r="P434" s="10" t="str">
        <x:v>working paper</x:v>
      </x:c>
      <x:c r="Q434" s="10" t="str">
        <x:v>direct</x:v>
      </x:c>
      <x:c r="R434" s="10" t="str">
        <x:v>https://thedocs.worldbank.org/en/doc/f74e811954e7a2a0045cd6330c967590-0050062026/the-global-landscape-of-national-ai-strategies</x:v>
      </x:c>
    </x:row>
    <x:row r="435">
      <x:c r="A435" s="10" t="n">
        <x:f>RANK.EQ(B435,$B$2:$B$446,0)+COUNTIF($B$2:B435,B435)-1</x:f>
        <x:v>434</x:v>
      </x:c>
      <x:c r="B435" s="22" t="n">
        <x:f>I435+K435+M435+O435</x:f>
        <x:v>60</x:v>
      </x:c>
      <x:c r="C435" s="10" t="str">
        <x:f>IF(B435&gt;=93,"A — Highest",IF(B435&gt;=85,"B — Very strong",IF(B435&gt;=75,"C — Strong",IF(B435&gt;=65,"D — Useful","E — Supporting"))))</x:f>
        <x:v>E — Supporting</x:v>
      </x:c>
      <x:c r="D435" s="10" t="str">
        <x:v>A 'normal' research trap limits scientific breakthroughs and disruptive innovation in the European Union</x:v>
      </x:c>
      <x:c r="E435" s="10" t="str">
        <x:v>2026-07-09</x:v>
      </x:c>
      <x:c r="F435" s="10" t="str">
        <x:v>A</x:v>
      </x:c>
      <x:c r="G435" s="10" t="str">
        <x:v>arXiv</x:v>
      </x:c>
      <x:c r="H435" s="10" t="str">
        <x:v>Alonso Rodríguez‐Navarro</x:v>
      </x:c>
      <x:c r="I435" s="10" t="n">
        <x:v>22</x:v>
      </x:c>
      <x:c r="J435" s="10" t="str">
        <x:v>Preprint</x:v>
      </x:c>
      <x:c r="K435" s="10" t="n">
        <x:v>25</x:v>
      </x:c>
      <x:c r="L435" s="10" t="str">
        <x:v>Direct EU relevance</x:v>
      </x:c>
      <x:c r="M435" s="10" t="n">
        <x:v>8</x:v>
      </x:c>
      <x:c r="N435" s="10" t="str">
        <x:v>Preprint; not peer-reviewed</x:v>
      </x:c>
      <x:c r="O435" s="10" t="n">
        <x:v>5</x:v>
      </x:c>
      <x:c r="P435" s="10" t="str">
        <x:v>preprint</x:v>
      </x:c>
      <x:c r="Q435" s="10" t="str">
        <x:v>direct</x:v>
      </x:c>
      <x:c r="R435" s="10" t="str">
        <x:v>https://arxiv.org/abs/2607.08328</x:v>
      </x:c>
    </x:row>
    <x:row r="436">
      <x:c r="A436" s="10" t="n">
        <x:f>RANK.EQ(B436,$B$2:$B$446,0)+COUNTIF($B$2:B436,B436)-1</x:f>
        <x:v>435</x:v>
      </x:c>
      <x:c r="B436" s="22" t="n">
        <x:f>I436+K436+M436+O436</x:f>
        <x:v>60</x:v>
      </x:c>
      <x:c r="C436" s="10" t="str">
        <x:f>IF(B436&gt;=93,"A — Highest",IF(B436&gt;=85,"B — Very strong",IF(B436&gt;=75,"C — Strong",IF(B436&gt;=65,"D — Useful","E — Supporting"))))</x:f>
        <x:v>E — Supporting</x:v>
      </x:c>
      <x:c r="D436" s="10" t="str">
        <x:v>Exploring fair access to quantum computing</x:v>
      </x:c>
      <x:c r="E436" s="10" t="str">
        <x:v>2026-06-11</x:v>
      </x:c>
      <x:c r="F436" s="10" t="str">
        <x:v>A</x:v>
      </x:c>
      <x:c r="G436" s="10" t="str">
        <x:v>arXiv</x:v>
      </x:c>
      <x:c r="H436" s="10" t="str">
        <x:v>Benedict Lane, Pieter Vermaas</x:v>
      </x:c>
      <x:c r="I436" s="10" t="n">
        <x:v>22</x:v>
      </x:c>
      <x:c r="J436" s="10" t="str">
        <x:v>Preprint</x:v>
      </x:c>
      <x:c r="K436" s="10" t="n">
        <x:v>25</x:v>
      </x:c>
      <x:c r="L436" s="10" t="str">
        <x:v>Direct EU relevance</x:v>
      </x:c>
      <x:c r="M436" s="10" t="n">
        <x:v>8</x:v>
      </x:c>
      <x:c r="N436" s="10" t="str">
        <x:v>Preprint; not peer-reviewed</x:v>
      </x:c>
      <x:c r="O436" s="10" t="n">
        <x:v>5</x:v>
      </x:c>
      <x:c r="P436" s="10" t="str">
        <x:v>preprint</x:v>
      </x:c>
      <x:c r="Q436" s="10" t="str">
        <x:v>direct</x:v>
      </x:c>
      <x:c r="R436" s="10" t="str">
        <x:v>https://arxiv.org/abs/2606.13027</x:v>
      </x:c>
    </x:row>
    <x:row r="437">
      <x:c r="A437" s="10" t="n">
        <x:f>RANK.EQ(B437,$B$2:$B$446,0)+COUNTIF($B$2:B437,B437)-1</x:f>
        <x:v>436</x:v>
      </x:c>
      <x:c r="B437" s="22" t="n">
        <x:f>I437+K437+M437+O437</x:f>
        <x:v>60</x:v>
      </x:c>
      <x:c r="C437" s="10" t="str">
        <x:f>IF(B437&gt;=93,"A — Highest",IF(B437&gt;=85,"B — Very strong",IF(B437&gt;=75,"C — Strong",IF(B437&gt;=65,"D — Useful","E — Supporting"))))</x:f>
        <x:v>E — Supporting</x:v>
      </x:c>
      <x:c r="D437" s="10" t="str">
        <x:v>Materealistic? How European energy system models exceed raw material reserves</x:v>
      </x:c>
      <x:c r="E437" s="10" t="str">
        <x:v>2026-06-10</x:v>
      </x:c>
      <x:c r="F437" s="10" t="str">
        <x:v>A</x:v>
      </x:c>
      <x:c r="G437" s="10" t="str">
        <x:v>arXiv</x:v>
      </x:c>
      <x:c r="H437" s="10" t="str">
        <x:v>Jan Mutke, Jonas Finke, Katharina Esser, Heidi Heinrichs</x:v>
      </x:c>
      <x:c r="I437" s="10" t="n">
        <x:v>22</x:v>
      </x:c>
      <x:c r="J437" s="10" t="str">
        <x:v>Preprint</x:v>
      </x:c>
      <x:c r="K437" s="10" t="n">
        <x:v>25</x:v>
      </x:c>
      <x:c r="L437" s="10" t="str">
        <x:v>Direct EU relevance</x:v>
      </x:c>
      <x:c r="M437" s="10" t="n">
        <x:v>8</x:v>
      </x:c>
      <x:c r="N437" s="10" t="str">
        <x:v>Preprint; not peer-reviewed</x:v>
      </x:c>
      <x:c r="O437" s="10" t="n">
        <x:v>5</x:v>
      </x:c>
      <x:c r="P437" s="10" t="str">
        <x:v>preprint</x:v>
      </x:c>
      <x:c r="Q437" s="10" t="str">
        <x:v>direct</x:v>
      </x:c>
      <x:c r="R437" s="10" t="str">
        <x:v>https://arxiv.org/abs/2606.12201</x:v>
      </x:c>
    </x:row>
    <x:row r="438">
      <x:c r="A438" s="10" t="n">
        <x:f>RANK.EQ(B438,$B$2:$B$446,0)+COUNTIF($B$2:B438,B438)-1</x:f>
        <x:v>437</x:v>
      </x:c>
      <x:c r="B438" s="22" t="n">
        <x:f>I438+K438+M438+O438</x:f>
        <x:v>60</x:v>
      </x:c>
      <x:c r="C438" s="10" t="str">
        <x:f>IF(B438&gt;=93,"A — Highest",IF(B438&gt;=85,"B — Very strong",IF(B438&gt;=75,"C — Strong",IF(B438&gt;=65,"D — Useful","E — Supporting"))))</x:f>
        <x:v>E — Supporting</x:v>
      </x:c>
      <x:c r="D438" s="10" t="str">
        <x:v>Bilateral and multilateral international scientific collaboration of EU member states: OpenAlex vs Scopus (2000-2024)</x:v>
      </x:c>
      <x:c r="E438" s="10" t="str">
        <x:v>2026-06-04</x:v>
      </x:c>
      <x:c r="F438" s="10" t="str">
        <x:v>A</x:v>
      </x:c>
      <x:c r="G438" s="10" t="str">
        <x:v>arXiv</x:v>
      </x:c>
      <x:c r="H438" s="10" t="str">
        <x:v>Myroslava Hladchenko</x:v>
      </x:c>
      <x:c r="I438" s="10" t="n">
        <x:v>22</x:v>
      </x:c>
      <x:c r="J438" s="10" t="str">
        <x:v>Preprint</x:v>
      </x:c>
      <x:c r="K438" s="10" t="n">
        <x:v>25</x:v>
      </x:c>
      <x:c r="L438" s="10" t="str">
        <x:v>Direct EU relevance</x:v>
      </x:c>
      <x:c r="M438" s="10" t="n">
        <x:v>8</x:v>
      </x:c>
      <x:c r="N438" s="10" t="str">
        <x:v>Preprint; not peer-reviewed</x:v>
      </x:c>
      <x:c r="O438" s="10" t="n">
        <x:v>5</x:v>
      </x:c>
      <x:c r="P438" s="10" t="str">
        <x:v>preprint</x:v>
      </x:c>
      <x:c r="Q438" s="10" t="str">
        <x:v>direct</x:v>
      </x:c>
      <x:c r="R438" s="10" t="str">
        <x:v>https://arxiv.org/abs/2606.06336</x:v>
      </x:c>
    </x:row>
    <x:row r="439">
      <x:c r="A439" s="10" t="n">
        <x:f>RANK.EQ(B439,$B$2:$B$446,0)+COUNTIF($B$2:B439,B439)-1</x:f>
        <x:v>438</x:v>
      </x:c>
      <x:c r="B439" s="22" t="n">
        <x:f>I439+K439+M439+O439</x:f>
        <x:v>60</x:v>
      </x:c>
      <x:c r="C439" s="10" t="str">
        <x:f>IF(B439&gt;=93,"A — Highest",IF(B439&gt;=85,"B — Very strong",IF(B439&gt;=75,"C — Strong",IF(B439&gt;=65,"D — Useful","E — Supporting"))))</x:f>
        <x:v>E — Supporting</x:v>
      </x:c>
      <x:c r="D439" s="10" t="str">
        <x:v>Emerging and established topics in drone research: Citation impact and knowledge flows across China, the United States, the EU, Ukraine, and Russia (2020-2025)</x:v>
      </x:c>
      <x:c r="E439" s="10" t="str">
        <x:v>2026-06-02</x:v>
      </x:c>
      <x:c r="F439" s="10" t="str">
        <x:v>A</x:v>
      </x:c>
      <x:c r="G439" s="10" t="str">
        <x:v>arXiv</x:v>
      </x:c>
      <x:c r="H439" s="10" t="str">
        <x:v>Myroslava Hladchenko</x:v>
      </x:c>
      <x:c r="I439" s="10" t="n">
        <x:v>22</x:v>
      </x:c>
      <x:c r="J439" s="10" t="str">
        <x:v>Preprint</x:v>
      </x:c>
      <x:c r="K439" s="10" t="n">
        <x:v>25</x:v>
      </x:c>
      <x:c r="L439" s="10" t="str">
        <x:v>Direct EU relevance</x:v>
      </x:c>
      <x:c r="M439" s="10" t="n">
        <x:v>8</x:v>
      </x:c>
      <x:c r="N439" s="10" t="str">
        <x:v>Preprint; not peer-reviewed</x:v>
      </x:c>
      <x:c r="O439" s="10" t="n">
        <x:v>5</x:v>
      </x:c>
      <x:c r="P439" s="10" t="str">
        <x:v>preprint</x:v>
      </x:c>
      <x:c r="Q439" s="10" t="str">
        <x:v>direct</x:v>
      </x:c>
      <x:c r="R439" s="10" t="str">
        <x:v>https://arxiv.org/abs/2606.03362</x:v>
      </x:c>
    </x:row>
    <x:row r="440">
      <x:c r="A440" s="10" t="n">
        <x:f>RANK.EQ(B440,$B$2:$B$446,0)+COUNTIF($B$2:B440,B440)-1</x:f>
        <x:v>439</x:v>
      </x:c>
      <x:c r="B440" s="22" t="n">
        <x:f>I440+K440+M440+O440</x:f>
        <x:v>54</x:v>
      </x:c>
      <x:c r="C440" s="10" t="str">
        <x:f>IF(B440&gt;=93,"A — Highest",IF(B440&gt;=85,"B — Very strong",IF(B440&gt;=75,"C — Strong",IF(B440&gt;=65,"D — Useful","E — Supporting"))))</x:f>
        <x:v>E — Supporting</x:v>
      </x:c>
      <x:c r="D440" s="10" t="str">
        <x:v>Government of Canada Invests CAD $195 Million in Xanadu to Build the Quantum Supply Chain</x:v>
      </x:c>
      <x:c r="E440" s="10" t="str">
        <x:v>2026-08-28</x:v>
      </x:c>
      <x:c r="F440" s="10" t="str">
        <x:v>C</x:v>
      </x:c>
      <x:c r="G440" s="10" t="str">
        <x:v>Financial Times</x:v>
      </x:c>
      <x:c r="H440" s="10" t="str"/>
      <x:c r="I440" s="10" t="n">
        <x:v>25</x:v>
      </x:c>
      <x:c r="J440" s="10" t="str">
        <x:v>Current-event / signal source</x:v>
      </x:c>
      <x:c r="K440" s="10" t="n">
        <x:v>18</x:v>
      </x:c>
      <x:c r="L440" s="10" t="str">
        <x:v>Scanner-admitted EU-relevant signal</x:v>
      </x:c>
      <x:c r="M440" s="10" t="n">
        <x:v>9</x:v>
      </x:c>
      <x:c r="N440" s="10" t="str">
        <x:v>Current-event/signal evidence</x:v>
      </x:c>
      <x:c r="O440" s="10" t="n">
        <x:v>2</x:v>
      </x:c>
      <x:c r="P440" s="10" t="str">
        <x:v>investment / capacity</x:v>
      </x:c>
      <x:c r="Q440" s="10" t="str"/>
      <x:c r="R440" s="10" t="str">
        <x:v>https://news.google.com/rss/articles/CBMilwFBVV95cUxQTFh2ZFhnM2cwelFWaHVOMWVTTVJWN1FCTlZVdzJJY3NJUXRDTDBubWg0OEF3MmVpMHRIYlBWNE1SZW9wbDFtak5BeTBTTEJ5WWNfV2VxTXloWHJmRDA1eHpidmFNQkNrVXdCWEhNTmhGYk1hTG80S1M1S0JDNHd3dkd1YzhKaEU5TWV0aGNyYkpxdG84MWU0?oc=5</x:v>
      </x:c>
    </x:row>
    <x:row r="441">
      <x:c r="A441" s="10" t="n">
        <x:f>RANK.EQ(B441,$B$2:$B$446,0)+COUNTIF($B$2:B441,B441)-1</x:f>
        <x:v>440</x:v>
      </x:c>
      <x:c r="B441" s="22" t="n">
        <x:f>I441+K441+M441+O441</x:f>
        <x:v>54</x:v>
      </x:c>
      <x:c r="C441" s="10" t="str">
        <x:f>IF(B441&gt;=93,"A — Highest",IF(B441&gt;=85,"B — Very strong",IF(B441&gt;=75,"C — Strong",IF(B441&gt;=65,"D — Useful","E — Supporting"))))</x:f>
        <x:v>E — Supporting</x:v>
      </x:c>
      <x:c r="D441" s="10" t="str">
        <x:v>UK venture capital investment rebounds as software and biotech attract funding</x:v>
      </x:c>
      <x:c r="E441" s="10" t="str">
        <x:v>2026-08-28</x:v>
      </x:c>
      <x:c r="F441" s="10" t="str">
        <x:v>C</x:v>
      </x:c>
      <x:c r="G441" s="10" t="str">
        <x:v>Financial Times</x:v>
      </x:c>
      <x:c r="H441" s="10" t="str"/>
      <x:c r="I441" s="10" t="n">
        <x:v>25</x:v>
      </x:c>
      <x:c r="J441" s="10" t="str">
        <x:v>Current-event / signal source</x:v>
      </x:c>
      <x:c r="K441" s="10" t="n">
        <x:v>18</x:v>
      </x:c>
      <x:c r="L441" s="10" t="str">
        <x:v>Scanner-admitted EU-relevant signal</x:v>
      </x:c>
      <x:c r="M441" s="10" t="n">
        <x:v>9</x:v>
      </x:c>
      <x:c r="N441" s="10" t="str">
        <x:v>Current-event/signal evidence</x:v>
      </x:c>
      <x:c r="O441" s="10" t="n">
        <x:v>2</x:v>
      </x:c>
      <x:c r="P441" s="10" t="str">
        <x:v>investment / capacity</x:v>
      </x:c>
      <x:c r="Q441" s="10" t="str"/>
      <x:c r="R441" s="10" t="str">
        <x:v>https://www.ft.com/content/25121087-b57c-4a50-ae83-f09399e2e84d</x:v>
      </x:c>
    </x:row>
    <x:row r="442">
      <x:c r="A442" s="10" t="n">
        <x:f>RANK.EQ(B442,$B$2:$B$446,0)+COUNTIF($B$2:B442,B442)-1</x:f>
        <x:v>441</x:v>
      </x:c>
      <x:c r="B442" s="22" t="n">
        <x:f>I442+K442+M442+O442</x:f>
        <x:v>54</x:v>
      </x:c>
      <x:c r="C442" s="10" t="str">
        <x:f>IF(B442&gt;=93,"A — Highest",IF(B442&gt;=85,"B — Very strong",IF(B442&gt;=75,"C — Strong",IF(B442&gt;=65,"D — Useful","E — Supporting"))))</x:f>
        <x:v>E — Supporting</x:v>
      </x:c>
      <x:c r="D442" s="10" t="str">
        <x:v>The loss of the 2021 expanded Child Tax Credit deepened economic pessimism | Brookings How the Expanded Child Tax Credit Affected Economic Sentiment</x:v>
      </x:c>
      <x:c r="E442" s="10" t="str">
        <x:v>2026-08-25</x:v>
      </x:c>
      <x:c r="F442" s="10" t="str">
        <x:v>C</x:v>
      </x:c>
      <x:c r="G442" s="10" t="str">
        <x:v>Brookings</x:v>
      </x:c>
      <x:c r="H442" s="10" t="str"/>
      <x:c r="I442" s="10" t="n">
        <x:v>25</x:v>
      </x:c>
      <x:c r="J442" s="10" t="str">
        <x:v>Current-event / signal source</x:v>
      </x:c>
      <x:c r="K442" s="10" t="n">
        <x:v>18</x:v>
      </x:c>
      <x:c r="L442" s="10" t="str">
        <x:v>Scanner-admitted EU-relevant signal</x:v>
      </x:c>
      <x:c r="M442" s="10" t="n">
        <x:v>9</x:v>
      </x:c>
      <x:c r="N442" s="10" t="str">
        <x:v>Current-event/signal evidence</x:v>
      </x:c>
      <x:c r="O442" s="10" t="n">
        <x:v>2</x:v>
      </x:c>
      <x:c r="P442" s="10" t="str">
        <x:v>research / talent</x:v>
      </x:c>
      <x:c r="Q442" s="10" t="str"/>
      <x:c r="R442" s="10" t="str">
        <x:v>https://www.brookings.edu/articles/expanded-child-tax-credit-economic-sentiment/</x:v>
      </x:c>
    </x:row>
    <x:row r="443">
      <x:c r="A443" s="10" t="n">
        <x:f>RANK.EQ(B443,$B$2:$B$446,0)+COUNTIF($B$2:B443,B443)-1</x:f>
        <x:v>442</x:v>
      </x:c>
      <x:c r="B443" s="22" t="n">
        <x:f>I443+K443+M443+O443</x:f>
        <x:v>54</x:v>
      </x:c>
      <x:c r="C443" s="10" t="str">
        <x:f>IF(B443&gt;=93,"A — Highest",IF(B443&gt;=85,"B — Very strong",IF(B443&gt;=75,"C — Strong",IF(B443&gt;=65,"D — Useful","E — Supporting"))))</x:f>
        <x:v>E — Supporting</x:v>
      </x:c>
      <x:c r="D443" s="10" t="str">
        <x:v>Europe Unveils US$35 Billion AI Gigafactory Plan</x:v>
      </x:c>
      <x:c r="E443" s="10" t="str">
        <x:v>2026-08-13</x:v>
      </x:c>
      <x:c r="F443" s="10" t="str">
        <x:v>C</x:v>
      </x:c>
      <x:c r="G443" s="10" t="str">
        <x:v>Industrial Info Resources (industry news analysis).</x:v>
      </x:c>
      <x:c r="H443" s="10" t="str"/>
      <x:c r="I443" s="10" t="n">
        <x:v>25</x:v>
      </x:c>
      <x:c r="J443" s="10" t="str">
        <x:v>Current-event / signal source</x:v>
      </x:c>
      <x:c r="K443" s="10" t="n">
        <x:v>18</x:v>
      </x:c>
      <x:c r="L443" s="10" t="str">
        <x:v>Scanner-admitted EU-relevant signal</x:v>
      </x:c>
      <x:c r="M443" s="10" t="n">
        <x:v>9</x:v>
      </x:c>
      <x:c r="N443" s="10" t="str">
        <x:v>Current-event/signal evidence</x:v>
      </x:c>
      <x:c r="O443" s="10" t="n">
        <x:v>2</x:v>
      </x:c>
      <x:c r="P443" s="10" t="str">
        <x:v>investment / capacity</x:v>
      </x:c>
      <x:c r="Q443" s="10" t="str"/>
      <x:c r="R443" s="10" t="str">
        <x:v>https://www.industrialinfo.com/iirenergy/industry-news/article/europe-unveils-us35-billion-ai-gigafactory-plan--361335</x:v>
      </x:c>
    </x:row>
    <x:row r="444">
      <x:c r="A444" s="10" t="n">
        <x:f>RANK.EQ(B444,$B$2:$B$446,0)+COUNTIF($B$2:B444,B444)-1</x:f>
        <x:v>443</x:v>
      </x:c>
      <x:c r="B444" s="22" t="n">
        <x:f>I444+K444+M444+O444</x:f>
        <x:v>54</x:v>
      </x:c>
      <x:c r="C444" s="10" t="str">
        <x:f>IF(B444&gt;=93,"A — Highest",IF(B444&gt;=85,"B — Very strong",IF(B444&gt;=75,"C — Strong",IF(B444&gt;=65,"D — Useful","E — Supporting"))))</x:f>
        <x:v>E — Supporting</x:v>
      </x:c>
      <x:c r="D444" s="10" t="str">
        <x:v>Europe hails AI gigafactory plan, but industry fears deeper US tech reliance</x:v>
      </x:c>
      <x:c r="E444" s="10" t="str">
        <x:v>2026-08-07</x:v>
      </x:c>
      <x:c r="F444" s="10" t="str">
        <x:v>C</x:v>
      </x:c>
      <x:c r="G444" s="10" t="str">
        <x:v>South China Morning Post</x:v>
      </x:c>
      <x:c r="H444" s="10" t="str"/>
      <x:c r="I444" s="10" t="n">
        <x:v>25</x:v>
      </x:c>
      <x:c r="J444" s="10" t="str">
        <x:v>Current-event / signal source</x:v>
      </x:c>
      <x:c r="K444" s="10" t="n">
        <x:v>18</x:v>
      </x:c>
      <x:c r="L444" s="10" t="str">
        <x:v>Scanner-admitted EU-relevant signal</x:v>
      </x:c>
      <x:c r="M444" s="10" t="n">
        <x:v>9</x:v>
      </x:c>
      <x:c r="N444" s="10" t="str">
        <x:v>Current-event/signal evidence</x:v>
      </x:c>
      <x:c r="O444" s="10" t="n">
        <x:v>2</x:v>
      </x:c>
      <x:c r="P444" s="10" t="str">
        <x:v>investment / capacity</x:v>
      </x:c>
      <x:c r="Q444" s="10" t="str"/>
      <x:c r="R444" s="10" t="str">
        <x:v>https://news.google.com/rss/articles/CBMitwFBVV95cUxOWE1yejJqLXB4cjk5N285SmI1RmxRMjVvZWNCb01wX0w4dndsMjZmTWV5aHFUdjJuSEVHX3hxbUx4aW1WVmVVNTV4UFlHcFZBNW4tc2F3bmtYMHBJeUFVd3dmTThtSVJnTlZOYXY5MmJ1aXU0anBQZ3VzM3FtZlFramh2aE54blZwaUNDVjlUTDAzZUVlWm5tbEJla1NZdlN2ZGJoOEoycHRhM182M0JhS3B5cVdDU1HSAbcBQVVfeXFMTm1ZdTNNQXEzWWQ0Y2dUMEszOXFDa1lYbjRVaml5TWRaa3BvdTNia2tFRDZnZUFRLTBTanVOdW1vX0hEMXRQZ3JyMDMxSnBUS1lmZFBvQmRyb1h5eDFObTh0aGpYZ1pLVy1SbWl1SkgzR3R3Sl9ieVgzN2VhMkpGOTNTWkMtNGd1Qmt0UUo2bkwyNWdMblJackQ5RkVPSHUtRmlCeTJHMC1XUU1mNlRlY21YNjNhNUhF?oc=5</x:v>
      </x:c>
    </x:row>
    <x:row r="445">
      <x:c r="A445" s="10" t="n">
        <x:f>RANK.EQ(B445,$B$2:$B$446,0)+COUNTIF($B$2:B445,B445)-1</x:f>
        <x:v>444</x:v>
      </x:c>
      <x:c r="B445" s="22" t="n">
        <x:f>I445+K445+M445+O445</x:f>
        <x:v>54</x:v>
      </x:c>
      <x:c r="C445" s="10" t="str">
        <x:f>IF(B445&gt;=93,"A — Highest",IF(B445&gt;=85,"B — Very strong",IF(B445&gt;=75,"C — Strong",IF(B445&gt;=65,"D — Useful","E — Supporting"))))</x:f>
        <x:v>E — Supporting</x:v>
      </x:c>
      <x:c r="D445" s="10" t="str">
        <x:v>China places 14 EU entities on its export control list, barring dual-use exports with immediate effect — including Rheinmetall (DE), Vigo Photonics (PL), Tatra Trucks (CZ), IHC (NL) and Lafert (IT), plus several technology and research organisations</x:v>
      </x:c>
      <x:c r="E445" s="10" t="str">
        <x:v>2026-07-24</x:v>
      </x:c>
      <x:c r="F445" s="10" t="str">
        <x:v>C</x:v>
      </x:c>
      <x:c r="G445" s="10" t="str">
        <x:v>South China Morning Post / corroborated current-event reporting</x:v>
      </x:c>
      <x:c r="H445" s="10" t="str"/>
      <x:c r="I445" s="10" t="n">
        <x:v>25</x:v>
      </x:c>
      <x:c r="J445" s="10" t="str">
        <x:v>Current-event / signal source</x:v>
      </x:c>
      <x:c r="K445" s="10" t="n">
        <x:v>18</x:v>
      </x:c>
      <x:c r="L445" s="10" t="str">
        <x:v>Scanner-admitted EU-relevant signal</x:v>
      </x:c>
      <x:c r="M445" s="10" t="n">
        <x:v>9</x:v>
      </x:c>
      <x:c r="N445" s="10" t="str">
        <x:v>Current-event/signal evidence</x:v>
      </x:c>
      <x:c r="O445" s="10" t="n">
        <x:v>2</x:v>
      </x:c>
      <x:c r="P445" s="10" t="str">
        <x:v>restriction / security</x:v>
      </x:c>
      <x:c r="Q445" s="10" t="str"/>
      <x:c r="R445" s="10" t="str">
        <x:v>https://www.scmp.com/economy/global-economy/article/3361732/china-adds-eu-entities-export-control-list</x:v>
      </x:c>
    </x:row>
    <x:row r="446">
      <x:c r="A446" s="10" t="n">
        <x:f>RANK.EQ(B446,$B$2:$B$446,0)+COUNTIF($B$2:B446,B446)-1</x:f>
        <x:v>445</x:v>
      </x:c>
      <x:c r="B446" s="22" t="n">
        <x:f>I446+K446+M446+O446</x:f>
        <x:v>54</x:v>
      </x:c>
      <x:c r="C446" s="10" t="str">
        <x:f>IF(B446&gt;=93,"A — Highest",IF(B446&gt;=85,"B — Very strong",IF(B446&gt;=75,"C — Strong",IF(B446&gt;=65,"D — Useful","E — Supporting"))))</x:f>
        <x:v>E — Supporting</x:v>
      </x:c>
      <x:c r="D446" s="10" t="str">
        <x:v>Helsing and Quantum Systems raise $1.8bn and $1.2bn mega-rounds to scale European defence AI and autonomous systems</x:v>
      </x:c>
      <x:c r="E446" s="10" t="str">
        <x:v>2026-07-13</x:v>
      </x:c>
      <x:c r="F446" s="10" t="str">
        <x:v>C</x:v>
      </x:c>
      <x:c r="G446" s="10" t="str">
        <x:v>Defense News / Helsing / Quantum Systems</x:v>
      </x:c>
      <x:c r="H446" s="10" t="str"/>
      <x:c r="I446" s="10" t="n">
        <x:v>25</x:v>
      </x:c>
      <x:c r="J446" s="10" t="str">
        <x:v>Current-event / signal source</x:v>
      </x:c>
      <x:c r="K446" s="10" t="n">
        <x:v>18</x:v>
      </x:c>
      <x:c r="L446" s="10" t="str">
        <x:v>Scanner-admitted EU-relevant signal</x:v>
      </x:c>
      <x:c r="M446" s="10" t="n">
        <x:v>9</x:v>
      </x:c>
      <x:c r="N446" s="10" t="str">
        <x:v>Current-event/signal evidence</x:v>
      </x:c>
      <x:c r="O446" s="10" t="n">
        <x:v>2</x:v>
      </x:c>
      <x:c r="P446" s="10" t="str">
        <x:v>cooperation / alignment</x:v>
      </x:c>
      <x:c r="Q446" s="10" t="str"/>
      <x:c r="R446" s="10" t="str">
        <x:v>https://helsing.ai/newsroom/helsing-raises-1-8bn-in-series-e</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11" hidden="0" customWidth="1"/>
    <x:col min="2" max="2" width="42" hidden="0" customWidth="1"/>
    <x:col min="3" max="3" width="12" hidden="0" customWidth="1"/>
    <x:col min="4" max="4" width="16" hidden="0" customWidth="1"/>
    <x:col min="5" max="5" width="27" hidden="0" customWidth="1"/>
    <x:col min="6" max="6" width="32" hidden="0" customWidth="1"/>
    <x:col min="7" max="7" width="24" hidden="0" customWidth="1"/>
    <x:col min="8" max="8" width="20" hidden="0" customWidth="1"/>
    <x:col min="9" max="9" width="18" hidden="0" customWidth="1"/>
    <x:col min="10" max="10" width="28" hidden="0" customWidth="1"/>
    <x:col min="11" max="11" width="28" hidden="0" customWidth="1"/>
    <x:col min="12" max="12" width="28" hidden="0" customWidth="1"/>
    <x:col min="13" max="13" width="42" hidden="0" customWidth="1"/>
    <x:col min="14" max="14" width="48" hidden="0" customWidth="1"/>
    <x:col min="15" max="15" width="20" hidden="0" customWidth="1"/>
    <x:col min="16" max="16" width="22" hidden="0" customWidth="1"/>
    <x:col min="17" max="17" width="24" hidden="0" customWidth="1"/>
    <x:col min="18" max="18" width="20" hidden="0" customWidth="1"/>
    <x:col min="19" max="19" width="42" hidden="0" customWidth="1"/>
  </x:cols>
  <x:sheetData>
    <x:row r="1">
      <x:c r="A1" s="5" t="str">
        <x:v>Score / 100</x:v>
      </x:c>
      <x:c r="B1" s="5" t="str">
        <x:v>Title</x:v>
      </x:c>
      <x:c r="C1" s="5" t="str">
        <x:v>Date</x:v>
      </x:c>
      <x:c r="D1" s="5" t="str">
        <x:v>Product</x:v>
      </x:c>
      <x:c r="E1" s="5" t="str">
        <x:v>Source</x:v>
      </x:c>
      <x:c r="F1" s="5" t="str">
        <x:v>Authors</x:v>
      </x:c>
      <x:c r="G1" s="5" t="str">
        <x:v>Type</x:v>
      </x:c>
      <x:c r="H1" s="5" t="str">
        <x:v>Source tier</x:v>
      </x:c>
      <x:c r="I1" s="5" t="str">
        <x:v>EU relevance</x:v>
      </x:c>
      <x:c r="J1" s="5" t="str">
        <x:v>EU evidence</x:v>
      </x:c>
      <x:c r="K1" s="5" t="str">
        <x:v>R&amp;I evidence</x:v>
      </x:c>
      <x:c r="L1" s="5" t="str">
        <x:v>Strategic evidence</x:v>
      </x:c>
      <x:c r="M1" s="5" t="str">
        <x:v>Core message</x:v>
      </x:c>
      <x:c r="N1" s="5" t="str">
        <x:v>Relevance / admission note</x:v>
      </x:c>
      <x:c r="O1" s="5" t="str">
        <x:v>Matrix auto cell</x:v>
      </x:c>
      <x:c r="P1" s="5" t="str">
        <x:v>Strategic classification</x:v>
      </x:c>
      <x:c r="Q1" s="5" t="str">
        <x:v>Discovery provenance</x:v>
      </x:c>
      <x:c r="R1" s="5" t="str">
        <x:v>First seen</x:v>
      </x:c>
      <x:c r="S1" s="5" t="str">
        <x:v>Source link</x:v>
      </x:c>
    </x:row>
    <x:row r="2">
      <x:c r="A2" s="10" t="n">
        <x:f>'Ranked sources'!B2</x:f>
        <x:v>100</x:v>
      </x:c>
      <x:c r="B2" s="10" t="str">
        <x:v>Artificial Intelligence for Biology: Capabilities, Readiness, and Policy Implications</x:v>
      </x:c>
      <x:c r="C2" s="10" t="str">
        <x:v>2026-09-01</x:v>
      </x:c>
      <x:c r="D2" s="10" t="str">
        <x:v>A</x:v>
      </x:c>
      <x:c r="E2" s="10" t="str">
        <x:v>JRC Publications Repository</x:v>
      </x:c>
      <x:c r="F2" s="10" t="str">
        <x:v>RUIZ, SERRA Victoria, FORTUNA, Paula, CURION, Fabiola, PETRILLO, Mauro, LEONI, Gabriele, BILI, Danai, MELANDRI, Daniela, VANGHELUWE, Nick, COMTE, Valentin, BERTOLINI, AGNOLETTO Lorenzo, COECKE, Sandra, CERESA, Mario, QUERCI, Maddalena, WIESENTHAL, Tobias</x:v>
      </x:c>
      <x:c r="G2" s="10" t="str">
        <x:v>official policy / institutional framework</x:v>
      </x:c>
      <x:c r="H2" s="10" t="str">
        <x:v>Tier 1</x:v>
      </x:c>
      <x:c r="I2" s="10" t="str">
        <x:v>direct</x:v>
      </x:c>
      <x:c r="J2" s="10" t="str">
        <x:v>joint research centre</x:v>
      </x:c>
      <x:c r="K2" s="10" t="str">
        <x:v>research and development; r&amp;d; artificial intelligence + research; ai + research; ai + innovation</x:v>
      </x:c>
      <x:c r="L2" s="10" t="str"/>
      <x:c r="M2" s="10" t="str">
        <x:v>and Policy Implications The European Commission has prioritised the use of AI (AI) in scientific research.</x:v>
      </x:c>
      <x:c r="N2" s="10" t="str">
        <x:v>Direct European/EU relevance (joint research centre); R&amp;I evidence: research and development, r&amp;d; strategic evidence: dependence_control, rules_power, access to; bridge: title/abstract.</x:v>
      </x:c>
      <x:c r="O2" s="10" t="str"/>
      <x:c r="P2" s="10" t="str"/>
      <x:c r="Q2" s="10" t="str"/>
      <x:c r="R2" s="10" t="str">
        <x:v>2026-09-01T09:06Z</x:v>
      </x:c>
      <x:c r="S2" s="10" t="str">
        <x:v>https://publications.jrc.ec.europa.eu/repository/handle/JRC147549</x:v>
      </x:c>
    </x:row>
    <x:row r="3">
      <x:c r="A3" s="10" t="n">
        <x:f>'Ranked sources'!B3</x:f>
        <x:v>100</x:v>
      </x:c>
      <x:c r="B3" s="10" t="str">
        <x:v>Four years of JRC Makers-in-Residence Programme</x:v>
      </x:c>
      <x:c r="C3" s="10" t="str">
        <x:v>2026-09-01</x:v>
      </x:c>
      <x:c r="D3" s="10" t="str">
        <x:v>A</x:v>
      </x:c>
      <x:c r="E3" s="10" t="str">
        <x:v>JRC Publications Repository</x:v>
      </x:c>
      <x:c r="F3" s="10" t="str">
        <x:v>ROSA, Paulo, GUIMARAES, PEREIRA Ângela</x:v>
      </x:c>
      <x:c r="G3" s="10" t="str">
        <x:v>official policy / institutional framework</x:v>
      </x:c>
      <x:c r="H3" s="10" t="str">
        <x:v>Tier 1</x:v>
      </x:c>
      <x:c r="I3" s="10" t="str">
        <x:v>direct</x:v>
      </x:c>
      <x:c r="J3" s="10" t="str">
        <x:v>jrc</x:v>
      </x:c>
      <x:c r="K3" s="10" t="str">
        <x:v>research and innovation</x:v>
      </x:c>
      <x:c r="L3" s="10" t="str"/>
      <x:c r="M3" s="10" t="str">
        <x:v>Four years of JRC Makers-in-Residence Programme.</x:v>
      </x:c>
      <x:c r="N3" s="10" t="str">
        <x:v>Direct European/EU relevance (jrc); R&amp;I evidence: research and innovation; strategic significance is not explicit in the source and should be assessed as a possible longer-run implication.</x:v>
      </x:c>
      <x:c r="O3" s="10" t="str"/>
      <x:c r="P3" s="10" t="str"/>
      <x:c r="Q3" s="10" t="str"/>
      <x:c r="R3" s="10" t="str">
        <x:v>2026-09-01T09:06Z</x:v>
      </x:c>
      <x:c r="S3" s="10" t="str">
        <x:v>https://publications.jrc.ec.europa.eu/repository/handle/JRC145095</x:v>
      </x:c>
    </x:row>
    <x:row r="4">
      <x:c r="A4" s="10" t="n">
        <x:f>'Ranked sources'!B4</x:f>
        <x:v>100</x:v>
      </x:c>
      <x:c r="B4" s="10" t="str">
        <x:v>Building Resilient and Robust Clean Energy Supply Chains: Challenges and Opportunities for a Sustainable Energy Transition</x:v>
      </x:c>
      <x:c r="C4" s="10" t="str">
        <x:v>2026-08-31</x:v>
      </x:c>
      <x:c r="D4" s="10" t="str">
        <x:v>A</x:v>
      </x:c>
      <x:c r="E4" s="10" t="str">
        <x:v>JRC Publications Repository</x:v>
      </x:c>
      <x:c r="F4" s="10" t="str">
        <x:v>GEORGAKAKI, Aliki, PIELA, Krzysztof</x:v>
      </x:c>
      <x:c r="G4" s="10" t="str">
        <x:v>research/policy paper</x:v>
      </x:c>
      <x:c r="H4" s="10" t="str">
        <x:v>Tier 1</x:v>
      </x:c>
      <x:c r="I4" s="10" t="str">
        <x:v>direct</x:v>
      </x:c>
      <x:c r="J4" s="10" t="str">
        <x:v>joint research centre</x:v>
      </x:c>
      <x:c r="K4" s="10" t="str">
        <x:v>r&amp;d; clean technology + research; artificial intelligence + innovative</x:v>
      </x:c>
      <x:c r="L4" s="10" t="str">
        <x:v>geopolit; critical raw materials</x:v>
      </x:c>
      <x:c r="M4" s="10" t="str">
        <x:v>establishing effective strategies for data collection, management.</x:v>
      </x:c>
      <x:c r="N4" s="10" t="str">
        <x:v>Direct EU relevance (joint research centre); R&amp;I evidence: r&amp;d, clean technology + research; strategic evidence: geopolit, critical raw materials; bridge: title/abstract.</x:v>
      </x:c>
      <x:c r="O4" s="10" t="str"/>
      <x:c r="P4" s="10" t="str"/>
      <x:c r="Q4" s="10" t="str"/>
      <x:c r="R4" s="10" t="str">
        <x:v>2026-08-31T11:36Z</x:v>
      </x:c>
      <x:c r="S4" s="10" t="str">
        <x:v>https://publications.jrc.ec.europa.eu/repository/handle/JRC147825</x:v>
      </x:c>
    </x:row>
    <x:row r="5">
      <x:c r="A5" s="10" t="n">
        <x:f>'Ranked sources'!B5</x:f>
        <x:v>100</x:v>
      </x:c>
      <x:c r="B5" s="10" t="str">
        <x:v>Environmentally Sustainable Digital Sovereignty</x:v>
      </x:c>
      <x:c r="C5" s="10" t="str">
        <x:v>2026-08-31</x:v>
      </x:c>
      <x:c r="D5" s="10" t="str">
        <x:v>A</x:v>
      </x:c>
      <x:c r="E5" s="10" t="str">
        <x:v>JRC Publications Repository</x:v>
      </x:c>
      <x:c r="F5" s="10" t="str">
        <x:v>COLOM, Anna, POHLE, Julia, THABIT, GONZALEZ Sara, BACCO, F. Manlio, DI, MARCO Diletta, MATHIEUX, Fabrice</x:v>
      </x:c>
      <x:c r="G5" s="10" t="str">
        <x:v>research/policy paper</x:v>
      </x:c>
      <x:c r="H5" s="10" t="str">
        <x:v>Tier 1</x:v>
      </x:c>
      <x:c r="I5" s="10" t="str">
        <x:v>direct</x:v>
      </x:c>
      <x:c r="J5" s="10" t="str">
        <x:v>joint research centre</x:v>
      </x:c>
      <x:c r="K5" s="10" t="str">
        <x:v>research and development</x:v>
      </x:c>
      <x:c r="L5" s="10" t="str">
        <x:v>strategic autonomy</x:v>
      </x:c>
      <x:c r="M5" s="10" t="str">
        <x:v>The concept of digital sovereignty is multifaceted, encompassing democracy, security, and economic competitiveness.</x:v>
      </x:c>
      <x:c r="N5" s="10" t="str">
        <x:v>Direct EU relevance (joint research centre); R&amp;I evidence: research and development; strategic evidence: strategic autonomy; bridge: title/abstract.</x:v>
      </x:c>
      <x:c r="O5" s="10" t="str"/>
      <x:c r="P5" s="10" t="str"/>
      <x:c r="Q5" s="10" t="str"/>
      <x:c r="R5" s="10" t="str">
        <x:v>2026-08-31T18:39Z</x:v>
      </x:c>
      <x:c r="S5" s="10" t="str">
        <x:v>https://publications.jrc.ec.europa.eu/repository/handle/JRC147383</x:v>
      </x:c>
    </x:row>
    <x:row r="6">
      <x:c r="A6" s="10" t="n">
        <x:f>'Ranked sources'!B6</x:f>
        <x:v>100</x:v>
      </x:c>
      <x:c r="B6" s="10" t="str">
        <x:v>Is Europe losing its startups?</x:v>
      </x:c>
      <x:c r="C6" s="10" t="str">
        <x:v>2026-08-31</x:v>
      </x:c>
      <x:c r="D6" s="10" t="str">
        <x:v>A</x:v>
      </x:c>
      <x:c r="E6" s="10" t="str">
        <x:v>JRC Publications Repository</x:v>
      </x:c>
      <x:c r="F6" s="10" t="str">
        <x:v>DOMNICK, Clemens, COMPANO, Ramon, PONFERRADA, Víctor, TOFAN, Bogdan, COLOMBO, Massimo, QUAS, Anita</x:v>
      </x:c>
      <x:c r="G6" s="10" t="str">
        <x:v>research/policy paper</x:v>
      </x:c>
      <x:c r="H6" s="10" t="str">
        <x:v>Tier 1</x:v>
      </x:c>
      <x:c r="I6" s="10" t="str">
        <x:v>direct</x:v>
      </x:c>
      <x:c r="J6" s="10" t="str">
        <x:v>europe</x:v>
      </x:c>
      <x:c r="K6" s="10" t="str">
        <x:v>innovation ecosystem; r&amp;d</x:v>
      </x:c>
      <x:c r="L6" s="10" t="str"/>
      <x:c r="M6" s="10" t="str">
        <x:v>For instance, a ‘virtual’ relocation to tap into VC markets abroad might be positive for firm growth.</x:v>
      </x:c>
      <x:c r="N6" s="10" t="str">
        <x:v>Direct EU relevance (europe); R&amp;I evidence: innovation ecosystem, r&amp;d; strategic evidence: dependence_control, international_coordination, location_capture; bridge: sentence.</x:v>
      </x:c>
      <x:c r="O6" s="10" t="str">
        <x:v>conversion-D</x:v>
      </x:c>
      <x:c r="P6" s="10" t="str"/>
      <x:c r="Q6" s="10" t="str"/>
      <x:c r="R6" s="10" t="str">
        <x:v>2026-08-31T18:21Z</x:v>
      </x:c>
      <x:c r="S6" s="10" t="str">
        <x:v>https://publications.jrc.ec.europa.eu/repository/handle/JRC146239</x:v>
      </x:c>
    </x:row>
    <x:row r="7">
      <x:c r="A7" s="10" t="n">
        <x:f>'Ranked sources'!B7</x:f>
        <x:v>100</x:v>
      </x:c>
      <x:c r="B7" s="10" t="str">
        <x:v>LUCAS Topsoil Survey for the Western Balkans</x:v>
      </x:c>
      <x:c r="C7" s="10" t="str">
        <x:v>2026-08-31</x:v>
      </x:c>
      <x:c r="D7" s="10" t="str">
        <x:v>A</x:v>
      </x:c>
      <x:c r="E7" s="10" t="str">
        <x:v>JRC Publications Repository</x:v>
      </x:c>
      <x:c r="F7" s="10" t="str">
        <x:v>ARIAS, NAVARRO Cristina, VIDOJEVIĆ, Dragana, ZDRULI, P., ISLAMAJ, Bexhet, SCARPA, Simone, YUNTA, Felipe, WOJDA, Piotr, JONES, Arwyn</x:v>
      </x:c>
      <x:c r="G7" s="10" t="str">
        <x:v>research/policy paper</x:v>
      </x:c>
      <x:c r="H7" s="10" t="str">
        <x:v>Tier 1</x:v>
      </x:c>
      <x:c r="I7" s="10" t="str">
        <x:v>direct</x:v>
      </x:c>
      <x:c r="J7" s="10" t="str">
        <x:v>joint research centre</x:v>
      </x:c>
      <x:c r="K7" s="10" t="str">
        <x:v>horizon europe</x:v>
      </x:c>
      <x:c r="L7" s="10" t="str"/>
      <x:c r="M7" s="10" t="str">
        <x:v>The dataset generated from this survey is crucial for understanding soil health and variability across the region.</x:v>
      </x:c>
      <x:c r="N7" s="10" t="str">
        <x:v>Direct EU relevance (joint research centre); R&amp;I evidence: horizon europe; strategic evidence: dependence_control, rules_power, access to; bridge: title/abstract.</x:v>
      </x:c>
      <x:c r="O7" s="10" t="str"/>
      <x:c r="P7" s="10" t="str"/>
      <x:c r="Q7" s="10" t="str"/>
      <x:c r="R7" s="10" t="str">
        <x:v>2026-08-31T18:51Z</x:v>
      </x:c>
      <x:c r="S7" s="10" t="str">
        <x:v>https://publications.jrc.ec.europa.eu/repository/handle/JRC142550</x:v>
      </x:c>
    </x:row>
    <x:row r="8">
      <x:c r="A8" s="10" t="n">
        <x:f>'Ranked sources'!B8</x:f>
        <x:v>100</x:v>
      </x:c>
      <x:c r="B8" s="10" t="str">
        <x:v>Overall Strategic Analysis of Clean Energy Technology in the European Union</x:v>
      </x:c>
      <x:c r="C8" s="10" t="str">
        <x:v>2026-08-31</x:v>
      </x:c>
      <x:c r="D8" s="10" t="str">
        <x:v>A</x:v>
      </x:c>
      <x:c r="E8" s="10" t="str">
        <x:v>JRC Publications Repository</x:v>
      </x:c>
      <x:c r="F8" s="10" t="str">
        <x:v>GEORGAKAKI, Aliki, PIELA, Krzysztof, DELGADO, CALLICÓ Laia, FINCK, Rafael, GRABOWSKA, Marcelina, INCE, Ela, MILETIC, Marija, MOUNTRAKI, Aikaterini, NOHL, Lucy, TAYLOR, Nigel, TERÇA, Gonçalo</x:v>
      </x:c>
      <x:c r="G8" s="10" t="str">
        <x:v>research/policy paper</x:v>
      </x:c>
      <x:c r="H8" s="10" t="str">
        <x:v>Tier 1</x:v>
      </x:c>
      <x:c r="I8" s="10" t="str">
        <x:v>direct</x:v>
      </x:c>
      <x:c r="J8" s="10" t="str">
        <x:v>european union; europe; european</x:v>
      </x:c>
      <x:c r="K8" s="10" t="str">
        <x:v>research and innovation</x:v>
      </x:c>
      <x:c r="L8" s="10" t="str">
        <x:v>critical raw materials</x:v>
      </x:c>
      <x:c r="M8" s="10" t="str">
        <x:v>The rate of electrification has, however, remained slow, hovering around 23% over the last decade.</x:v>
      </x:c>
      <x:c r="N8" s="10" t="str">
        <x:v>Direct EU relevance (european union, europe); R&amp;I evidence: research and innovation; strategic evidence: critical raw materials; bridge: title/abstract.</x:v>
      </x:c>
      <x:c r="O8" s="10" t="str">
        <x:v>infrastructure-A</x:v>
      </x:c>
      <x:c r="P8" s="10" t="str"/>
      <x:c r="Q8" s="10" t="str"/>
      <x:c r="R8" s="10" t="str">
        <x:v>2026-08-31T18:39Z</x:v>
      </x:c>
      <x:c r="S8" s="10" t="str">
        <x:v>https://publications.jrc.ec.europa.eu/repository/handle/JRC146873</x:v>
      </x:c>
    </x:row>
    <x:row r="9">
      <x:c r="A9" s="10" t="n">
        <x:f>'Ranked sources'!B9</x:f>
        <x:v>100</x:v>
      </x:c>
      <x:c r="B9" s="10" t="str">
        <x:v>Territories: Competitiveness, defence and preparedness</x:v>
      </x:c>
      <x:c r="C9" s="10" t="str">
        <x:v>2026-08-31</x:v>
      </x:c>
      <x:c r="D9" s="10" t="str">
        <x:v>A</x:v>
      </x:c>
      <x:c r="E9" s="10" t="str">
        <x:v>JRC Publications Repository</x:v>
      </x:c>
      <x:c r="F9" s="10" t="str">
        <x:v>SILLERO, ILLANES Carmen</x:v>
      </x:c>
      <x:c r="G9" s="10" t="str">
        <x:v>research/policy paper</x:v>
      </x:c>
      <x:c r="H9" s="10" t="str">
        <x:v>Tier 1</x:v>
      </x:c>
      <x:c r="I9" s="10" t="str">
        <x:v>direct</x:v>
      </x:c>
      <x:c r="J9" s="10" t="str">
        <x:v>joint research centre</x:v>
      </x:c>
      <x:c r="K9" s="10" t="str">
        <x:v>innovation ecosystem</x:v>
      </x:c>
      <x:c r="L9" s="10" t="str">
        <x:v>strategic autonomy; open strategic autonomy; dual-use</x:v>
      </x:c>
      <x:c r="M9" s="10" t="str">
        <x:v>NATO allies are committing to 5% of GDP by 2035.</x:v>
      </x:c>
      <x:c r="N9" s="10" t="str">
        <x:v>Direct EU relevance (joint research centre); R&amp;I evidence: innovation ecosystem; strategic evidence: strategic autonomy, open strategic autonomy, dual-use; bridge: sentence.</x:v>
      </x:c>
      <x:c r="O9" s="10" t="str">
        <x:v>conversion-A</x:v>
      </x:c>
      <x:c r="P9" s="10" t="str"/>
      <x:c r="Q9" s="10" t="str"/>
      <x:c r="R9" s="10" t="str">
        <x:v>2026-08-31T18:08Z</x:v>
      </x:c>
      <x:c r="S9" s="10" t="str">
        <x:v>https://publications.jrc.ec.europa.eu/repository/handle/JRC147349</x:v>
      </x:c>
    </x:row>
    <x:row r="10">
      <x:c r="A10" s="10" t="n">
        <x:f>'Ranked sources'!B10</x:f>
        <x:v>100</x:v>
      </x:c>
      <x:c r="B10" s="10" t="str">
        <x:v>JRC Security Research and Innovation Campus</x:v>
      </x:c>
      <x:c r="C10" s="10" t="str">
        <x:v>2026-08-26</x:v>
      </x:c>
      <x:c r="D10" s="10" t="str">
        <x:v>A</x:v>
      </x:c>
      <x:c r="E10" s="10" t="str">
        <x:v>JRC Publications Repository</x:v>
      </x:c>
      <x:c r="F10" s="10" t="str">
        <x:v>DOHERTY, Brian, CEGLIA, Andrea</x:v>
      </x:c>
      <x:c r="G10" s="10" t="str">
        <x:v>formal study / report</x:v>
      </x:c>
      <x:c r="H10" s="10" t="str">
        <x:v>Tier 1</x:v>
      </x:c>
      <x:c r="I10" s="10" t="str">
        <x:v>direct</x:v>
      </x:c>
      <x:c r="J10" s="10" t="str">
        <x:v>jrc</x:v>
      </x:c>
      <x:c r="K10" s="10" t="str">
        <x:v>research and innovation; research &amp; innovation</x:v>
      </x:c>
      <x:c r="L10" s="10" t="str"/>
      <x:c r="M10" s="10" t="str">
        <x:v>JRC Security Research and Innovation Campus Bridging the gap between operations and research The Security Research &amp; Innovation Campus will bring together researchers and practitioners to turn innovative ideas into real solutions for a stronger and safer Europe. JRC Security Research and Innovation Campus. It is a key deliverable of ProtectEU, the European Internal Security Strategy.</x:v>
      </x:c>
      <x:c r="N10" s="10" t="str">
        <x:v>Direct European/EU relevance (jrc); R&amp;I evidence: research and innovation, research &amp; innovation; strategic significance is not explicit in the source and should be assessed as a possible longer-run implication.</x:v>
      </x:c>
      <x:c r="O10" s="10" t="str"/>
      <x:c r="P10" s="10" t="str"/>
      <x:c r="Q10" s="10" t="str"/>
      <x:c r="R10" s="10" t="str">
        <x:v>2026-09-01T15:01Z</x:v>
      </x:c>
      <x:c r="S10" s="10" t="str">
        <x:v>https://publications.jrc.ec.europa.eu/repository/handle/JRC146102</x:v>
      </x:c>
    </x:row>
    <x:row r="11">
      <x:c r="A11" s="10" t="n">
        <x:f>'Ranked sources'!B11</x:f>
        <x:v>100</x:v>
      </x:c>
      <x:c r="B11" s="10" t="str">
        <x:v>Proposing an EU Earth Observation science service</x:v>
      </x:c>
      <x:c r="C11" s="10" t="str">
        <x:v>2026-08-20</x:v>
      </x:c>
      <x:c r="D11" s="10" t="str">
        <x:v>A</x:v>
      </x:c>
      <x:c r="E11" s="10" t="str">
        <x:v>JRC Publications Repository</x:v>
      </x:c>
      <x:c r="F11" s="10" t="str">
        <x:v>VALLEJO, ORTI Miguel, LAHSAINI, Meriam, VANCUTSEM, Christelle, JEAN, Dussart, DOWELL, Mark</x:v>
      </x:c>
      <x:c r="G11" s="10" t="str">
        <x:v>formal study / report</x:v>
      </x:c>
      <x:c r="H11" s="10" t="str">
        <x:v>Tier 1</x:v>
      </x:c>
      <x:c r="I11" s="10" t="str">
        <x:v>direct</x:v>
      </x:c>
      <x:c r="J11" s="10" t="str">
        <x:v>EU</x:v>
      </x:c>
      <x:c r="K11" s="10" t="str">
        <x:v>r&amp;i; horizon europe</x:v>
      </x:c>
      <x:c r="L11" s="10" t="str"/>
      <x:c r="M11" s="10" t="str">
        <x:v>Utilizing an inverse value chain approach, the KCEO translates policy needs into concrete technical specifications.</x:v>
      </x:c>
      <x:c r="N11" s="10" t="str">
        <x:v>Direct European/EU relevance (EU); R&amp;I evidence: r&amp;i, horizon europe; strategic significance is not explicit in the source and should be assessed as a possible longer-run implication.</x:v>
      </x:c>
      <x:c r="O11" s="10" t="str"/>
      <x:c r="P11" s="10" t="str"/>
      <x:c r="Q11" s="10" t="str"/>
      <x:c r="R11" s="10" t="str">
        <x:v>2026-09-01T15:01Z</x:v>
      </x:c>
      <x:c r="S11" s="10" t="str">
        <x:v>https://publications.jrc.ec.europa.eu/repository/handle/JRC147680</x:v>
      </x:c>
    </x:row>
    <x:row r="12">
      <x:c r="A12" s="10" t="n">
        <x:f>'Ranked sources'!B12</x:f>
        <x:v>100</x:v>
      </x:c>
      <x:c r="B12" s="10" t="str">
        <x:v>Systemic intermediation for transformative research and innovation policy: intermediation activities and networks enabled through a portfolio approach</x:v>
      </x:c>
      <x:c r="C12" s="10" t="str">
        <x:v>2026-08-19</x:v>
      </x:c>
      <x:c r="D12" s="10" t="str">
        <x:v>A</x:v>
      </x:c>
      <x:c r="E12" s="10" t="str">
        <x:v>JRC Publications Repository</x:v>
      </x:c>
      <x:c r="F12" s="10" t="str">
        <x:v>BRODNICK, Christoph, MATTI, Cristian, ROMERO, GOYENECHE Oscar</x:v>
      </x:c>
      <x:c r="G12" s="10" t="str">
        <x:v>formal study / report</x:v>
      </x:c>
      <x:c r="H12" s="10" t="str">
        <x:v>Tier 1</x:v>
      </x:c>
      <x:c r="I12" s="10" t="str">
        <x:v>direct</x:v>
      </x:c>
      <x:c r="J12" s="10" t="str">
        <x:v>joint research centre</x:v>
      </x:c>
      <x:c r="K12" s="10" t="str">
        <x:v>research and innovation; r&amp;i; innovation policy</x:v>
      </x:c>
      <x:c r="L12" s="10" t="str"/>
      <x:c r="M12" s="10" t="str">
        <x:v>Systemic intermediation for transformative research and innovation policy: intermediation activities and networks enabled through a portfolio approach Systemic intermediation is pivotal for the operationalisation of transformative research and innovation (R&amp;I) policy. Systemic intermediation for transformative research and innovation policy: intermediation activities and networks enabled through a portfolio approach. This paper examines systemic intermediation at lower and higher system levels, focusing on the activities and networks that emerge through the implementation of a portfolio of R&amp;I programmes and projects.</x:v>
      </x:c>
      <x:c r="N12" s="10" t="str">
        <x:v>Direct European/EU relevance (joint research centre); R&amp;I evidence: research and innovation, r&amp;i; strategic significance is not explicit in the source and should be assessed as a possible longer-run implication.</x:v>
      </x:c>
      <x:c r="O12" s="10" t="str"/>
      <x:c r="P12" s="10" t="str"/>
      <x:c r="Q12" s="10" t="str"/>
      <x:c r="R12" s="10" t="str">
        <x:v>2026-09-01T15:48Z</x:v>
      </x:c>
      <x:c r="S12" s="10" t="str">
        <x:v>https://publications.jrc.ec.europa.eu/repository/handle/JRC140783</x:v>
      </x:c>
    </x:row>
    <x:row r="13">
      <x:c r="A13" s="10" t="n">
        <x:f>'Ranked sources'!B13</x:f>
        <x:v>100</x:v>
      </x:c>
      <x:c r="B13" s="10" t="str">
        <x:v>Sustainable productivity growth in agriculture: The role of shifts in R&amp;D investments and technology</x:v>
      </x:c>
      <x:c r="C13" s="10" t="str">
        <x:v>2026-08-14</x:v>
      </x:c>
      <x:c r="D13" s="10" t="str">
        <x:v>A</x:v>
      </x:c>
      <x:c r="E13" s="10" t="str">
        <x:v>JRC Publications Repository</x:v>
      </x:c>
      <x:c r="F13" s="10" t="str">
        <x:v>SMEETS, KRISTKOVA Zuzana, VAN, DIJK Michiel, M'BAREK, Robert, VAN, MEIJL Hans, RATINGER, Tomas</x:v>
      </x:c>
      <x:c r="G13" s="10" t="str">
        <x:v>formal study / report</x:v>
      </x:c>
      <x:c r="H13" s="10" t="str">
        <x:v>Tier 1</x:v>
      </x:c>
      <x:c r="I13" s="10" t="str">
        <x:v>direct</x:v>
      </x:c>
      <x:c r="J13" s="10" t="str">
        <x:v>joint research centre</x:v>
      </x:c>
      <x:c r="K13" s="10" t="str">
        <x:v>r&amp;d</x:v>
      </x:c>
      <x:c r="L13" s="10" t="str"/>
      <x:c r="M13" s="10" t="str">
        <x:v>Sustainable productivity growth in agriculture: The role of shifts in R&amp;D investments and technology.</x:v>
      </x:c>
      <x:c r="N13" s="10" t="str">
        <x:v>Direct European/EU relevance (joint research centre); R&amp;I evidence: r&amp;d; strategic significance is not explicit in the source and should be assessed as a possible longer-run implication.</x:v>
      </x:c>
      <x:c r="O13" s="10" t="str"/>
      <x:c r="P13" s="10" t="str"/>
      <x:c r="Q13" s="10" t="str"/>
      <x:c r="R13" s="10" t="str">
        <x:v>2026-09-01T15:48Z</x:v>
      </x:c>
      <x:c r="S13" s="10" t="str">
        <x:v>https://publications.jrc.ec.europa.eu/repository/handle/JRC142267</x:v>
      </x:c>
    </x:row>
    <x:row r="14">
      <x:c r="A14" s="10" t="n">
        <x:f>'Ranked sources'!B14</x:f>
        <x:v>100</x:v>
      </x:c>
      <x:c r="B14" s="10" t="str">
        <x:v>Study on Cloud and AI Development in the EU</x:v>
      </x:c>
      <x:c r="C14" s="10" t="str">
        <x:v>2026-08-11</x:v>
      </x:c>
      <x:c r="D14" s="10" t="str">
        <x:v>A</x:v>
      </x:c>
      <x:c r="E14" s="10" t="str">
        <x:v>European Commission — Digital Strategy</x:v>
      </x:c>
      <x:c r="F14" s="10" t="str">
        <x:v>Technopolis; Wavestone; STL Partners; Kappa Research; Timelex; Open Forum Europe</x:v>
      </x:c>
      <x:c r="G14" s="10" t="str">
        <x:v>formal study / report</x:v>
      </x:c>
      <x:c r="H14" s="10" t="str">
        <x:v>Tier 1</x:v>
      </x:c>
      <x:c r="I14" s="10" t="str">
        <x:v>direct</x:v>
      </x:c>
      <x:c r="J14" s="10" t="str">
        <x:v>EU</x:v>
      </x:c>
      <x:c r="K14" s="10" t="str">
        <x:v>AI + computing capacity; cloud/AI infrastructure</x:v>
      </x:c>
      <x:c r="L14" s="10" t="str">
        <x:v>dependence on non-European suppliers; cross-border barriers; third-country laws with extraterritorial effects</x:v>
      </x:c>
      <x:c r="M14" s="10" t="str">
        <x:v>EU cloud and AI computing capacity is limited and geographically concentrated.</x:v>
      </x:c>
      <x:c r="N14" s="10" t="str">
        <x:v>Direct EU relevance; R&amp;I evidence: cloud/AI computing capacity and infrastructure; strategic mechanism: dependence on non-European suppliers, cross-border barriers and exposure to third-country laws.</x:v>
      </x:c>
      <x:c r="O14" s="10" t="str"/>
      <x:c r="P14" s="10" t="str"/>
      <x:c r="Q14" s="10" t="str">
        <x:v>curator_correction_formal_evidence_route</x:v>
      </x:c>
      <x:c r="R14" s="10" t="str">
        <x:v>2026-08-31T17:20Z</x:v>
      </x:c>
      <x:c r="S14" s="10" t="str">
        <x:v>https://digital-strategy.ec.europa.eu/en/library/study-cloud-and-ai-development-eu</x:v>
      </x:c>
    </x:row>
    <x:row r="15">
      <x:c r="A15" s="10" t="n">
        <x:f>'Ranked sources'!B15</x:f>
        <x:v>100</x:v>
      </x:c>
      <x:c r="B15" s="10" t="str">
        <x:v>Choose Europe for Science</x:v>
      </x:c>
      <x:c r="C15" s="10" t="str">
        <x:v>2026-08-10</x:v>
      </x:c>
      <x:c r="D15" s="10" t="str">
        <x:v>A</x:v>
      </x:c>
      <x:c r="E15" s="10" t="str">
        <x:v>Marie Skłodowska-Curie Actions</x:v>
      </x:c>
      <x:c r="F15" s="10" t="str">
        <x:v>Marie Skłodowska-Curie Actions</x:v>
      </x:c>
      <x:c r="G15" s="10" t="str">
        <x:v>research/policy paper</x:v>
      </x:c>
      <x:c r="H15" s="10" t="str">
        <x:v>Tier 1</x:v>
      </x:c>
      <x:c r="I15" s="10" t="str">
        <x:v>direct</x:v>
      </x:c>
      <x:c r="J15" s="10" t="str">
        <x:v>europe</x:v>
      </x:c>
      <x:c r="K15" s="10" t="str">
        <x:v>research and innovation; horizon europe; research careers; research-talent flow / brain drain</x:v>
      </x:c>
      <x:c r="L15" s="10" t="str">
        <x:v>research-talent allocation / brain drain</x:v>
      </x:c>
      <x:c r="M15" s="10" t="str">
        <x:v>Here you can find out more about the MSCA Choose Europe for Science pilot action, its purpose, and who can apply.</x:v>
      </x:c>
      <x:c r="N15" s="10" t="str">
        <x:v>Direct European/EU relevance (europe); R&amp;I evidence: research and innovation, horizon europe; strategic evidence: research-talent allocation / brain drain; bridge: sentence.</x:v>
      </x:c>
      <x:c r="O15" s="10" t="str"/>
      <x:c r="P15" s="10" t="str"/>
      <x:c r="Q15" s="10" t="str"/>
      <x:c r="R15" s="10" t="str">
        <x:v>2026-09-01T15:48Z</x:v>
      </x:c>
      <x:c r="S15" s="10" t="str">
        <x:v>https://marie-sklodowska-curie-actions.ec.europa.eu/actions/choose-europe-for-science</x:v>
      </x:c>
    </x:row>
    <x:row r="16">
      <x:c r="A16" s="10" t="n">
        <x:f>'Ranked sources'!B16</x:f>
        <x:v>100</x:v>
      </x:c>
      <x:c r="B16" s="10" t="str">
        <x:v>Ready4EIC: new training programme for innovative SMEs in EU enlargement countries</x:v>
      </x:c>
      <x:c r="C16" s="10" t="str">
        <x:v>2026-08-07</x:v>
      </x:c>
      <x:c r="D16" s="10" t="str">
        <x:v>A</x:v>
      </x:c>
      <x:c r="E16" s="10" t="str">
        <x:v>European Commission — Research &amp; Innovation</x:v>
      </x:c>
      <x:c r="F16" s="10" t="str">
        <x:v>Directorate-General for Research and Innovation</x:v>
      </x:c>
      <x:c r="G16" s="10" t="str">
        <x:v>official notice / primary source</x:v>
      </x:c>
      <x:c r="H16" s="10" t="str">
        <x:v>Tier 1</x:v>
      </x:c>
      <x:c r="I16" s="10" t="str">
        <x:v>direct</x:v>
      </x:c>
      <x:c r="J16" s="10" t="str">
        <x:v>EU</x:v>
      </x:c>
      <x:c r="K16" s="10" t="str">
        <x:v>research and innovation; horizon europe; innovation ecosystem</x:v>
      </x:c>
      <x:c r="L16" s="10" t="str"/>
      <x:c r="M16" s="10" t="str">
        <x:v>Ready4EIC is delivered in two rounds, offering up to four months of structured capacity-building support.</x:v>
      </x:c>
      <x:c r="N16" s="10" t="str">
        <x:v>Direct European/EU relevance (EU); R&amp;I evidence: research and innovation, horizon europe; strategic significance is not explicit in the source and should be assessed as a possible longer-run implication.</x:v>
      </x:c>
      <x:c r="O16" s="10" t="str">
        <x:v>knowledge-A</x:v>
      </x:c>
      <x:c r="P16" s="10" t="str"/>
      <x:c r="Q16" s="10" t="str"/>
      <x:c r="R16" s="10" t="str">
        <x:v>2026-09-01T11:01Z</x:v>
      </x:c>
      <x:c r="S16" s="10" t="str">
        <x:v>https://research-and-innovation.ec.europa.eu/news/all-research-and-innovation-news/ready4eic-new-training-programme-innovative-smes-eu-enlargement-countries-2026-08-07_en</x:v>
      </x:c>
    </x:row>
    <x:row r="17">
      <x:c r="A17" s="10" t="n">
        <x:f>'Ranked sources'!B17</x:f>
        <x:v>100</x:v>
      </x:c>
      <x:c r="B17" s="10" t="str">
        <x:v>Europe’s venture capital gap and the financing of high-growth firms</x:v>
      </x:c>
      <x:c r="C17" s="10" t="str">
        <x:v>2026-08-04</x:v>
      </x:c>
      <x:c r="D17" s="10" t="str">
        <x:v>A</x:v>
      </x:c>
      <x:c r="E17" s="10" t="str">
        <x:v>European Central Bank</x:v>
      </x:c>
      <x:c r="F17" s="10" t="str">
        <x:v>Adam Baumann; Zakaria Gati; Francesca Vinci; Gerome Wolf</x:v>
      </x:c>
      <x:c r="G17" s="10" t="str">
        <x:v>manual-verified scholarly/policy source</x:v>
      </x:c>
      <x:c r="H17" s="10" t="str">
        <x:v>Tier 1</x:v>
      </x:c>
      <x:c r="I17" s="10" t="str">
        <x:v>direct</x:v>
      </x:c>
      <x:c r="J17" s="10" t="str"/>
      <x:c r="K17" s="10" t="str"/>
      <x:c r="L17" s="10" t="str"/>
      <x:c r="M17" s="10" t="str">
        <x:v>Europe's late-stage VC gap increases reliance on non-EU investors and raises relocation risks.</x:v>
      </x:c>
      <x:c r="N17"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7" s="10" t="str">
        <x:v>conversion-D</x:v>
      </x:c>
      <x:c r="P17" s="10" t="str"/>
      <x:c r="Q17" s="10" t="str">
        <x:v>manual</x:v>
      </x:c>
      <x:c r="R17" s="10" t="str">
        <x:v>2026-08-25T09:39Z</x:v>
      </x:c>
      <x:c r="S17" s="10" t="str">
        <x:v>https://www.ecb.europa.eu/press/economic-bulletin/focus/2026/html/ecb.ebbox202605_01~4453cc2a34.en.html</x:v>
      </x:c>
    </x:row>
    <x:row r="18">
      <x:c r="A18" s="10" t="n">
        <x:f>'Ranked sources'!B18</x:f>
        <x:v>100</x:v>
      </x:c>
      <x:c r="B18" s="10" t="str">
        <x:v>JRC Global Biodiversity Data Services (GBDS): Data Distribution Architecture, REST API and Query Builder</x:v>
      </x:c>
      <x:c r="C18" s="10" t="str">
        <x:v>2026-07-30</x:v>
      </x:c>
      <x:c r="D18" s="10" t="str">
        <x:v>A</x:v>
      </x:c>
      <x:c r="E18" s="10" t="str">
        <x:v>JRC Publications Repository</x:v>
      </x:c>
      <x:c r="F18" s="10" t="str">
        <x:v>LAZARO, Cristina, GOUTIS, Dimitrios, MANDRICI, Andrea, DELLI, Giacomo, DUBOIS, Gregoire</x:v>
      </x:c>
      <x:c r="G18" s="10" t="str">
        <x:v>formal study / report</x:v>
      </x:c>
      <x:c r="H18" s="10" t="str">
        <x:v>Tier 1</x:v>
      </x:c>
      <x:c r="I18" s="10" t="str">
        <x:v>direct</x:v>
      </x:c>
      <x:c r="J18" s="10" t="str">
        <x:v>jrc</x:v>
      </x:c>
      <x:c r="K18" s="10" t="str">
        <x:v>scientific cooperation</x:v>
      </x:c>
      <x:c r="L18" s="10" t="str"/>
      <x:c r="M18" s="10" t="str">
        <x:v>JRC Global Biodiversity Data Services (GBDS): Data Distribution Architecture, REST API and Query Builder.</x:v>
      </x:c>
      <x:c r="N18" s="10" t="str">
        <x:v>Direct European/EU relevance (jrc); R&amp;I evidence: scientific cooperation; strategic evidence: dependence_control, international_coordination, access to; bridge: title/abstract.</x:v>
      </x:c>
      <x:c r="O18" s="10" t="str"/>
      <x:c r="P18" s="10" t="str"/>
      <x:c r="Q18" s="10" t="str"/>
      <x:c r="R18" s="10" t="str">
        <x:v>2026-09-02T09:06Z</x:v>
      </x:c>
      <x:c r="S18" s="10" t="str">
        <x:v>https://publications.jrc.ec.europa.eu/repository/handle/JRC147250</x:v>
      </x:c>
    </x:row>
    <x:row r="19">
      <x:c r="A19" s="10" t="n">
        <x:f>'Ranked sources'!B19</x:f>
        <x:v>100</x:v>
      </x:c>
      <x:c r="B19" s="10" t="str">
        <x:v>Environmental Biotechnology for a Sustainable and Competitive EU</x:v>
      </x:c>
      <x:c r="C19" s="10" t="str">
        <x:v>2026-07-29</x:v>
      </x:c>
      <x:c r="D19" s="10" t="str">
        <x:v>A</x:v>
      </x:c>
      <x:c r="E19" s="10" t="str">
        <x:v>JRC Publications Repository</x:v>
      </x:c>
      <x:c r="F19" s="10" t="str">
        <x:v>CARLOTTI, Monica, SALA, Serenella, LETTIERI, Teresa</x:v>
      </x:c>
      <x:c r="G19" s="10" t="str">
        <x:v>formal study / report</x:v>
      </x:c>
      <x:c r="H19" s="10" t="str">
        <x:v>Tier 1</x:v>
      </x:c>
      <x:c r="I19" s="10" t="str">
        <x:v>direct</x:v>
      </x:c>
      <x:c r="J19" s="10" t="str">
        <x:v>EU</x:v>
      </x:c>
      <x:c r="K19" s="10" t="str">
        <x:v>biotechnology + science</x:v>
      </x:c>
      <x:c r="L19" s="10" t="str">
        <x:v>strategic autonomy</x:v>
      </x:c>
      <x:c r="M19" s="10" t="str">
        <x:v>as a technology that can strengthen Europe’s industrial base, support innovation and public health.</x:v>
      </x:c>
      <x:c r="N19" s="10" t="str">
        <x:v>Direct European/EU relevance (EU); R&amp;I evidence: biotechnology + science; strategic evidence: strategic autonomy; bridge: title/abstract.</x:v>
      </x:c>
      <x:c r="O19" s="10" t="str">
        <x:v>conversion-A</x:v>
      </x:c>
      <x:c r="P19" s="10" t="str"/>
      <x:c r="Q19" s="10" t="str"/>
      <x:c r="R19" s="10" t="str">
        <x:v>2026-09-02T11:55Z</x:v>
      </x:c>
      <x:c r="S19" s="10" t="str">
        <x:v>https://publications.jrc.ec.europa.eu/repository/handle/JRC147778</x:v>
      </x:c>
    </x:row>
    <x:row r="20">
      <x:c r="A20" s="10" t="n">
        <x:f>'Ranked sources'!B20</x:f>
        <x:v>100</x:v>
      </x:c>
      <x:c r="B20" s="10" t="str">
        <x:v>Research and innovation projects supporting the upcoming Circular Economy Act</x:v>
      </x:c>
      <x:c r="C20" s="10" t="str">
        <x:v>2026-07-28</x:v>
      </x:c>
      <x:c r="D20" s="10" t="str">
        <x:v>A</x:v>
      </x:c>
      <x:c r="E20" s="10" t="str">
        <x:v>European Commission — Research &amp; Innovation</x:v>
      </x:c>
      <x:c r="F20" s="10" t="str">
        <x:v>Directorate-General for Research and Innovation</x:v>
      </x:c>
      <x:c r="G20" s="10" t="str">
        <x:v>official notice / primary source</x:v>
      </x:c>
      <x:c r="H20" s="10" t="str">
        <x:v>Tier 1</x:v>
      </x:c>
      <x:c r="I20" s="10" t="str">
        <x:v>direct</x:v>
      </x:c>
      <x:c r="J20" s="10" t="str">
        <x:v>horizon europe</x:v>
      </x:c>
      <x:c r="K20" s="10" t="str">
        <x:v>research and innovation; horizon europe</x:v>
      </x:c>
      <x:c r="L20" s="10" t="str">
        <x:v>critical raw materials</x:v>
      </x:c>
      <x:c r="M20" s="10" t="str">
        <x:v>R&amp;I projects supporting the upcoming Circular Economy Act.</x:v>
      </x:c>
      <x:c r="N20" s="10" t="str">
        <x:v>Direct EU relevance (horizon europe); R&amp;I evidence: research and innovation, horizon europe; strategic evidence: critical raw materials; bridge: sentence.</x:v>
      </x:c>
      <x:c r="O20" s="10" t="str">
        <x:v>knowledge-A</x:v>
      </x:c>
      <x:c r="P20" s="10" t="str"/>
      <x:c r="Q20" s="10" t="str"/>
      <x:c r="R20" s="10" t="str">
        <x:v>2026-08-31T18:08Z</x:v>
      </x:c>
      <x:c r="S20" s="10" t="str">
        <x:v>https://research-and-innovation.ec.europa.eu/news/all-research-and-innovation-news/research-and-innovation-projects-supporting-upcoming-circular-economy-act-2026-07-28_en</x:v>
      </x:c>
    </x:row>
    <x:row r="21">
      <x:c r="A21" s="10" t="n">
        <x:f>'Ranked sources'!B21</x:f>
        <x:v>100</x:v>
      </x:c>
      <x:c r="B21" s="10" t="str">
        <x:v>Autonomy through partnerships: Charting the EU's global digital engagement</x:v>
      </x:c>
      <x:c r="C21" s="10" t="str">
        <x:v>2026-07-27</x:v>
      </x:c>
      <x:c r="D21" s="10" t="str">
        <x:v>A</x:v>
      </x:c>
      <x:c r="E21" s="10" t="str">
        <x:v>EUISS</x:v>
      </x:c>
      <x:c r="F21" s="10" t="str">
        <x:v>EUISS</x:v>
      </x:c>
      <x:c r="G21" s="10" t="str">
        <x:v>institutional report</x:v>
      </x:c>
      <x:c r="H21" s="10" t="str">
        <x:v>Tier 1</x:v>
      </x:c>
      <x:c r="I21" s="10" t="str">
        <x:v>direct</x:v>
      </x:c>
      <x:c r="J21" s="10" t="str"/>
      <x:c r="K21" s="10" t="str"/>
      <x:c r="L21" s="10" t="str"/>
      <x:c r="M21" s="10" t="str">
        <x:v>This reflects intensifying geopolitical competition, technological fragmentation and heightened cybersecurity risks, alongside recognition that digital power is now inseparable from economic security, societal resilience and global influence. Mapping nearly 200 EU initiatives, this Analysis argues that a coherent external digital strategy is essential to strengthen resilience, reduce dependencies and enhance Europe’s strategic autonomy.. As geopolitical competition intensifies, the EU needs a more coherent external digital strategy that complements its pursuit of digital sovereignty. &gt; Drawing on 199 EU -led digital initiatives across all major regions and five domains, this Analysis shows that the Union’s global engagement now extends well beyond regulation to include infrastructure, research, cybersecurity and security cooperation.</x:v>
      </x:c>
      <x:c r="N21" s="10" t="str">
        <x:v>Direct EU relevance (EU); R&amp;I evidence: r&amp;d; strategic evidence: geopolit, economic security; bridge: title/abstract.</x:v>
      </x:c>
      <x:c r="O21" s="10" t="str"/>
      <x:c r="P21" s="10" t="str"/>
      <x:c r="Q21" s="10" t="str"/>
      <x:c r="R21" s="10" t="str">
        <x:v>2026-08-18T11:04Z</x:v>
      </x:c>
      <x:c r="S21" s="10" t="str">
        <x:v>https://www.iss.europa.eu/sites/default/files/2026-07/2026-07%20Autonomy%20through%20partnerships.pdf</x:v>
      </x:c>
    </x:row>
    <x:row r="22">
      <x:c r="A22" s="10" t="n">
        <x:f>'Ranked sources'!B22</x:f>
        <x:v>100</x:v>
      </x:c>
      <x:c r="B22" s="10" t="str">
        <x:v>Changes in soil health in the EU</x:v>
      </x:c>
      <x:c r="C22" s="10" t="str">
        <x:v>2026-07-24</x:v>
      </x:c>
      <x:c r="D22" s="10" t="str">
        <x:v>A</x:v>
      </x:c>
      <x:c r="E22" s="10" t="str">
        <x:v>JRC Publications Repository</x:v>
      </x:c>
      <x:c r="F22" s="10" t="str">
        <x:v>BROOTHAERTS, Nils, EFTHIMIOU, Nikolaos, FENDRICH, Arthur, JONES, Arwyn, PANAGOS, Panos</x:v>
      </x:c>
      <x:c r="G22" s="10" t="str">
        <x:v>formal study / report</x:v>
      </x:c>
      <x:c r="H22" s="10" t="str">
        <x:v>Tier 1</x:v>
      </x:c>
      <x:c r="I22" s="10" t="str">
        <x:v>direct</x:v>
      </x:c>
      <x:c r="J22" s="10" t="str">
        <x:v>EU</x:v>
      </x:c>
      <x:c r="K22" s="10" t="str">
        <x:v>technological innovation</x:v>
      </x:c>
      <x:c r="L22" s="10" t="str"/>
      <x:c r="M22" s="10" t="str">
        <x:v>future soil governance should combine harmonised monitoring, FAIR data principles, technological innovation.</x:v>
      </x:c>
      <x:c r="N22" s="10" t="str">
        <x:v>Direct European/EU relevance (EU); R&amp;I evidence: technological innovation; strategic significance is not explicit in the source and should be assessed as a possible longer-run implication.</x:v>
      </x:c>
      <x:c r="O22" s="10" t="str">
        <x:v>rules-A</x:v>
      </x:c>
      <x:c r="P22" s="10" t="str"/>
      <x:c r="Q22" s="10" t="str"/>
      <x:c r="R22" s="10" t="str">
        <x:v>2026-09-02T11:41Z</x:v>
      </x:c>
      <x:c r="S22" s="10" t="str">
        <x:v>https://publications.jrc.ec.europa.eu/repository/handle/JRC143225</x:v>
      </x:c>
    </x:row>
    <x:row r="23">
      <x:c r="A23" s="10" t="n">
        <x:f>'Ranked sources'!B23</x:f>
        <x:v>100</x:v>
      </x:c>
      <x:c r="B23" s="10" t="str">
        <x:v>Multi-level governance for improving air quality in cities in the UNECE region: a science policy perspective</x:v>
      </x:c>
      <x:c r="C23" s="10" t="str">
        <x:v>2026-07-23</x:v>
      </x:c>
      <x:c r="D23" s="10" t="str">
        <x:v>A</x:v>
      </x:c>
      <x:c r="E23" s="10" t="str">
        <x:v>JRC Publications Repository</x:v>
      </x:c>
      <x:c r="F23" s="10" t="str">
        <x:v>VELDERS, Guus, EISOLD, A, THUNIS, Philippe, KIESEWETTER, Gregor, LUTZ, Martin, MAAS, Rob, LAMMERTS-HUITEMA, Maaike, OUWERSLOOT, Martine</x:v>
      </x:c>
      <x:c r="G23" s="10" t="str">
        <x:v>formal study / report</x:v>
      </x:c>
      <x:c r="H23" s="10" t="str">
        <x:v>Tier 1</x:v>
      </x:c>
      <x:c r="I23" s="10" t="str">
        <x:v>direct</x:v>
      </x:c>
      <x:c r="J23" s="10" t="str">
        <x:v>joint research centre</x:v>
      </x:c>
      <x:c r="K23" s="10" t="str">
        <x:v>science policy</x:v>
      </x:c>
      <x:c r="L23" s="10" t="str"/>
      <x:c r="M23" s="10" t="str">
        <x:v>Other significant sources lie outside cities.</x:v>
      </x:c>
      <x:c r="N23" s="10" t="str">
        <x:v>Direct European/EU relevance (joint research centre); R&amp;I evidence: science policy; strategic significance is not explicit in the source and should be assessed as a possible longer-run implication.</x:v>
      </x:c>
      <x:c r="O23" s="10" t="str"/>
      <x:c r="P23" s="10" t="str"/>
      <x:c r="Q23" s="10" t="str"/>
      <x:c r="R23" s="10" t="str">
        <x:v>2026-09-01T11:11Z</x:v>
      </x:c>
      <x:c r="S23" s="10" t="str">
        <x:v>https://publications.jrc.ec.europa.eu/repository/handle/JRC146654</x:v>
      </x:c>
    </x:row>
    <x:row r="24">
      <x:c r="A24" s="10" t="n">
        <x:f>'Ranked sources'!B24</x:f>
        <x:v>100</x:v>
      </x:c>
      <x:c r="B24" s="10" t="str">
        <x:v>New Twinning Learning Programme cohort brings together sixteen Mission cities and their twin partners</x:v>
      </x:c>
      <x:c r="C24" s="10" t="str">
        <x:v>2026-07-20</x:v>
      </x:c>
      <x:c r="D24" s="10" t="str">
        <x:v>A</x:v>
      </x:c>
      <x:c r="E24" s="10" t="str">
        <x:v>European Commission — Research &amp; Innovation</x:v>
      </x:c>
      <x:c r="F24" s="10" t="str">
        <x:v>Directorate-General for Research and Innovation</x:v>
      </x:c>
      <x:c r="G24" s="10" t="str">
        <x:v>official notice / primary source</x:v>
      </x:c>
      <x:c r="H24" s="10" t="str">
        <x:v>Tier 1</x:v>
      </x:c>
      <x:c r="I24" s="10" t="str">
        <x:v>direct</x:v>
      </x:c>
      <x:c r="J24" s="10" t="str">
        <x:v>european commission; horizon europe; jrc</x:v>
      </x:c>
      <x:c r="K24" s="10" t="str">
        <x:v>research and innovation; horizon europe</x:v>
      </x:c>
      <x:c r="L24" s="10" t="str"/>
      <x:c r="M24" s="10" t="str">
        <x:v>The programme strengthens cooperation between cities working towards climate neutrality by 2050.</x:v>
      </x:c>
      <x:c r="N24" s="10" t="str">
        <x:v>Direct European/EU relevance (european commission, horizon europe); R&amp;I evidence: research and innovation, horizon europe; strategic significance is not explicit in the source and should be assessed as a possible longer-run implication.</x:v>
      </x:c>
      <x:c r="O24" s="10" t="str"/>
      <x:c r="P24" s="10" t="str"/>
      <x:c r="Q24" s="10" t="str"/>
      <x:c r="R24" s="10" t="str">
        <x:v>2026-09-01T11:01Z</x:v>
      </x:c>
      <x:c r="S24" s="10" t="str">
        <x:v>https://research-and-innovation.ec.europa.eu/news/all-research-and-innovation-news/new-twinning-learning-programme-cohort-brings-together-sixteen-mission-cities-and-their-twin-2026-07-20_en</x:v>
      </x:c>
    </x:row>
    <x:row r="25">
      <x:c r="A25" s="10" t="n">
        <x:f>'Ranked sources'!B25</x:f>
        <x:v>100</x:v>
      </x:c>
      <x:c r="B25" s="10" t="str">
        <x:v>EU and Portugal team up to keep brightest tech talents at home</x:v>
      </x:c>
      <x:c r="C25" s="10" t="str">
        <x:v>2026-07-17</x:v>
      </x:c>
      <x:c r="D25" s="10" t="str">
        <x:v>A</x:v>
      </x:c>
      <x:c r="E25" s="10" t="str">
        <x:v>European Commission — Research &amp; Innovation</x:v>
      </x:c>
      <x:c r="F25" s="10" t="str">
        <x:v>Directorate-General for Research and Innovation</x:v>
      </x:c>
      <x:c r="G25" s="10" t="str">
        <x:v>official notice / primary source</x:v>
      </x:c>
      <x:c r="H25" s="10" t="str">
        <x:v>Tier 1</x:v>
      </x:c>
      <x:c r="I25" s="10" t="str">
        <x:v>direct</x:v>
      </x:c>
      <x:c r="J25" s="10" t="str">
        <x:v>EU; portugal</x:v>
      </x:c>
      <x:c r="K25" s="10" t="str">
        <x:v>research and innovation; r&amp;i; horizon europe; european research area; innovation ecosystem</x:v>
      </x:c>
      <x:c r="L25" s="10" t="str"/>
      <x:c r="M25" s="10" t="str">
        <x:v>Commissioner Zaharieva said : "Europe is incredible at inventing things.</x:v>
      </x:c>
      <x:c r="N25" s="10" t="str">
        <x:v>Direct European/EU relevance (EU, portugal); R&amp;I evidence: research and innovation, r&amp;i; strategic evidence: dependence_control, competition_capability, international_coordination; bridge: title/abstract.</x:v>
      </x:c>
      <x:c r="O25" s="10" t="str"/>
      <x:c r="P25" s="10" t="str"/>
      <x:c r="Q25" s="10" t="str"/>
      <x:c r="R25" s="10" t="str">
        <x:v>2026-09-01T11:01Z</x:v>
      </x:c>
      <x:c r="S25" s="10" t="str">
        <x:v>https://research-and-innovation.ec.europa.eu/news/all-research-and-innovation-news/eu-and-portugal-team-keep-brightest-tech-talents-home-2026-07-17_en</x:v>
      </x:c>
    </x:row>
    <x:row r="26">
      <x:c r="A26" s="10" t="n">
        <x:f>'Ranked sources'!B26</x:f>
        <x:v>100</x:v>
      </x:c>
      <x:c r="B26" s="10" t="str">
        <x:v>The causal effects of R&amp;D grants: Evidence from a regression discontinuity</x:v>
      </x:c>
      <x:c r="C26" s="10" t="str">
        <x:v>2026-07-14</x:v>
      </x:c>
      <x:c r="D26" s="10" t="str">
        <x:v>A</x:v>
      </x:c>
      <x:c r="E26" s="10" t="str">
        <x:v>JRC Publications Repository</x:v>
      </x:c>
      <x:c r="F26" s="10" t="str">
        <x:v>SANTOLERI, Pietro, MINA, Andrea, DI, MININ Alberto, MARTELLI, Irene</x:v>
      </x:c>
      <x:c r="G26" s="10" t="str">
        <x:v>formal study / report</x:v>
      </x:c>
      <x:c r="H26" s="10" t="str">
        <x:v>Tier 1</x:v>
      </x:c>
      <x:c r="I26" s="10" t="str">
        <x:v>direct</x:v>
      </x:c>
      <x:c r="J26" s="10" t="str">
        <x:v>joint research centre</x:v>
      </x:c>
      <x:c r="K26" s="10" t="str">
        <x:v>research program; research and development; r&amp;d</x:v>
      </x:c>
      <x:c r="L26" s="10" t="str"/>
      <x:c r="M26" s="10" t="str">
        <x:v>Heterogeneous effects are consistent with grants reducing financial frictions.</x:v>
      </x:c>
      <x:c r="N26" s="10" t="str">
        <x:v>Direct European/EU relevance (joint research centre); R&amp;I evidence: research program, research and development; strategic significance is not explicit in the source and should be assessed as a possible longer-run implication.</x:v>
      </x:c>
      <x:c r="O26" s="10" t="str"/>
      <x:c r="P26" s="10" t="str"/>
      <x:c r="Q26" s="10" t="str"/>
      <x:c r="R26" s="10" t="str">
        <x:v>2026-09-01T19:21Z</x:v>
      </x:c>
      <x:c r="S26" s="10" t="str">
        <x:v>https://publications.jrc.ec.europa.eu/repository/handle/JRC130713</x:v>
      </x:c>
    </x:row>
    <x:row r="27">
      <x:c r="A27" s="10" t="n">
        <x:f>'Ranked sources'!B27</x:f>
        <x:v>100</x:v>
      </x:c>
      <x:c r="B27" s="10" t="str">
        <x:v>New report published: Building Food 2040: stakeholder input for the new EU Strategic Research &amp; Innovation Agenda for Food Systems</x:v>
      </x:c>
      <x:c r="C27" s="10" t="str">
        <x:v>2026-07-13</x:v>
      </x:c>
      <x:c r="D27" s="10" t="str">
        <x:v>A</x:v>
      </x:c>
      <x:c r="E27" s="10" t="str">
        <x:v>European Commission — Research &amp; Innovation</x:v>
      </x:c>
      <x:c r="F27" s="10" t="str">
        <x:v>Directorate-General for Research and Innovation</x:v>
      </x:c>
      <x:c r="G27" s="10" t="str">
        <x:v>official notice / primary source</x:v>
      </x:c>
      <x:c r="H27" s="10" t="str">
        <x:v>Tier 1</x:v>
      </x:c>
      <x:c r="I27" s="10" t="str">
        <x:v>direct</x:v>
      </x:c>
      <x:c r="J27" s="10" t="str">
        <x:v>EU</x:v>
      </x:c>
      <x:c r="K27" s="10" t="str">
        <x:v>research and innovation; research &amp; innovation; r&amp;i; innovation policy</x:v>
      </x:c>
      <x:c r="L27" s="10" t="str">
        <x:v>strategic autonomy</x:v>
      </x:c>
      <x:c r="M27" s="10" t="str">
        <x:v>which helped support a more integrated understanding of food-systems R&amp;I.</x:v>
      </x:c>
      <x:c r="N27" s="10" t="str">
        <x:v>Direct EU relevance (EU); R&amp;I evidence: research and innovation, research &amp; innovation; strategic evidence: strategic autonomy; bridge: title/abstract.</x:v>
      </x:c>
      <x:c r="O27" s="10" t="str"/>
      <x:c r="P27" s="10" t="str"/>
      <x:c r="Q27" s="10" t="str"/>
      <x:c r="R27" s="10" t="str">
        <x:v>2026-08-31T22:01Z</x:v>
      </x:c>
      <x:c r="S27" s="10" t="str">
        <x:v>https://research-and-innovation.ec.europa.eu/news/all-research-and-innovation-news/new-report-published-building-food-2040-stakeholder-input-new-eu-strategic-research-innovation-2026-07-13_en</x:v>
      </x:c>
    </x:row>
    <x:row r="28">
      <x:c r="A28" s="10" t="n">
        <x:f>'Ranked sources'!B28</x:f>
        <x:v>100</x:v>
      </x:c>
      <x:c r="B28" s="10" t="str">
        <x:v>European innovation scoreboard 2026</x:v>
      </x:c>
      <x:c r="C28" s="10" t="str">
        <x:v>2026-07-09</x:v>
      </x:c>
      <x:c r="D28" s="10" t="str">
        <x:v>A</x:v>
      </x:c>
      <x:c r="E28" s="10" t="str">
        <x:v>European Commission — Research &amp; Innovation</x:v>
      </x:c>
      <x:c r="F28" s="10" t="str">
        <x:v>Directorate-General for Research and Innovation</x:v>
      </x:c>
      <x:c r="G28" s="10" t="str">
        <x:v>research/policy paper</x:v>
      </x:c>
      <x:c r="H28" s="10" t="str">
        <x:v>Tier 1</x:v>
      </x:c>
      <x:c r="I28" s="10" t="str">
        <x:v>direct</x:v>
      </x:c>
      <x:c r="J28" s="10" t="str">
        <x:v>europe; european</x:v>
      </x:c>
      <x:c r="K28" s="10" t="str">
        <x:v>research and innovation; innovation system; innovation performance</x:v>
      </x:c>
      <x:c r="L28" s="10" t="str"/>
      <x:c r="M28" s="10" t="str">
        <x:v>The EIS uses the most up to date statistics from Eurostat and other internationally recognised sources, such.</x:v>
      </x:c>
      <x:c r="N28" s="10" t="str">
        <x:v>Direct European/EU relevance (europe, european); R&amp;I evidence: research and innovation, innovation system; strategic significance is not explicit in the source and should be assessed as a possible longer-run implication.</x:v>
      </x:c>
      <x:c r="O28" s="10" t="str"/>
      <x:c r="P28" s="10" t="str"/>
      <x:c r="Q28" s="10" t="str"/>
      <x:c r="R28" s="10" t="str">
        <x:v>2026-09-01T12:17Z</x:v>
      </x:c>
      <x:c r="S28" s="10" t="str">
        <x:v>https://research-and-innovation.ec.europa.eu/knowledge-publications-tools-and-data/publications/all-publications/european-innovation-scoreboard-2026_en</x:v>
      </x:c>
    </x:row>
    <x:row r="29">
      <x:c r="A29" s="10" t="n">
        <x:f>'Ranked sources'!B29</x:f>
        <x:v>100</x:v>
      </x:c>
      <x:c r="B29" s="10" t="str">
        <x:v>2025 EFSA Annual Report Emerging Risks and Horizon Scanning Activities</x:v>
      </x:c>
      <x:c r="C29" s="10" t="str">
        <x:v>2026-07-01</x:v>
      </x:c>
      <x:c r="D29" s="10" t="str">
        <x:v>A</x:v>
      </x:c>
      <x:c r="E29" s="10" t="str">
        <x:v>EFSA Supporting Publications</x:v>
      </x:c>
      <x:c r="F29" s="10" t="str">
        <x:v>Milen Georgiev, Georgi Chobanov, Raquel Garcia Matas, Georgia Gkrintzali, Angelo Maggiore, Carlos Gonçalo das Neves, Sara Tramontini, et al.</x:v>
      </x:c>
      <x:c r="G29" s="10" t="str">
        <x:v>peer-reviewed article</x:v>
      </x:c>
      <x:c r="H29" s="10" t="str">
        <x:v>Tier 2 broad journal</x:v>
      </x:c>
      <x:c r="I29" s="10" t="str">
        <x:v>direct</x:v>
      </x:c>
      <x:c r="J29" s="10" t="str"/>
      <x:c r="K29" s="10" t="str"/>
      <x:c r="L29" s="10" t="str"/>
      <x:c r="M29" s="10" t="str">
        <x:v>Horizon scanning activities complemented this work by identifying broader drivers, trends and weak signals.</x:v>
      </x:c>
      <x:c r="N29" s="10" t="str">
        <x:v>Direct EU relevance (european commission, member state); R&amp;I evidence: technological innovation; strategic evidence: geopolit; bridge: sentence.</x:v>
      </x:c>
      <x:c r="O29" s="10" t="str"/>
      <x:c r="P29" s="10" t="str"/>
      <x:c r="Q29" s="10" t="str"/>
      <x:c r="R29" s="10" t="str">
        <x:v>2026-08-23T18:12Z</x:v>
      </x:c>
      <x:c r="S29" s="10" t="str">
        <x:v>https://doi.org/10.2903/sp.efsa.2026.en-10262</x:v>
      </x:c>
    </x:row>
    <x:row r="30">
      <x:c r="A30" s="10" t="n">
        <x:f>'Ranked sources'!B30</x:f>
        <x:v>100</x:v>
      </x:c>
      <x:c r="B30" s="10" t="str">
        <x:v>First European research network on antisemitism and Jewish life officially launched</x:v>
      </x:c>
      <x:c r="C30" s="10" t="str">
        <x:v>2026-06-30</x:v>
      </x:c>
      <x:c r="D30" s="10" t="str">
        <x:v>A</x:v>
      </x:c>
      <x:c r="E30" s="10" t="str">
        <x:v>European Commission — Research &amp; Innovation</x:v>
      </x:c>
      <x:c r="F30" s="10" t="str">
        <x:v>Directorate-General for Research and Innovation</x:v>
      </x:c>
      <x:c r="G30" s="10" t="str">
        <x:v>official notice / primary source</x:v>
      </x:c>
      <x:c r="H30" s="10" t="str">
        <x:v>Tier 1</x:v>
      </x:c>
      <x:c r="I30" s="10" t="str">
        <x:v>direct</x:v>
      </x:c>
      <x:c r="J30" s="10" t="str">
        <x:v>europe; european</x:v>
      </x:c>
      <x:c r="K30" s="10" t="str">
        <x:v>research and innovation; horizon europe</x:v>
      </x:c>
      <x:c r="L30" s="10" t="str"/>
      <x:c r="M30" s="10" t="str">
        <x:v>European research network on antisemitism and Jewish life officially launched.</x:v>
      </x:c>
      <x:c r="N30" s="10" t="str">
        <x:v>Direct European/EU relevance (europe, european); R&amp;I evidence: research and innovation, horizon europe; strategic significance is not explicit in the source and should be assessed as a possible longer-run implication.</x:v>
      </x:c>
      <x:c r="O30" s="10" t="str"/>
      <x:c r="P30" s="10" t="str"/>
      <x:c r="Q30" s="10" t="str"/>
      <x:c r="R30" s="10" t="str">
        <x:v>2026-09-01T12:05Z</x:v>
      </x:c>
      <x:c r="S30" s="10" t="str">
        <x:v>https://research-and-innovation.ec.europa.eu/news/all-research-and-innovation-news/first-european-research-network-antisemitism-and-jewish-life-officially-launched-2026-06-30_en</x:v>
      </x:c>
    </x:row>
    <x:row r="31">
      <x:c r="A31" s="10" t="n">
        <x:f>'Ranked sources'!B31</x:f>
        <x:v>100</x:v>
      </x:c>
      <x:c r="B31" s="10" t="str">
        <x:v>EU and Egypt strengthen research and innovation partnership following Horizon Europe association</x:v>
      </x:c>
      <x:c r="C31" s="10" t="str">
        <x:v>2026-06-25</x:v>
      </x:c>
      <x:c r="D31" s="10" t="str">
        <x:v>A</x:v>
      </x:c>
      <x:c r="E31" s="10" t="str">
        <x:v>European Commission — Research &amp; Innovation</x:v>
      </x:c>
      <x:c r="F31" s="10" t="str">
        <x:v>Directorate-General for Research and Innovation</x:v>
      </x:c>
      <x:c r="G31" s="10" t="str">
        <x:v>official notice / primary source</x:v>
      </x:c>
      <x:c r="H31" s="10" t="str">
        <x:v>Tier 1</x:v>
      </x:c>
      <x:c r="I31" s="10" t="str">
        <x:v>direct</x:v>
      </x:c>
      <x:c r="J31" s="10" t="str">
        <x:v>horizon europe; EU; europe</x:v>
      </x:c>
      <x:c r="K31" s="10" t="str">
        <x:v>research and innovation; r&amp;i; science diplomacy; science and technology cooperation; horizon europe</x:v>
      </x:c>
      <x:c r="L31" s="10" t="str">
        <x:v>science diplomacy</x:v>
      </x:c>
      <x:c r="M31" s="10" t="str">
        <x:v>EU and Egypt strengthen R&amp;I partnership following Horizon Europe association.</x:v>
      </x:c>
      <x:c r="N31" s="10" t="str">
        <x:v>Direct EU relevance (horizon europe, EU); R&amp;I evidence: research and innovation, r&amp;i; strategic evidence: science diplomacy; bridge: sentence.</x:v>
      </x:c>
      <x:c r="O31" s="10" t="str"/>
      <x:c r="P31" s="10" t="str"/>
      <x:c r="Q31" s="10" t="str"/>
      <x:c r="R31" s="10" t="str">
        <x:v>2026-08-31T22:01Z</x:v>
      </x:c>
      <x:c r="S31" s="10" t="str">
        <x:v>https://research-and-innovation.ec.europa.eu/news/all-research-and-innovation-news/eu-and-egypt-strengthen-research-and-innovation-partnership-following-horizon-europe-association-2026-06-25_en</x:v>
      </x:c>
    </x:row>
    <x:row r="32">
      <x:c r="A32" s="10" t="n">
        <x:f>'Ranked sources'!B32</x:f>
        <x:v>100</x:v>
      </x:c>
      <x:c r="B32" s="10" t="str">
        <x:v>New study assesses progress in reforming research assessment</x:v>
      </x:c>
      <x:c r="C32" s="10" t="str">
        <x:v>2026-06-25</x:v>
      </x:c>
      <x:c r="D32" s="10" t="str">
        <x:v>A</x:v>
      </x:c>
      <x:c r="E32" s="10" t="str">
        <x:v>European Commission — Research &amp; Innovation</x:v>
      </x:c>
      <x:c r="F32" s="10" t="str">
        <x:v>Directorate-General for Research and Innovation</x:v>
      </x:c>
      <x:c r="G32" s="10" t="str">
        <x:v>official notice / primary source</x:v>
      </x:c>
      <x:c r="H32" s="10" t="str">
        <x:v>Tier 1</x:v>
      </x:c>
      <x:c r="I32" s="10" t="str">
        <x:v>direct</x:v>
      </x:c>
      <x:c r="J32" s="10" t="str">
        <x:v>european commission; horizon europe; european research area</x:v>
      </x:c>
      <x:c r="K32" s="10" t="str">
        <x:v>research and innovation; horizon europe; european research area; research system; research organisation</x:v>
      </x:c>
      <x:c r="L32" s="10" t="str"/>
      <x:c r="M32" s="10" t="str">
        <x:v>New study assesses progress in reforming research assessment.</x:v>
      </x:c>
      <x:c r="N32" s="10" t="str">
        <x:v>Direct European/EU relevance (european commission, horizon europe); R&amp;I evidence: research and innovation, horizon europe; strategic significance is not explicit in the source and should be assessed as a possible longer-run implication.</x:v>
      </x:c>
      <x:c r="O32" s="10" t="str"/>
      <x:c r="P32" s="10" t="str"/>
      <x:c r="Q32" s="10" t="str"/>
      <x:c r="R32" s="10" t="str">
        <x:v>2026-09-01T14:15Z</x:v>
      </x:c>
      <x:c r="S32" s="10" t="str">
        <x:v>https://research-and-innovation.ec.europa.eu/news/all-research-and-innovation-news/new-study-assesses-progress-reforming-research-assessment-2026-06-25_en</x:v>
      </x:c>
    </x:row>
    <x:row r="33">
      <x:c r="A33" s="10" t="n">
        <x:f>'Ranked sources'!B33</x:f>
        <x:v>100</x:v>
      </x:c>
      <x:c r="B33" s="10" t="str">
        <x:v>Open access to JRC Research Infrastructures</x:v>
      </x:c>
      <x:c r="C33" s="10" t="str">
        <x:v>2026-06-25</x:v>
      </x:c>
      <x:c r="D33" s="10" t="str">
        <x:v>A</x:v>
      </x:c>
      <x:c r="E33" s="10" t="str">
        <x:v>Joint Research Centre</x:v>
      </x:c>
      <x:c r="F33" s="10" t="str">
        <x:v>Joint Research Centre</x:v>
      </x:c>
      <x:c r="G33" s="10" t="str">
        <x:v>research/policy paper</x:v>
      </x:c>
      <x:c r="H33" s="10" t="str">
        <x:v>Tier 1</x:v>
      </x:c>
      <x:c r="I33" s="10" t="str">
        <x:v>direct</x:v>
      </x:c>
      <x:c r="J33" s="10" t="str">
        <x:v>jrc</x:v>
      </x:c>
      <x:c r="K33" s="10" t="str">
        <x:v>research programme; research program; horizon europe; research infrastructure; research infrastructures</x:v>
      </x:c>
      <x:c r="L33" s="10" t="str"/>
      <x:c r="M33" s="10" t="str">
        <x:v>Open access to JRC Research Infrastructures.</x:v>
      </x:c>
      <x:c r="N33" s="10" t="str">
        <x:v>Direct European/EU relevance (jrc); R&amp;I evidence: research programme, research program; strategic significance is not explicit in the source and should be assessed as a possible longer-run implication.</x:v>
      </x:c>
      <x:c r="O33" s="10" t="str"/>
      <x:c r="P33" s="10" t="str"/>
      <x:c r="Q33" s="10" t="str"/>
      <x:c r="R33" s="10" t="str">
        <x:v>2026-09-01T09:06Z</x:v>
      </x:c>
      <x:c r="S33" s="10" t="str">
        <x:v>https://joint-research-centre.ec.europa.eu/work-us/open-access-jrc-research-infrastructures_en</x:v>
      </x:c>
    </x:row>
    <x:row r="34">
      <x:c r="A34" s="10" t="n">
        <x:f>'Ranked sources'!B34</x:f>
        <x:v>100</x:v>
      </x:c>
      <x:c r="B34" s="10" t="str">
        <x:v>Strengthening European Union’s Future Disaster Resilience</x:v>
      </x:c>
      <x:c r="C34" s="10" t="str">
        <x:v>2026-06-25</x:v>
      </x:c>
      <x:c r="D34" s="10" t="str">
        <x:v>A</x:v>
      </x:c>
      <x:c r="E34" s="10" t="str">
        <x:v>JRC Publications Repository</x:v>
      </x:c>
      <x:c r="F34" s="10" t="str">
        <x:v>TASOULAS, Vasileios, SKIADARESIS, Giannis, DE, MALEVILLE Alexandra, FAVINO, Rosella, REDECKER, Christine, SANGIORGI, Marco, SFALAGKIARIS, Christos Emmanouil, PUIE, Marian, MONTALTI, Eugenio, TRIPENI, Michele, GALARIOTIS, Ioannis</x:v>
      </x:c>
      <x:c r="G34" s="10" t="str">
        <x:v>formal study / report</x:v>
      </x:c>
      <x:c r="H34" s="10" t="str">
        <x:v>Tier 1</x:v>
      </x:c>
      <x:c r="I34" s="10" t="str">
        <x:v>direct</x:v>
      </x:c>
      <x:c r="J34" s="10" t="str">
        <x:v>european union; europe; european</x:v>
      </x:c>
      <x:c r="K34" s="10" t="str">
        <x:v>research &amp; innovation; r&amp;i; technological innovation</x:v>
      </x:c>
      <x:c r="L34" s="10" t="str"/>
      <x:c r="M34" s="10" t="str">
        <x:v>Strengthening EU’s Future Disaster Resilience.</x:v>
      </x:c>
      <x:c r="N34" s="10" t="str">
        <x:v>Direct European/EU relevance (european union, europe); R&amp;I evidence: research &amp; innovation, r&amp;i; strategic significance is not explicit in the source and should be assessed as a possible longer-run implication.</x:v>
      </x:c>
      <x:c r="O34" s="10" t="str"/>
      <x:c r="P34" s="10" t="str"/>
      <x:c r="Q34" s="10" t="str"/>
      <x:c r="R34" s="10" t="str">
        <x:v>2026-09-01T15:01Z</x:v>
      </x:c>
      <x:c r="S34" s="10" t="str">
        <x:v>https://publications.jrc.ec.europa.eu/repository/handle/JRC144571</x:v>
      </x:c>
    </x:row>
    <x:row r="35">
      <x:c r="A35" s="10" t="n">
        <x:f>'Ranked sources'!B35</x:f>
        <x:v>100</x:v>
      </x:c>
      <x:c r="B35" s="10" t="str">
        <x:v>Drivers of competitiveness</x:v>
      </x:c>
      <x:c r="C35" s="10" t="str">
        <x:v>2026-06-17</x:v>
      </x:c>
      <x:c r="D35" s="10" t="str">
        <x:v>A</x:v>
      </x:c>
      <x:c r="E35" s="10" t="str">
        <x:v>Joint Research Centre</x:v>
      </x:c>
      <x:c r="F35" s="10" t="str">
        <x:v>Joint Research Centre</x:v>
      </x:c>
      <x:c r="G35" s="10" t="str">
        <x:v>research/policy paper</x:v>
      </x:c>
      <x:c r="H35" s="10" t="str">
        <x:v>Tier 1</x:v>
      </x:c>
      <x:c r="I35" s="10" t="str">
        <x:v>direct</x:v>
      </x:c>
      <x:c r="J35" s="10" t="str">
        <x:v>european commission; eu innovation; jrc</x:v>
      </x:c>
      <x:c r="K35" s="10" t="str">
        <x:v>research and development</x:v>
      </x:c>
      <x:c r="L35" s="10" t="str"/>
      <x:c r="M35" s="10" t="str">
        <x:v>Objectives Help to bridge the innovation gap Monitor cross-border investments, analyse private research and development.</x:v>
      </x:c>
      <x:c r="N35" s="10" t="str">
        <x:v>Direct EU relevance (european commission, eu innovation); R&amp;I evidence: research and development; strategic evidence: dependence_control, competition_capability, international_coordination; bridge: sentence.</x:v>
      </x:c>
      <x:c r="O35" s="10" t="str">
        <x:v>conversion-A</x:v>
      </x:c>
      <x:c r="P35" s="10" t="str"/>
      <x:c r="Q35" s="10" t="str"/>
      <x:c r="R35" s="10" t="str">
        <x:v>2026-08-31T18:21Z</x:v>
      </x:c>
      <x:c r="S35" s="10" t="str">
        <x:v>https://joint-research-centre.ec.europa.eu/what-we-do/scientific-portfolios/drivers-competitiveness_en</x:v>
      </x:c>
    </x:row>
    <x:row r="36">
      <x:c r="A36" s="10" t="n">
        <x:f>'Ranked sources'!B36</x:f>
        <x:v>100</x:v>
      </x:c>
      <x:c r="B36" s="10" t="str">
        <x:v>Second meeting of the Talent for Innovation Attraction Platform</x:v>
      </x:c>
      <x:c r="C36" s="10" t="str">
        <x:v>2026-06-17</x:v>
      </x:c>
      <x:c r="D36" s="10" t="str">
        <x:v>A</x:v>
      </x:c>
      <x:c r="E36" s="10" t="str">
        <x:v>European Commission — Migration and Home Affairs</x:v>
      </x:c>
      <x:c r="F36" s="10" t="str">
        <x:v>Directorate-General for Migration and Home Affairs</x:v>
      </x:c>
      <x:c r="G36" s="10" t="str">
        <x:v>institutional policy update</x:v>
      </x:c>
      <x:c r="H36" s="10" t="str">
        <x:v>Tier 1</x:v>
      </x:c>
      <x:c r="I36" s="10" t="str">
        <x:v>direct</x:v>
      </x:c>
      <x:c r="J36" s="10" t="str"/>
      <x:c r="K36" s="10" t="str"/>
      <x:c r="L36" s="10" t="str"/>
      <x:c r="M36" s="10" t="str">
        <x:v>Europe is using international students and researchers.</x:v>
      </x:c>
      <x:c r="N36" s="10" t="str">
        <x:v>Direct EU R&amp;I talent policy. The source explicitly links international students and researchers, retention, post-study/post-research opportunities and Europe’s competitiveness; the capability input originates outside the EU, so the Matrix treats this as productive external dependence rather than generic student mobility.</x:v>
      </x:c>
      <x:c r="O36" s="10" t="str">
        <x:v>knowledge-C</x:v>
      </x:c>
      <x:c r="P36" s="10" t="str"/>
      <x:c r="Q36" s="10" t="str">
        <x:v>curated_recovery</x:v>
      </x:c>
      <x:c r="R36" s="10" t="str">
        <x:v>2026-08-29T07:40Z</x:v>
      </x:c>
      <x:c r="S36" s="10" t="str">
        <x:v>https://home-affairs.ec.europa.eu/news/second-meeting-talent-innovation-attraction-platform-2026-06-17_en</x:v>
      </x:c>
    </x:row>
    <x:row r="37">
      <x:c r="A37" s="10" t="n">
        <x:f>'Ranked sources'!B37</x:f>
        <x:v>100</x:v>
      </x:c>
      <x:c r="B37" s="10" t="str">
        <x:v>The European Union and Australia successfully conclude Horizon Europe negotiations</x:v>
      </x:c>
      <x:c r="C37" s="10" t="str">
        <x:v>2026-06-09</x:v>
      </x:c>
      <x:c r="D37" s="10" t="str">
        <x:v>A</x:v>
      </x:c>
      <x:c r="E37" s="10" t="str">
        <x:v>European Commission — Research &amp; Innovation</x:v>
      </x:c>
      <x:c r="F37" s="10" t="str">
        <x:v>Directorate-General for Research and Innovation</x:v>
      </x:c>
      <x:c r="G37" s="10" t="str">
        <x:v>official notice / primary source</x:v>
      </x:c>
      <x:c r="H37" s="10" t="str">
        <x:v>Tier 1</x:v>
      </x:c>
      <x:c r="I37" s="10" t="str">
        <x:v>direct</x:v>
      </x:c>
      <x:c r="J37" s="10" t="str">
        <x:v>european union; horizon europe; europe; european</x:v>
      </x:c>
      <x:c r="K37" s="10" t="str">
        <x:v>research and innovation; science and technology cooperation; horizon europe</x:v>
      </x:c>
      <x:c r="L37" s="10" t="str"/>
      <x:c r="M37" s="10" t="str">
        <x:v>the EU and Australia successfully conclude Horizon Europe negotiations.</x:v>
      </x:c>
      <x:c r="N37" s="10" t="str">
        <x:v>Direct EU relevance (european union, horizon europe); R&amp;I evidence: research and innovation, science and technology cooperation; strategic evidence: dependence_control, international_coordination, access to; bridge: title/abstract.</x:v>
      </x:c>
      <x:c r="O37" s="10" t="str"/>
      <x:c r="P37" s="10" t="str"/>
      <x:c r="Q37" s="10" t="str"/>
      <x:c r="R37" s="10" t="str">
        <x:v>2026-08-31T22:01Z</x:v>
      </x:c>
      <x:c r="S37" s="10" t="str">
        <x:v>https://research-and-innovation.ec.europa.eu/news/all-research-and-innovation-news/european-union-and-australia-successfully-conclude-horizon-europe-negotiations-2026-06-09_en</x:v>
      </x:c>
    </x:row>
    <x:row r="38">
      <x:c r="A38" s="10" t="n">
        <x:f>'Ranked sources'!B38</x:f>
        <x:v>100</x:v>
      </x:c>
      <x:c r="B38" s="10" t="str">
        <x:v>Beijing’s critical raw material weapon – and how to dismantle it</x:v>
      </x:c>
      <x:c r="C38" s="10" t="str">
        <x:v>2026-06-03</x:v>
      </x:c>
      <x:c r="D38" s="10" t="str">
        <x:v>A</x:v>
      </x:c>
      <x:c r="E38" s="10" t="str">
        <x:v>European Union Institute for Security Studies (EUISS)</x:v>
      </x:c>
      <x:c r="F38" s="10" t="str">
        <x:v>Joris Teer</x:v>
      </x:c>
      <x:c r="G38" s="10" t="str">
        <x:v>manual-verified scholarly/policy source</x:v>
      </x:c>
      <x:c r="H38" s="10" t="str">
        <x:v>Tier 1</x:v>
      </x:c>
      <x:c r="I38" s="10" t="str">
        <x:v>direct</x:v>
      </x:c>
      <x:c r="J38" s="10" t="str"/>
      <x:c r="K38" s="10" t="str"/>
      <x:c r="L38" s="10" t="str"/>
      <x:c r="M38" s="10" t="str">
        <x:v>Strategic-material access is shaping Europe’s technology resilience and industrial autonomy.</x:v>
      </x:c>
      <x:c r="N38" s="10" t="str">
        <x:v>Direct EU/European relevance verified in the underlying source; substantive R&amp;I mechanism and geopolitical/economic-security bridge verified by manual source review.</x:v>
      </x:c>
      <x:c r="O38" s="10" t="str">
        <x:v>infrastructure-D</x:v>
      </x:c>
      <x:c r="P38" s="10" t="str"/>
      <x:c r="Q38" s="10" t="str">
        <x:v>manual</x:v>
      </x:c>
      <x:c r="R38" s="10" t="n">
        <x:v>46261.277083333334</x:v>
      </x:c>
      <x:c r="S38" s="10" t="str">
        <x:v>https://op.europa.eu/en/publication-detail/-/publication/8c81d298-6560-11f1-9b18-01aa75ed71a1/language-en</x:v>
      </x:c>
    </x:row>
    <x:row r="39">
      <x:c r="A39" s="10" t="n">
        <x:f>'Ranked sources'!B39</x:f>
        <x:v>100</x:v>
      </x:c>
      <x:c r="B39" s="10" t="str">
        <x:v>Council adopts first ever EU framework for science diplomacy</x:v>
      </x:c>
      <x:c r="C39" s="10" t="str">
        <x:v>2026-05-29</x:v>
      </x:c>
      <x:c r="D39" s="10" t="str">
        <x:v>A</x:v>
      </x:c>
      <x:c r="E39" s="10" t="str">
        <x:v>European Commission — Research &amp; Innovation</x:v>
      </x:c>
      <x:c r="F39" s="10" t="str">
        <x:v>Directorate-General for Research and Innovation</x:v>
      </x:c>
      <x:c r="G39" s="10" t="str">
        <x:v>official notice / primary source</x:v>
      </x:c>
      <x:c r="H39" s="10" t="str">
        <x:v>Tier 1</x:v>
      </x:c>
      <x:c r="I39" s="10" t="str">
        <x:v>direct</x:v>
      </x:c>
      <x:c r="J39" s="10" t="str">
        <x:v>eu framework; EU</x:v>
      </x:c>
      <x:c r="K39" s="10" t="str">
        <x:v>research and innovation; science diplomacy; horizon europe</x:v>
      </x:c>
      <x:c r="L39" s="10" t="str">
        <x:v>science diplomacy</x:v>
      </x:c>
      <x:c r="M39" s="10" t="str">
        <x:v>Council adopts first ever EU framework for science diplomacy.</x:v>
      </x:c>
      <x:c r="N39" s="10" t="str">
        <x:v>Direct EU relevance (eu framework, EU); R&amp;I evidence: research and innovation, science diplomacy; strategic evidence: science diplomacy; bridge: sentence.</x:v>
      </x:c>
      <x:c r="O39" s="10" t="str"/>
      <x:c r="P39" s="10" t="str"/>
      <x:c r="Q39" s="10" t="str"/>
      <x:c r="R39" s="10" t="str">
        <x:v>2026-08-31T22:01Z</x:v>
      </x:c>
      <x:c r="S39" s="10" t="str">
        <x:v>https://research-and-innovation.ec.europa.eu/news/all-research-and-innovation-news/council-adopts-first-ever-eu-framework-science-diplomacy-2026-05-29_en</x:v>
      </x:c>
    </x:row>
    <x:row r="40">
      <x:c r="A40" s="10" t="n">
        <x:f>'Ranked sources'!B40</x:f>
        <x:v>100</x:v>
      </x:c>
      <x:c r="B40" s="10" t="str">
        <x:v>EU and Vietnam deepen partnership in science, technology and innovation</x:v>
      </x:c>
      <x:c r="C40" s="10" t="str">
        <x:v>2026-05-27</x:v>
      </x:c>
      <x:c r="D40" s="10" t="str">
        <x:v>A</x:v>
      </x:c>
      <x:c r="E40" s="10" t="str">
        <x:v>European Commission — Research &amp; Innovation</x:v>
      </x:c>
      <x:c r="F40" s="10" t="str">
        <x:v>Directorate-General for Research and Innovation</x:v>
      </x:c>
      <x:c r="G40" s="10" t="str">
        <x:v>official notice / primary source</x:v>
      </x:c>
      <x:c r="H40" s="10" t="str">
        <x:v>Tier 1</x:v>
      </x:c>
      <x:c r="I40" s="10" t="str">
        <x:v>direct</x:v>
      </x:c>
      <x:c r="J40" s="10" t="str">
        <x:v>EU</x:v>
      </x:c>
      <x:c r="K40" s="10" t="str">
        <x:v>research and innovation; horizon europe; innovation ecosystem; research-talent flow / brain drain; strategic technology + research</x:v>
      </x:c>
      <x:c r="L40" s="10" t="str">
        <x:v>research-talent allocation / brain drain</x:v>
      </x:c>
      <x:c r="M40" s="10" t="str">
        <x:v>From cooperation to stronger innovation ecosystems Vietnam is already actively engaged in Horizon Europe.</x:v>
      </x:c>
      <x:c r="N40" s="10" t="str">
        <x:v>Direct EU relevance (EU); R&amp;I evidence: research and innovation, horizon europe; strategic evidence: research-talent allocation / brain drain; bridge: sentence.</x:v>
      </x:c>
      <x:c r="O40" s="10" t="str"/>
      <x:c r="P40" s="10" t="str"/>
      <x:c r="Q40" s="10" t="str"/>
      <x:c r="R40" s="10" t="str">
        <x:v>2026-08-31T22:01Z</x:v>
      </x:c>
      <x:c r="S40" s="10" t="str">
        <x:v>https://research-and-innovation.ec.europa.eu/news/all-research-and-innovation-news/eu-and-vietnam-deepen-partnership-science-technology-and-innovation-2026-05-27_en</x:v>
      </x:c>
    </x:row>
    <x:row r="41">
      <x:c r="A41" s="10" t="n">
        <x:f>'Ranked sources'!B41</x:f>
        <x:v>100</x:v>
      </x:c>
      <x:c r="B41" s="10" t="str">
        <x:v>Commission Staff Working Document accompanying the proposal for a European Biotech Act (C(2026) 3375 final)</x:v>
      </x:c>
      <x:c r="C41" s="10" t="str">
        <x:v>2026-05-26</x:v>
      </x:c>
      <x:c r="D41" s="10" t="str">
        <x:v>A</x:v>
      </x:c>
      <x:c r="E41" s="10" t="str">
        <x:v>European Commission — Health and Food Safety</x:v>
      </x:c>
      <x:c r="F41" s="10" t="str">
        <x:v>Directorate-General for Health and Food Safety</x:v>
      </x:c>
      <x:c r="G41" s="10" t="str">
        <x:v>official policy / institutional framework</x:v>
      </x:c>
      <x:c r="H41" s="10" t="str">
        <x:v>Tier 1</x:v>
      </x:c>
      <x:c r="I41" s="10" t="str">
        <x:v>direct</x:v>
      </x:c>
      <x:c r="J41" s="10" t="str">
        <x:v>europe; european</x:v>
      </x:c>
      <x:c r="K41" s="10" t="str">
        <x:v>research and innovation; innovation performance; biotech + innovation; biotechnology + research; biotechnology + innovation</x:v>
      </x:c>
      <x:c r="L41" s="10" t="str"/>
      <x:c r="M41" s="10" t="str">
        <x:v>13 3.2 What are the problem drivers.</x:v>
      </x:c>
      <x:c r="N41" s="10" t="str">
        <x:v>Direct European/EU relevance (europe, european); R&amp;I evidence: research and innovation, innovation performance; strategic evidence: competition_capability, rules_power, competitiveness; bridge: title/abstract.</x:v>
      </x:c>
      <x:c r="O41" s="10" t="str"/>
      <x:c r="P41" s="10" t="str"/>
      <x:c r="Q41" s="10" t="str"/>
      <x:c r="R41" s="10" t="str">
        <x:v>2026-09-01T20:13Z</x:v>
      </x:c>
      <x:c r="S41" s="10" t="str">
        <x:v>https://health.ec.europa.eu/document/download/48009973-efbb-4101-ae8f-e81a34764e39_en?filename=biotechnology_C2026-3375-1_en.pdf</x:v>
      </x:c>
    </x:row>
    <x:row r="42">
      <x:c r="A42" s="10" t="n">
        <x:f>'Ranked sources'!B42</x:f>
        <x:v>100</x:v>
      </x:c>
      <x:c r="B42" s="10" t="str">
        <x:v>Wide participation at RIMA meeting strengthens EU Research and innovation coordination</x:v>
      </x:c>
      <x:c r="C42" s="10" t="str">
        <x:v>2026-05-21</x:v>
      </x:c>
      <x:c r="D42" s="10" t="str">
        <x:v>A</x:v>
      </x:c>
      <x:c r="E42" s="10" t="str">
        <x:v>European Commission — Research &amp; Innovation</x:v>
      </x:c>
      <x:c r="F42" s="10" t="str">
        <x:v>Directorate-General for Research and Innovation</x:v>
      </x:c>
      <x:c r="G42" s="10" t="str">
        <x:v>official notice / primary source</x:v>
      </x:c>
      <x:c r="H42" s="10" t="str">
        <x:v>Tier 1</x:v>
      </x:c>
      <x:c r="I42" s="10" t="str">
        <x:v>direct</x:v>
      </x:c>
      <x:c r="J42" s="10" t="str">
        <x:v>eu research; EU</x:v>
      </x:c>
      <x:c r="K42" s="10" t="str">
        <x:v>research and innovation; research &amp; innovation; innovation policy; horizon europe; european research area</x:v>
      </x:c>
      <x:c r="L42" s="10" t="str"/>
      <x:c r="M42" s="10" t="str">
        <x:v>Wide participation at RIMA meeting strengthens EU R&amp;I coordination.</x:v>
      </x:c>
      <x:c r="N42" s="10" t="str">
        <x:v>Direct EU relevance (eu research, EU); R&amp;I evidence: research and innovation, research &amp; innovation; strategic evidence: substantive strategic evidence; bridge: title/abstract.</x:v>
      </x:c>
      <x:c r="O42" s="10" t="str">
        <x:v>rules-A</x:v>
      </x:c>
      <x:c r="P42" s="10" t="str"/>
      <x:c r="Q42" s="10" t="str"/>
      <x:c r="R42" s="10" t="str">
        <x:v>2026-08-29T20:05Z</x:v>
      </x:c>
      <x:c r="S42" s="10" t="str">
        <x:v>https://research-and-innovation.ec.europa.eu/news/all-research-and-innovation-news/wide-participation-rima-meeting-strengthens-eu-research-and-innovation-coordination-2026-05-21_en</x:v>
      </x:c>
    </x:row>
    <x:row r="43">
      <x:c r="A43" s="10" t="n">
        <x:f>'Ranked sources'!B43</x:f>
        <x:v>100</x:v>
      </x:c>
      <x:c r="B43" s="10" t="str">
        <x:v>Exploring the investor landscape for venture capital</x:v>
      </x:c>
      <x:c r="C43" s="10" t="str">
        <x:v>2026-05-07</x:v>
      </x:c>
      <x:c r="D43" s="10" t="str">
        <x:v>A</x:v>
      </x:c>
      <x:c r="E43" s="10" t="str">
        <x:v>European Central Bank</x:v>
      </x:c>
      <x:c r="F43" s="10" t="str">
        <x:v>Elena Banu; Tanja Derin; Johanne Evrard; Claudia Lambert; Daniel Legran; Wagner Eduardo Schuster</x:v>
      </x:c>
      <x:c r="G43" s="10" t="str">
        <x:v>manual-verified scholarly/policy source</x:v>
      </x:c>
      <x:c r="H43" s="10" t="str">
        <x:v>Tier 1</x:v>
      </x:c>
      <x:c r="I43" s="10" t="str">
        <x:v>direct</x:v>
      </x:c>
      <x:c r="J43" s="10" t="str"/>
      <x:c r="K43" s="10" t="str"/>
      <x:c r="L43" s="10" t="str"/>
      <x:c r="M43" s="10" t="str">
        <x:v>Europe’s scale-up financing is constrained by weak institutional-investor participation.</x:v>
      </x:c>
      <x:c r="N43"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43" s="10" t="str">
        <x:v>conversion-A</x:v>
      </x:c>
      <x:c r="P43" s="10" t="str"/>
      <x:c r="Q43" s="10" t="str">
        <x:v>manual</x:v>
      </x:c>
      <x:c r="R43" s="10" t="str">
        <x:v>2026-08-25T09:39Z</x:v>
      </x:c>
      <x:c r="S43" s="10" t="str">
        <x:v>https://www.ecb.europa.eu/press/fie/box/html/ecb.fiebox202605_04.en.html</x:v>
      </x:c>
    </x:row>
    <x:row r="44">
      <x:c r="A44" s="10" t="n">
        <x:f>'Ranked sources'!B44</x:f>
        <x:v>100</x:v>
      </x:c>
      <x:c r="B44" s="10" t="str">
        <x:v>Local roots, European reach: New strategy sets direction for research and technology infrastructures</x:v>
      </x:c>
      <x:c r="C44" s="10" t="str">
        <x:v>2026-05-06</x:v>
      </x:c>
      <x:c r="D44" s="10" t="str">
        <x:v>A</x:v>
      </x:c>
      <x:c r="E44" s="10" t="str">
        <x:v>European Commission — Research &amp; Innovation</x:v>
      </x:c>
      <x:c r="F44" s="10" t="str">
        <x:v>Directorate-General for Research and Innovation</x:v>
      </x:c>
      <x:c r="G44" s="10" t="str">
        <x:v>official notice / primary source</x:v>
      </x:c>
      <x:c r="H44" s="10" t="str">
        <x:v>Tier 1</x:v>
      </x:c>
      <x:c r="I44" s="10" t="str">
        <x:v>direct</x:v>
      </x:c>
      <x:c r="J44" s="10" t="str">
        <x:v>europe; european</x:v>
      </x:c>
      <x:c r="K44" s="10" t="str">
        <x:v>research and innovation; innovation ecosystem</x:v>
      </x:c>
      <x:c r="L44" s="10" t="str"/>
      <x:c r="M44" s="10" t="str">
        <x:v>The Knowledge Exchange Platform seminar has explored how a European strategy can boost local infrastructures for R&amp;I..</x:v>
      </x:c>
      <x:c r="N44" s="10" t="str">
        <x:v>Direct European/EU relevance (europe, european); R&amp;I evidence: research and innovation, innovation ecosystem; strategic evidence: dependence_control, competition_capability, international_coordination; bridge: title/abstract.</x:v>
      </x:c>
      <x:c r="O44" s="10" t="str"/>
      <x:c r="P44" s="10" t="str"/>
      <x:c r="Q44" s="10" t="str"/>
      <x:c r="R44" s="10" t="str">
        <x:v>2026-09-01T11:11Z</x:v>
      </x:c>
      <x:c r="S44" s="10" t="str">
        <x:v>https://research-and-innovation.ec.europa.eu/news/all-research-and-innovation-news/local-roots-european-reach-new-strategy-sets-direction-research-and-technology-infrastructures-2026-05-06_en</x:v>
      </x:c>
    </x:row>
    <x:row r="45">
      <x:c r="A45" s="10" t="n">
        <x:f>'Ranked sources'!B45</x:f>
        <x:v>100</x:v>
      </x:c>
      <x:c r="B45" s="10" t="str">
        <x:v>Boosting knowledge circulation: new study on economic impact of possible measures</x:v>
      </x:c>
      <x:c r="C45" s="10" t="str">
        <x:v>2026-04-30</x:v>
      </x:c>
      <x:c r="D45" s="10" t="str">
        <x:v>A</x:v>
      </x:c>
      <x:c r="E45" s="10" t="str">
        <x:v>European Commission — Research &amp; Innovation</x:v>
      </x:c>
      <x:c r="F45" s="10" t="str">
        <x:v>Directorate-General for Research and Innovation</x:v>
      </x:c>
      <x:c r="G45" s="10" t="str">
        <x:v>official notice / primary source</x:v>
      </x:c>
      <x:c r="H45" s="10" t="str">
        <x:v>Tier 1</x:v>
      </x:c>
      <x:c r="I45" s="10" t="str">
        <x:v>direct</x:v>
      </x:c>
      <x:c r="J45" s="10" t="str">
        <x:v>member state; member states</x:v>
      </x:c>
      <x:c r="K45" s="10" t="str">
        <x:v>research and innovation; r&amp;i; innovation system; research excellence; innovation ecosystem</x:v>
      </x:c>
      <x:c r="L45" s="10" t="str"/>
      <x:c r="M45" s="10" t="str">
        <x:v>but these benefits are accompanied by adjustment pressures and uneven effects across stakeholders.</x:v>
      </x:c>
      <x:c r="N45" s="10" t="str">
        <x:v>Direct EU relevance (member state, member states); R&amp;I evidence: research and innovation, r&amp;i; strategic evidence: dependence_control, competition_capability, international_coordination; bridge: title/abstract.</x:v>
      </x:c>
      <x:c r="O45" s="10" t="str">
        <x:v>knowledge-C</x:v>
      </x:c>
      <x:c r="P45" s="10" t="str"/>
      <x:c r="Q45" s="10" t="str"/>
      <x:c r="R45" s="10" t="str">
        <x:v>2026-08-31T22:14Z</x:v>
      </x:c>
      <x:c r="S45" s="10" t="str">
        <x:v>https://research-and-innovation.ec.europa.eu/news/all-research-and-innovation-news/boosting-knowledge-circulation-new-study-economic-impact-possible-measures-2026-04-30_en</x:v>
      </x:c>
    </x:row>
    <x:row r="46">
      <x:c r="A46" s="10" t="n">
        <x:f>'Ranked sources'!B46</x:f>
        <x:v>100</x:v>
      </x:c>
      <x:c r="B46" s="10" t="str">
        <x:v>First meeting of the Talent for Innovation Attraction Platform</x:v>
      </x:c>
      <x:c r="C46" s="10" t="str">
        <x:v>2026-04-14</x:v>
      </x:c>
      <x:c r="D46" s="10" t="str">
        <x:v>A</x:v>
      </x:c>
      <x:c r="E46" s="10" t="str">
        <x:v>European Commission — Migration and Home Affairs</x:v>
      </x:c>
      <x:c r="F46" s="10" t="str">
        <x:v>Directorate-General for Migration and Home Affairs</x:v>
      </x:c>
      <x:c r="G46" s="10" t="str">
        <x:v>official notice / primary source</x:v>
      </x:c>
      <x:c r="H46" s="10" t="str">
        <x:v>Tier 1</x:v>
      </x:c>
      <x:c r="I46" s="10" t="str">
        <x:v>direct</x:v>
      </x:c>
      <x:c r="J46" s="10" t="str">
        <x:v>european commission; member state; member states; dg rtd</x:v>
      </x:c>
      <x:c r="K46" s="10" t="str">
        <x:v>research and innovation</x:v>
      </x:c>
      <x:c r="L46" s="10" t="str"/>
      <x:c r="M46" s="10" t="str">
        <x:v>Participants highlighted measures that could attract and retain talent, such.</x:v>
      </x:c>
      <x:c r="N46" s="10" t="str">
        <x:v>Direct EU relevance (european commission, member state); R&amp;I evidence: research and innovation; strategic evidence: dependence_control, competition_capability, talent_position; bridge: title/abstract.</x:v>
      </x:c>
      <x:c r="O46" s="10" t="str">
        <x:v>knowledge-A</x:v>
      </x:c>
      <x:c r="P46" s="10" t="str"/>
      <x:c r="Q46" s="10" t="str"/>
      <x:c r="R46" s="10" t="str">
        <x:v>2026-08-31T22:01Z</x:v>
      </x:c>
      <x:c r="S46" s="10" t="str">
        <x:v>https://home-affairs.ec.europa.eu/news/first-meeting-talent-innovation-attraction-platform-2026-04-14_en</x:v>
      </x:c>
    </x:row>
    <x:row r="47">
      <x:c r="A47" s="10" t="n">
        <x:f>'Ranked sources'!B47</x:f>
        <x:v>100</x:v>
      </x:c>
      <x:c r="B47" s="10" t="str">
        <x:v>Fourth EU-Albania Horizon Europe Joint Research and Innovation Committee meeting</x:v>
      </x:c>
      <x:c r="C47" s="10" t="str">
        <x:v>2026-04-13</x:v>
      </x:c>
      <x:c r="D47" s="10" t="str">
        <x:v>A</x:v>
      </x:c>
      <x:c r="E47" s="10" t="str">
        <x:v>European Commission — Research &amp; Innovation</x:v>
      </x:c>
      <x:c r="F47" s="10" t="str">
        <x:v>Directorate-General for Research and Innovation</x:v>
      </x:c>
      <x:c r="G47" s="10" t="str">
        <x:v>official notice / primary source</x:v>
      </x:c>
      <x:c r="H47" s="10" t="str">
        <x:v>Tier 1</x:v>
      </x:c>
      <x:c r="I47" s="10" t="str">
        <x:v>direct</x:v>
      </x:c>
      <x:c r="J47" s="10" t="str">
        <x:v>horizon europe; EU; europe</x:v>
      </x:c>
      <x:c r="K47" s="10" t="str">
        <x:v>research and innovation; horizon europe; european research area; research infrastructure; research infrastructures</x:v>
      </x:c>
      <x:c r="L47" s="10" t="str"/>
      <x:c r="M47" s="10" t="str">
        <x:v>EU-Albania Horizon Europe Joint R&amp;I Committee meeting.</x:v>
      </x:c>
      <x:c r="N47" s="10" t="str">
        <x:v>Direct EU relevance (horizon europe, EU); R&amp;I evidence: research and innovation, horizon europe; strategic evidence: international_coordination, talent_position, international cooperation; bridge: title/abstract.</x:v>
      </x:c>
      <x:c r="O47" s="10" t="str"/>
      <x:c r="P47" s="10" t="str"/>
      <x:c r="Q47" s="10" t="str"/>
      <x:c r="R47" s="10" t="str">
        <x:v>2026-09-01T05:17Z</x:v>
      </x:c>
      <x:c r="S47" s="10" t="str">
        <x:v>https://research-and-innovation.ec.europa.eu/news/all-research-and-innovation-news/fourth-eu-albania-horizon-europe-joint-research-and-innovation-committee-meeting-2026-04-13_en</x:v>
      </x:c>
    </x:row>
    <x:row r="48">
      <x:c r="A48" s="10" t="n">
        <x:f>'Ranked sources'!B48</x:f>
        <x:v>100</x:v>
      </x:c>
      <x:c r="B48" s="10" t="str">
        <x:v>2nd Horizon Europe association Joint Committee meeting between Canada and the European Union</x:v>
      </x:c>
      <x:c r="C48" s="10" t="str">
        <x:v>2026-04-07</x:v>
      </x:c>
      <x:c r="D48" s="10" t="str">
        <x:v>A</x:v>
      </x:c>
      <x:c r="E48" s="10" t="str">
        <x:v>European Commission — Research &amp; Innovation</x:v>
      </x:c>
      <x:c r="F48" s="10" t="str">
        <x:v>Directorate-General for Research and Innovation</x:v>
      </x:c>
      <x:c r="G48" s="10" t="str">
        <x:v>official notice / primary source</x:v>
      </x:c>
      <x:c r="H48" s="10" t="str">
        <x:v>Tier 1</x:v>
      </x:c>
      <x:c r="I48" s="10" t="str">
        <x:v>direct</x:v>
      </x:c>
      <x:c r="J48" s="10" t="str">
        <x:v>european union; horizon europe; europe; european</x:v>
      </x:c>
      <x:c r="K48" s="10" t="str">
        <x:v>research and innovation; research &amp; innovation; r&amp;i; horizon europe</x:v>
      </x:c>
      <x:c r="L48" s="10" t="str"/>
      <x:c r="M48" s="10" t="str">
        <x:v>2nd Horizon Europe association Joint Committee meeting between Canada and the EU.</x:v>
      </x:c>
      <x:c r="N48" s="10" t="str">
        <x:v>Direct EU relevance (european union, horizon europe); R&amp;I evidence: research and innovation, research &amp; innovation; strategic evidence: dependence_control, international_coordination, access to; bridge: title/abstract.</x:v>
      </x:c>
      <x:c r="O48" s="10" t="str"/>
      <x:c r="P48" s="10" t="str"/>
      <x:c r="Q48" s="10" t="str"/>
      <x:c r="R48" s="10" t="str">
        <x:v>2026-09-01T05:17Z</x:v>
      </x:c>
      <x:c r="S48" s="10" t="str">
        <x:v>https://research-and-innovation.ec.europa.eu/news/all-research-and-innovation-news/2nd-horizon-europe-association-joint-committee-meeting-between-canada-and-european-union-2026-04-07_en</x:v>
      </x:c>
    </x:row>
    <x:row r="49">
      <x:c r="A49" s="10" t="n">
        <x:f>'Ranked sources'!B49</x:f>
        <x:v>100</x:v>
      </x:c>
      <x:c r="B49" s="10" t="str">
        <x:v>EU and Australia formally open negotiations on the association to Horizon Europe</x:v>
      </x:c>
      <x:c r="C49" s="10" t="str">
        <x:v>2026-03-31</x:v>
      </x:c>
      <x:c r="D49" s="10" t="str">
        <x:v>A</x:v>
      </x:c>
      <x:c r="E49" s="10" t="str">
        <x:v>European Commission — Research &amp; Innovation</x:v>
      </x:c>
      <x:c r="F49" s="10" t="str">
        <x:v>Directorate-General for Research and Innovation</x:v>
      </x:c>
      <x:c r="G49" s="10" t="str">
        <x:v>official notice / primary source</x:v>
      </x:c>
      <x:c r="H49" s="10" t="str">
        <x:v>Tier 1</x:v>
      </x:c>
      <x:c r="I49" s="10" t="str">
        <x:v>direct</x:v>
      </x:c>
      <x:c r="J49" s="10" t="str">
        <x:v>horizon europe; EU; europe</x:v>
      </x:c>
      <x:c r="K49" s="10" t="str">
        <x:v>research and innovation; research collaboration; science and technology cooperation; research programme; research program</x:v>
      </x:c>
      <x:c r="L49" s="10" t="str"/>
      <x:c r="M49" s="10" t="str">
        <x:v>EU and Australia formally open negotiations on the association to Horizon Europe.</x:v>
      </x:c>
      <x:c r="N49" s="10" t="str">
        <x:v>Direct EU relevance (horizon europe, EU); R&amp;I evidence: research and innovation, research collaboration; strategic evidence: dependence_control, competition_capability, international_coordination; bridge: title/abstract.</x:v>
      </x:c>
      <x:c r="O49" s="10" t="str"/>
      <x:c r="P49" s="10" t="str"/>
      <x:c r="Q49" s="10" t="str"/>
      <x:c r="R49" s="10" t="str">
        <x:v>2026-09-01T05:17Z</x:v>
      </x:c>
      <x:c r="S49" s="10" t="str">
        <x:v>https://research-and-innovation.ec.europa.eu/news/all-research-and-innovation-news/eu-and-australia-formally-open-negotiations-association-horizon-europe-2026-03-31_en</x:v>
      </x:c>
    </x:row>
    <x:row r="50">
      <x:c r="A50" s="10" t="n">
        <x:f>'Ranked sources'!B50</x:f>
        <x:v>100</x:v>
      </x:c>
      <x:c r="B50" s="10" t="str">
        <x:v>Management plan 2026 – Communications Networks, Content and Technology</x:v>
      </x:c>
      <x:c r="C50" s="10" t="str">
        <x:v>2026-03-19</x:v>
      </x:c>
      <x:c r="D50" s="10" t="str">
        <x:v>A</x:v>
      </x:c>
      <x:c r="E50" s="10" t="str">
        <x:v>European Commission</x:v>
      </x:c>
      <x:c r="F50" s="10" t="str">
        <x:v>Directorate-General for Communications Networks, Content and Technology</x:v>
      </x:c>
      <x:c r="G50" s="10" t="str">
        <x:v>institutional report</x:v>
      </x:c>
      <x:c r="H50" s="10" t="str">
        <x:v>Tier 1</x:v>
      </x:c>
      <x:c r="I50" s="10" t="str">
        <x:v>direct</x:v>
      </x:c>
      <x:c r="J50" s="10" t="str">
        <x:v>horizon europe; european union; member state; member states</x:v>
      </x:c>
      <x:c r="K50" s="10" t="str">
        <x:v>research and innovation; horizon europe; digital infrastructure + competitiveness</x:v>
      </x:c>
      <x:c r="L50" s="10" t="str"/>
      <x:c r="M50" s="10" t="str">
        <x:v>Management plan 2026 – Communications Networks, Content and Technology.</x:v>
      </x:c>
      <x:c r="N50" s="10" t="str">
        <x:v>Direct EU relevance (horizon europe, european union); R&amp;I evidence: research and innovation, horizon europe; strategic evidence: substantive strategic evidence; bridge: title/abstract.</x:v>
      </x:c>
      <x:c r="O50" s="10" t="str">
        <x:v>knowledge-A</x:v>
      </x:c>
      <x:c r="P50" s="10" t="str"/>
      <x:c r="Q50" s="10" t="str"/>
      <x:c r="R50" s="10" t="str">
        <x:v>2026-08-30T15:06Z</x:v>
      </x:c>
      <x:c r="S50" s="10" t="str">
        <x:v>https://commission.europa.eu/document/download/825108b9-0e08-4efb-8723-042a9776d4db_en?filename=cnect_mp_2026_en.pdf</x:v>
      </x:c>
    </x:row>
    <x:row r="51">
      <x:c r="A51" s="10" t="n">
        <x:f>'Ranked sources'!B51</x:f>
        <x:v>100</x:v>
      </x:c>
      <x:c r="B51" s="10" t="str">
        <x:v>Management plan 2026 – Research and Innovation</x:v>
      </x:c>
      <x:c r="C51" s="10" t="str">
        <x:v>2026-03-19</x:v>
      </x:c>
      <x:c r="D51" s="10" t="str">
        <x:v>A</x:v>
      </x:c>
      <x:c r="E51" s="10" t="str">
        <x:v>European Commission</x:v>
      </x:c>
      <x:c r="F51" s="10" t="str">
        <x:v>Directorate-General for Research and Innovation</x:v>
      </x:c>
      <x:c r="G51" s="10" t="str">
        <x:v>institutional report</x:v>
      </x:c>
      <x:c r="H51" s="10" t="str">
        <x:v>Tier 1</x:v>
      </x:c>
      <x:c r="I51" s="10" t="str">
        <x:v>direct</x:v>
      </x:c>
      <x:c r="J51" s="10" t="str">
        <x:v>european commission; horizon europe; european research area; eu research</x:v>
      </x:c>
      <x:c r="K51" s="10" t="str">
        <x:v>research and innovation; r&amp;i; european research area; scientific talent</x:v>
      </x:c>
      <x:c r="L51" s="10" t="str">
        <x:v>dual-use</x:v>
      </x:c>
      <x:c r="M51" s="10" t="str">
        <x:v>Management plan 2026 – R&amp;I.</x:v>
      </x:c>
      <x:c r="N51" s="10" t="str">
        <x:v>Direct EU relevance (european commission, horizon europe); R&amp;I evidence: research and innovation, r&amp;i; strategic evidence: dual-use; bridge: sentence.</x:v>
      </x:c>
      <x:c r="O51" s="10" t="str">
        <x:v>knowledge-A</x:v>
      </x:c>
      <x:c r="P51" s="10" t="str"/>
      <x:c r="Q51" s="10" t="str"/>
      <x:c r="R51" s="10" t="str">
        <x:v>2026-08-29T10:39Z</x:v>
      </x:c>
      <x:c r="S51" s="10" t="str">
        <x:v>https://commission.europa.eu/document/download/11c2eb97-6820-4a07-94c6-db3d684cefb8_en?filename=rtd_mp_2026_en.pdf</x:v>
      </x:c>
    </x:row>
    <x:row r="52">
      <x:c r="A52" s="10" t="n">
        <x:f>'Ranked sources'!B52</x:f>
        <x:v>99</x:v>
      </x:c>
      <x:c r="B52" s="10" t="str">
        <x:v>Research and innovation</x:v>
      </x:c>
      <x:c r="C52" s="10" t="str">
        <x:v>2026-09-01</x:v>
      </x:c>
      <x:c r="D52" s="10" t="str">
        <x:v>A</x:v>
      </x:c>
      <x:c r="E52" s="10" t="str">
        <x:v>European Commission</x:v>
      </x:c>
      <x:c r="F52" s="10" t="str">
        <x:v>European Commission</x:v>
      </x:c>
      <x:c r="G52" s="10" t="str">
        <x:v>research/policy paper</x:v>
      </x:c>
      <x:c r="H52" s="10" t="str">
        <x:v>Tier 1</x:v>
      </x:c>
      <x:c r="I52" s="10" t="str">
        <x:v>direct</x:v>
      </x:c>
      <x:c r="J52" s="10" t="str">
        <x:v>eu research</x:v>
      </x:c>
      <x:c r="K52" s="10" t="str">
        <x:v>research and innovation; innovation policy; horizon europe; european research area; ai + innovation</x:v>
      </x:c>
      <x:c r="L52" s="10" t="str">
        <x:v>technological sovereignty</x:v>
      </x:c>
      <x:c r="M52" s="10" t="str">
        <x:v>Discover how EU R&amp;I policy creates economic growth, tackles global challenges, and improves people’s lives..</x:v>
      </x:c>
      <x:c r="N52" s="10" t="str">
        <x:v>Direct European/EU relevance (eu research); R&amp;I evidence: research and innovation, innovation policy; strategic evidence: technological sovereignty; bridge: title/abstract.</x:v>
      </x:c>
      <x:c r="O52" s="10" t="str">
        <x:v>knowledge-A</x:v>
      </x:c>
      <x:c r="P52" s="10" t="str"/>
      <x:c r="Q52" s="10" t="str"/>
      <x:c r="R52" s="10" t="str">
        <x:v>2026-09-02T09:06Z</x:v>
      </x:c>
      <x:c r="S52" s="10" t="str">
        <x:v>https://commission.europa.eu/topics/research-and-innovation_en</x:v>
      </x:c>
    </x:row>
    <x:row r="53">
      <x:c r="A53" s="10" t="n">
        <x:f>'Ranked sources'!B53</x:f>
        <x:v>99</x:v>
      </x:c>
      <x:c r="B53" s="10" t="str">
        <x:v>EuroCC 3 and CASTIEL 3: Further supporting the existing European network of National Competence Centres for HPC (NCCs)</x:v>
      </x:c>
      <x:c r="C53" s="10" t="str">
        <x:v>2026-08-31</x:v>
      </x:c>
      <x:c r="D53" s="10" t="str">
        <x:v>A</x:v>
      </x:c>
      <x:c r="E53" s="10" t="str">
        <x:v>EuroHPC Joint Undertaking</x:v>
      </x:c>
      <x:c r="F53" s="10" t="str">
        <x:v>European High-Performance Computing Joint Undertaking</x:v>
      </x:c>
      <x:c r="G53" s="10" t="str">
        <x:v>official policy / institutional framework</x:v>
      </x:c>
      <x:c r="H53" s="10" t="str">
        <x:v>Tier 1</x:v>
      </x:c>
      <x:c r="I53" s="10" t="str">
        <x:v>direct</x:v>
      </x:c>
      <x:c r="J53" s="10" t="str">
        <x:v>europe; european</x:v>
      </x:c>
      <x:c r="K53" s="10" t="str">
        <x:v>research and innovation; ai + innovation; supercomputer + science; ai + startup; supercomputer + research</x:v>
      </x:c>
      <x:c r="L53" s="10" t="str"/>
      <x:c r="M53" s="10" t="str">
        <x:v>EuroCC 3 and CASTIEL 3: Further supporting the existing European network of National Competence Centres for HPC (NCCs).</x:v>
      </x:c>
      <x:c r="N53" s="10" t="str">
        <x:v>Direct European/EU relevance (europe, european); R&amp;I evidence: research and innovation, ai + innovation; strategic evidence: dependence_control, competition_capability, access to; bridge: title/abstract.</x:v>
      </x:c>
      <x:c r="O53" s="10" t="str"/>
      <x:c r="P53" s="10" t="str"/>
      <x:c r="Q53" s="10" t="str"/>
      <x:c r="R53" s="10" t="str">
        <x:v>2026-09-01T12:05Z</x:v>
      </x:c>
      <x:c r="S53" s="10" t="str">
        <x:v>https://www.eurohpc-ju.europa.eu/eurocc-3-and-castiel-3-further-supporting-existing-european-network-national-competence-centres-hpc-2026-08-31_en</x:v>
      </x:c>
    </x:row>
    <x:row r="54">
      <x:c r="A54" s="10" t="n">
        <x:f>'Ranked sources'!B54</x:f>
        <x:v>99</x:v>
      </x:c>
      <x:c r="B54" s="10" t="str">
        <x:v>European Commission updates EIC Fund Investment Guidelines for the EIC Accelerator and STEP Scaleup</x:v>
      </x:c>
      <x:c r="C54" s="10" t="str">
        <x:v>2026-08-27</x:v>
      </x:c>
      <x:c r="D54" s="10" t="str">
        <x:v>A</x:v>
      </x:c>
      <x:c r="E54" s="10" t="str">
        <x:v>European Innovation Council</x:v>
      </x:c>
      <x:c r="F54" s="10" t="str">
        <x:v>European Innovation Council and SMEs Executive Agency</x:v>
      </x:c>
      <x:c r="G54" s="10" t="str">
        <x:v>institutional report</x:v>
      </x:c>
      <x:c r="H54" s="10" t="str">
        <x:v>Tier 1</x:v>
      </x:c>
      <x:c r="I54" s="10" t="str">
        <x:v>direct</x:v>
      </x:c>
      <x:c r="J54" s="10" t="str">
        <x:v>european commission; europe; european</x:v>
      </x:c>
      <x:c r="K54" s="10" t="str">
        <x:v>horizon europe; r&amp;d; deep tech; strategic technologies + innovation</x:v>
      </x:c>
      <x:c r="L54" s="10" t="str">
        <x:v>de-risk</x:v>
      </x:c>
      <x:c r="M54" s="10" t="str">
        <x:v>European Commission updates EIC Fund Investment Guidelines for the EIC Accelerator and STEP Scaleup.</x:v>
      </x:c>
      <x:c r="N54" s="10" t="str">
        <x:v>Direct EU relevance (european commission, europe); R&amp;I evidence: horizon europe, r&amp;d; strategic evidence: de-risk; bridge: title/abstract.</x:v>
      </x:c>
      <x:c r="O54" s="10" t="str">
        <x:v>conversion-A</x:v>
      </x:c>
      <x:c r="P54" s="10" t="str"/>
      <x:c r="Q54" s="10" t="str"/>
      <x:c r="R54" s="10" t="str">
        <x:v>2026-08-28T06:44Z</x:v>
      </x:c>
      <x:c r="S54" s="10" t="str">
        <x:v>https://eic.ec.europa.eu/document/download/6df458e7-fa47-4ace-93fa-86099606bdb0_en?filename=EIC_Fund_Investment_2026_guidelines_f.pdf</x:v>
      </x:c>
    </x:row>
    <x:row r="55">
      <x:c r="A55" s="10" t="n">
        <x:f>'Ranked sources'!B55</x:f>
        <x:v>99</x:v>
      </x:c>
      <x:c r="B55" s="10" t="str">
        <x:v>Six New Quantum Calls Launched by the EuroHPC Joint Undertaking</x:v>
      </x:c>
      <x:c r="C55" s="10" t="str">
        <x:v>2026-08-14</x:v>
      </x:c>
      <x:c r="D55" s="10" t="str">
        <x:v>A</x:v>
      </x:c>
      <x:c r="E55" s="10" t="str">
        <x:v>EuroHPC Joint Undertaking</x:v>
      </x:c>
      <x:c r="F55" s="10" t="str">
        <x:v>European High-Performance Computing Joint Undertaking</x:v>
      </x:c>
      <x:c r="G55" s="10" t="str">
        <x:v>research/policy paper</x:v>
      </x:c>
      <x:c r="H55" s="10" t="str">
        <x:v>Tier 1</x:v>
      </x:c>
      <x:c r="I55" s="10" t="str">
        <x:v>direct</x:v>
      </x:c>
      <x:c r="J55" s="10" t="str">
        <x:v>horizon europe; european union; member state; member states</x:v>
      </x:c>
      <x:c r="K55" s="10" t="str">
        <x:v>horizon europe; quantum + testing infrastructure; quantum + startup</x:v>
      </x:c>
      <x:c r="L55" s="10" t="str">
        <x:v>strategic autonomy</x:v>
      </x:c>
      <x:c r="M55" s="10" t="str">
        <x:v>More details can be found on the dedicated page.</x:v>
      </x:c>
      <x:c r="N55" s="10" t="str">
        <x:v>Direct European/EU relevance (horizon europe, european union); R&amp;I evidence: horizon europe, quantum + testing infrastructure; strategic evidence: strategic autonomy; bridge: title/abstract.</x:v>
      </x:c>
      <x:c r="O55" s="10" t="str"/>
      <x:c r="P55" s="10" t="str"/>
      <x:c r="Q55" s="10" t="str"/>
      <x:c r="R55" s="10" t="str">
        <x:v>2026-09-01T09:39Z</x:v>
      </x:c>
      <x:c r="S55" s="10" t="str">
        <x:v>https://www.eurohpc-ju.europa.eu/six-new-quantum-calls-launched-eurohpc-joint-undertaking-2026-08-14_en</x:v>
      </x:c>
    </x:row>
    <x:row r="56">
      <x:c r="A56" s="10" t="n">
        <x:f>'Ranked sources'!B56</x:f>
        <x:v>99</x:v>
      </x:c>
      <x:c r="B56" s="10" t="str">
        <x:v>Quantum Experimental Pilot Lines for Quantum Technologies</x:v>
      </x:c>
      <x:c r="C56" s="10" t="str">
        <x:v>2026-08-13</x:v>
      </x:c>
      <x:c r="D56" s="10" t="str">
        <x:v>A</x:v>
      </x:c>
      <x:c r="E56" s="10" t="str">
        <x:v>EuroHPC Joint Undertaking</x:v>
      </x:c>
      <x:c r="F56" s="10" t="str">
        <x:v>EuroHPC Joint Undertaking</x:v>
      </x:c>
      <x:c r="G56" s="10" t="str">
        <x:v>research/policy paper</x:v>
      </x:c>
      <x:c r="H56" s="10" t="str">
        <x:v>Tier 1</x:v>
      </x:c>
      <x:c r="I56" s="10" t="str">
        <x:v>direct</x:v>
      </x:c>
      <x:c r="J56" s="10" t="str">
        <x:v>europe; europe's</x:v>
      </x:c>
      <x:c r="K56" s="10" t="str">
        <x:v>technological innovation; academic research; quantum + pilot line; quantum + research</x:v>
      </x:c>
      <x:c r="L56" s="10" t="str">
        <x:v>strategic autonomy</x:v>
      </x:c>
      <x:c r="M56" s="10" t="str">
        <x:v>The action is to implement the pilot production elements of the Qu-Pilot Framework Partnership Agreement.</x:v>
      </x:c>
      <x:c r="N56" s="10" t="str">
        <x:v>Direct EU relevance (europe, europe's); R&amp;I evidence: technological innovation, academic research; strategic evidence: strategic autonomy; bridge: sentence.</x:v>
      </x:c>
      <x:c r="O56" s="10" t="str">
        <x:v>conversion-A</x:v>
      </x:c>
      <x:c r="P56" s="10" t="str"/>
      <x:c r="Q56" s="10" t="str"/>
      <x:c r="R56" s="10" t="str">
        <x:v>2026-08-30T15:54Z</x:v>
      </x:c>
      <x:c r="S56" s="10" t="str">
        <x:v>https://www.eurohpc-ju.europa.eu/quantum-experimental-pilot-lines-quantum-technologies_en</x:v>
      </x:c>
    </x:row>
    <x:row r="57">
      <x:c r="A57" s="10" t="n">
        <x:f>'Ranked sources'!B57</x:f>
        <x:v>99</x:v>
      </x:c>
      <x:c r="B57" s="10" t="str">
        <x:v>Quantum-Testing Infrastructure for Quantum Technologies</x:v>
      </x:c>
      <x:c r="C57" s="10" t="str">
        <x:v>2026-08-13</x:v>
      </x:c>
      <x:c r="D57" s="10" t="str">
        <x:v>A</x:v>
      </x:c>
      <x:c r="E57" s="10" t="str">
        <x:v>EuroHPC Joint Undertaking</x:v>
      </x:c>
      <x:c r="F57" s="10" t="str">
        <x:v>EuroHPC Joint Undertaking</x:v>
      </x:c>
      <x:c r="G57" s="10" t="str">
        <x:v>research/policy paper</x:v>
      </x:c>
      <x:c r="H57" s="10" t="str">
        <x:v>Tier 1</x:v>
      </x:c>
      <x:c r="I57" s="10" t="str">
        <x:v>direct</x:v>
      </x:c>
      <x:c r="J57" s="10" t="str">
        <x:v>europe; european</x:v>
      </x:c>
      <x:c r="K57" s="10" t="str">
        <x:v>technology development; quantum + testing infrastructure; quantum + research; quantum + competitiveness; quantum + technology development</x:v>
      </x:c>
      <x:c r="L57" s="10" t="str"/>
      <x:c r="M57" s="10" t="str">
        <x:v>The call aims at establishing a pan-European open-access testing infrastructure for quantum technologies.</x:v>
      </x:c>
      <x:c r="N57" s="10" t="str">
        <x:v>Direct European/EU relevance (europe, european); R&amp;I evidence: technology development, quantum + testing infrastructure; strategic significance is not explicit in the source and should be assessed as a possible longer-run implication.</x:v>
      </x:c>
      <x:c r="O57" s="10" t="str"/>
      <x:c r="P57" s="10" t="str"/>
      <x:c r="Q57" s="10" t="str"/>
      <x:c r="R57" s="10" t="str">
        <x:v>2026-09-01T14:15Z</x:v>
      </x:c>
      <x:c r="S57" s="10" t="str">
        <x:v>https://www.eurohpc-ju.europa.eu/quantum-testing-infrastructure-quantum-technologies_en</x:v>
      </x:c>
    </x:row>
    <x:row r="58">
      <x:c r="A58" s="10" t="n">
        <x:f>'Ranked sources'!B58</x:f>
        <x:v>99</x:v>
      </x:c>
      <x:c r="B58" s="10" t="str">
        <x:v>International cooperation in research and innovation</x:v>
      </x:c>
      <x:c r="C58" s="10" t="str">
        <x:v>2026-08-07</x:v>
      </x:c>
      <x:c r="D58" s="10" t="str">
        <x:v>A</x:v>
      </x:c>
      <x:c r="E58" s="10" t="str">
        <x:v>European Commission — Research &amp; Innovation</x:v>
      </x:c>
      <x:c r="F58" s="10" t="str">
        <x:v>European Commission — Research &amp; Innovation</x:v>
      </x:c>
      <x:c r="G58" s="10" t="str">
        <x:v>research/policy paper</x:v>
      </x:c>
      <x:c r="H58" s="10" t="str">
        <x:v>Tier 1</x:v>
      </x:c>
      <x:c r="I58" s="10" t="str">
        <x:v>direct</x:v>
      </x:c>
      <x:c r="J58" s="10" t="str">
        <x:v>european union; europe; european</x:v>
      </x:c>
      <x:c r="K58" s="10" t="str">
        <x:v>research and innovation; horizon europe; research organisation</x:v>
      </x:c>
      <x:c r="L58" s="10" t="str">
        <x:v>strategic autonomy; sanctions</x:v>
      </x:c>
      <x:c r="M58" s="10" t="str">
        <x:v>Are you a researcher based outside Europe?</x:v>
      </x:c>
      <x:c r="N58" s="10" t="str">
        <x:v>Direct European/EU relevance (european union, europe); R&amp;I evidence: research and innovation, horizon europe; strategic evidence: strategic autonomy, sanctions; bridge: sentence.</x:v>
      </x:c>
      <x:c r="O58" s="10" t="str"/>
      <x:c r="P58" s="10" t="str"/>
      <x:c r="Q58" s="10" t="str"/>
      <x:c r="R58" s="10" t="str">
        <x:v>2026-09-01T05:17Z</x:v>
      </x:c>
      <x:c r="S58" s="10" t="str">
        <x:v>https://research-and-innovation.ec.europa.eu/document/download/f3e10727-68a4-42de-8474-7e0d4c445b76_en?filename=Why%20and%20how%20to%20participate%20to%20Horizon%20Europe%20for%20international%20researchers.pdf</x:v>
      </x:c>
    </x:row>
    <x:row r="59">
      <x:c r="A59" s="10" t="n">
        <x:f>'Ranked sources'!B59</x:f>
        <x:v>99</x:v>
      </x:c>
      <x:c r="B59" s="10" t="str">
        <x:v>Startup Europe - networking for tech start-ups</x:v>
      </x:c>
      <x:c r="C59" s="10" t="str">
        <x:v>2026-08-07</x:v>
      </x:c>
      <x:c r="D59" s="10" t="str">
        <x:v>A</x:v>
      </x:c>
      <x:c r="E59" s="10" t="str">
        <x:v>European Commission — Digital Strategy</x:v>
      </x:c>
      <x:c r="F59" s="10" t="str">
        <x:v>European Commission — Digital Strategy</x:v>
      </x:c>
      <x:c r="G59" s="10" t="str">
        <x:v>official policy / institutional framework</x:v>
      </x:c>
      <x:c r="H59" s="10" t="str">
        <x:v>Tier 1</x:v>
      </x:c>
      <x:c r="I59" s="10" t="str">
        <x:v>direct</x:v>
      </x:c>
      <x:c r="J59" s="10" t="str">
        <x:v>europe</x:v>
      </x:c>
      <x:c r="K59" s="10" t="str">
        <x:v>research and innovation; deep tech</x:v>
      </x:c>
      <x:c r="L59" s="10" t="str"/>
      <x:c r="M59" s="10" t="str">
        <x:v>EU Startup Nation Standard European SMEs and startups face several challenges.</x:v>
      </x:c>
      <x:c r="N59" s="10" t="str">
        <x:v>Direct European/EU relevance (europe); R&amp;I evidence: research and innovation, deep tech; strategic evidence: dependence_control, competition_capability, international_coordination; bridge: title/abstract.</x:v>
      </x:c>
      <x:c r="O59" s="10" t="str">
        <x:v>conversion-A</x:v>
      </x:c>
      <x:c r="P59" s="10" t="str"/>
      <x:c r="Q59" s="10" t="str"/>
      <x:c r="R59" s="10" t="str">
        <x:v>2026-09-01T11:11Z</x:v>
      </x:c>
      <x:c r="S59" s="10" t="str">
        <x:v>https://digital-strategy.ec.europa.eu/en/policies/startup-europe</x:v>
      </x:c>
    </x:row>
    <x:row r="60">
      <x:c r="A60" s="10" t="n">
        <x:f>'Ranked sources'!B60</x:f>
        <x:v>99</x:v>
      </x:c>
      <x:c r="B60" s="10" t="str">
        <x:v>Strengthening Europe’s Tech Sovereignty</x:v>
      </x:c>
      <x:c r="C60" s="10" t="str">
        <x:v>2026-08-07</x:v>
      </x:c>
      <x:c r="D60" s="10" t="str">
        <x:v>A</x:v>
      </x:c>
      <x:c r="E60" s="10" t="str">
        <x:v>European Commission — Digital Strategy</x:v>
      </x:c>
      <x:c r="F60" s="10" t="str">
        <x:v>European Commission — Digital Strategy</x:v>
      </x:c>
      <x:c r="G60" s="10" t="str">
        <x:v>research/policy paper</x:v>
      </x:c>
      <x:c r="H60" s="10" t="str">
        <x:v>Tier 1</x:v>
      </x:c>
      <x:c r="I60" s="10" t="str">
        <x:v>direct</x:v>
      </x:c>
      <x:c r="J60" s="10" t="str">
        <x:v>europe</x:v>
      </x:c>
      <x:c r="K60" s="10" t="str">
        <x:v>research and development; ai + competitiveness; artificial intelligence + innovation; ai + research; ai + innovative</x:v>
      </x:c>
      <x:c r="L60" s="10" t="str">
        <x:v>strategic autonomy; technological sovereignty; strategic dependencies; supply chain security; supply chain resilience</x:v>
      </x:c>
      <x:c r="M60" s="10" t="str">
        <x:v>Strengthening Europe’s Tech Sovereignty.</x:v>
      </x:c>
      <x:c r="N60" s="10" t="str">
        <x:v>Direct EU relevance (europe); R&amp;I evidence: research and development, ai + competitiveness; strategic evidence: strategic autonomy, technological sovereignty, strategic dependencies; bridge: sentence.</x:v>
      </x:c>
      <x:c r="O60" s="10" t="str">
        <x:v>infrastructure-A</x:v>
      </x:c>
      <x:c r="P60" s="10" t="str"/>
      <x:c r="Q60" s="10" t="str"/>
      <x:c r="R60" s="10" t="str">
        <x:v>2026-08-31T22:14Z</x:v>
      </x:c>
      <x:c r="S60" s="10" t="str">
        <x:v>https://digital-strategy.ec.europa.eu/en/policies/eu-tech-sovereignty</x:v>
      </x:c>
    </x:row>
    <x:row r="61">
      <x:c r="A61" s="10" t="n">
        <x:f>'Ranked sources'!B61</x:f>
        <x:v>99</x:v>
      </x:c>
      <x:c r="B61" s="10" t="str">
        <x:v>EU Startup and Scaleup Strategy</x:v>
      </x:c>
      <x:c r="C61" s="10" t="str">
        <x:v>2026-08-04</x:v>
      </x:c>
      <x:c r="D61" s="10" t="str">
        <x:v>A</x:v>
      </x:c>
      <x:c r="E61" s="10" t="str">
        <x:v>European Commission — Research &amp; Innovation</x:v>
      </x:c>
      <x:c r="F61" s="10" t="str">
        <x:v>European Commission — Research &amp; Innovation</x:v>
      </x:c>
      <x:c r="G61" s="10" t="str">
        <x:v>official policy / institutional framework</x:v>
      </x:c>
      <x:c r="H61" s="10" t="str">
        <x:v>Tier 1</x:v>
      </x:c>
      <x:c r="I61" s="10" t="str">
        <x:v>direct</x:v>
      </x:c>
      <x:c r="J61" s="10" t="str">
        <x:v>EU</x:v>
      </x:c>
      <x:c r="K61" s="10" t="str">
        <x:v>research and innovation; critical technologies + startup; strategic technologies + startup</x:v>
      </x:c>
      <x:c r="L61" s="10" t="str">
        <x:v>strategic autonomy</x:v>
      </x:c>
      <x:c r="M61" s="10" t="str">
        <x:v>INTRODUCTION Context It is time for Europe to become a startup powerhouse.</x:v>
      </x:c>
      <x:c r="N61" s="10" t="str">
        <x:v>Direct European/EU relevance (EU); R&amp;I evidence: research and innovation, critical technologies + startup; strategic evidence: strategic autonomy; bridge: title/abstract.</x:v>
      </x:c>
      <x:c r="O61" s="10" t="str">
        <x:v>conversion-A</x:v>
      </x:c>
      <x:c r="P61" s="10" t="str"/>
      <x:c r="Q61" s="10" t="str"/>
      <x:c r="R61" s="10" t="str">
        <x:v>2026-08-29T16:45Z</x:v>
      </x:c>
      <x:c r="S61" s="10" t="str">
        <x:v>https://research-and-innovation.ec.europa.eu/document/download/2f76a0df-b09b-47c2-949c-800c30e4c530_en?filename=ec_rtd_eu-startup-scaleup-strategy-communication.pdf</x:v>
      </x:c>
    </x:row>
    <x:row r="62">
      <x:c r="A62" s="10" t="n">
        <x:f>'Ranked sources'!B62</x:f>
        <x:v>99</x:v>
      </x:c>
      <x:c r="B62" s="10" t="str">
        <x:v>EU launches AI Gigafactories call to boost Europe's computing capacity and unlock more than €30 billion in investment</x:v>
      </x:c>
      <x:c r="C62" s="10" t="str">
        <x:v>2026-07-30</x:v>
      </x:c>
      <x:c r="D62" s="10" t="str">
        <x:v>A</x:v>
      </x:c>
      <x:c r="E62" s="10" t="str">
        <x:v>European Commission — Digital Strategy</x:v>
      </x:c>
      <x:c r="F62" s="10" t="str">
        <x:v>European Commission — Digital Strategy</x:v>
      </x:c>
      <x:c r="G62" s="10" t="str">
        <x:v>official notice / primary source</x:v>
      </x:c>
      <x:c r="H62" s="10" t="str">
        <x:v>Tier 1</x:v>
      </x:c>
      <x:c r="I62" s="10" t="str">
        <x:v>direct</x:v>
      </x:c>
      <x:c r="J62" s="10" t="str">
        <x:v>EU; europe; europe's</x:v>
      </x:c>
      <x:c r="K62" s="10" t="str">
        <x:v>ai + computing capacity; ai + start-up; ai + technological leadership</x:v>
      </x:c>
      <x:c r="L62" s="10" t="str">
        <x:v>strategic autonomy; technological sovereignty</x:v>
      </x:c>
      <x:c r="M62" s="10" t="str">
        <x:v>EU launches AI Gigafactories call to boost Europe's computing capacity and unlock more than €30 billion in investment.</x:v>
      </x:c>
      <x:c r="N62" s="10" t="str">
        <x:v>Direct EU relevance (EU, europe); R&amp;I evidence: ai + computing capacity, ai + start-up; strategic evidence: strategic autonomy, technological sovereignty; bridge: sentence.</x:v>
      </x:c>
      <x:c r="O62" s="10" t="str">
        <x:v>infrastructure-A</x:v>
      </x:c>
      <x:c r="P62" s="10" t="str"/>
      <x:c r="Q62" s="10" t="str"/>
      <x:c r="R62" s="10" t="str">
        <x:v>2026-08-31T18:21Z</x:v>
      </x:c>
      <x:c r="S62" s="10" t="str">
        <x:v>https://digital-strategy.ec.europa.eu/en/news/eu-launches-ai-gigafactories-call-boost-europes-computing-capacity-and-unlock-more-eu30-billion</x:v>
      </x:c>
    </x:row>
    <x:row r="63">
      <x:c r="A63" s="10" t="n">
        <x:f>'Ranked sources'!B63</x:f>
        <x:v>99</x:v>
      </x:c>
      <x:c r="B63" s="10" t="str">
        <x:v>EUMaster4HPC Programme continues advancing HPC Skills in Europe with new phase (2026–2032)</x:v>
      </x:c>
      <x:c r="C63" s="10" t="str">
        <x:v>2026-07-29</x:v>
      </x:c>
      <x:c r="D63" s="10" t="str">
        <x:v>A</x:v>
      </x:c>
      <x:c r="E63" s="10" t="str">
        <x:v>EuroHPC Joint Undertaking</x:v>
      </x:c>
      <x:c r="F63" s="10" t="str">
        <x:v>European High-Performance Computing Joint Undertaking</x:v>
      </x:c>
      <x:c r="G63" s="10" t="str">
        <x:v>official policy / institutional framework</x:v>
      </x:c>
      <x:c r="H63" s="10" t="str">
        <x:v>Tier 1</x:v>
      </x:c>
      <x:c r="I63" s="10" t="str">
        <x:v>direct</x:v>
      </x:c>
      <x:c r="J63" s="10" t="str">
        <x:v>europe</x:v>
      </x:c>
      <x:c r="K63" s="10" t="str">
        <x:v>research and innovation; supercomputer + science; ai + startup; supercomputer + research</x:v>
      </x:c>
      <x:c r="L63" s="10" t="str"/>
      <x:c r="M63" s="10" t="str">
        <x:v>Nine Awarding Universities from eight European countries will participate in this programme.</x:v>
      </x:c>
      <x:c r="N63" s="10" t="str">
        <x:v>Direct European/EU relevance (europe); R&amp;I evidence: research and innovation, supercomputer + science; strategic evidence: dependence_control, competition_capability, access to; bridge: title/abstract.</x:v>
      </x:c>
      <x:c r="O63" s="10" t="str">
        <x:v>knowledge-A</x:v>
      </x:c>
      <x:c r="P63" s="10" t="str"/>
      <x:c r="Q63" s="10" t="str"/>
      <x:c r="R63" s="10" t="str">
        <x:v>2026-09-01T14:50Z</x:v>
      </x:c>
      <x:c r="S63" s="10" t="str">
        <x:v>https://www.eurohpc-ju.europa.eu/eumaster4hpc-programme-continues-advancing-hpc-skills-europe-new-phase-2026-2032-2026-07-29_en</x:v>
      </x:c>
    </x:row>
    <x:row r="64">
      <x:c r="A64" s="10" t="n">
        <x:f>'Ranked sources'!B64</x:f>
        <x:v>99</x:v>
      </x:c>
      <x:c r="B64" s="10" t="str">
        <x:v>Enhanced dialogue with EU countries</x:v>
      </x:c>
      <x:c r="C64" s="10" t="str">
        <x:v>2026-07-28</x:v>
      </x:c>
      <x:c r="D64" s="10" t="str">
        <x:v>A</x:v>
      </x:c>
      <x:c r="E64" s="10" t="str">
        <x:v>European Commission — Research &amp; Innovation</x:v>
      </x:c>
      <x:c r="F64" s="10" t="str">
        <x:v>European Commission — Research &amp; Innovation</x:v>
      </x:c>
      <x:c r="G64" s="10" t="str">
        <x:v>official policy / institutional framework</x:v>
      </x:c>
      <x:c r="H64" s="10" t="str">
        <x:v>Tier 1</x:v>
      </x:c>
      <x:c r="I64" s="10" t="str">
        <x:v>direct</x:v>
      </x:c>
      <x:c r="J64" s="10" t="str">
        <x:v>EU</x:v>
      </x:c>
      <x:c r="K64" s="10" t="str">
        <x:v>research and innovation; horizon europe; european research area</x:v>
      </x:c>
      <x:c r="L64" s="10" t="str"/>
      <x:c r="M64" s="10" t="str">
        <x:v>Enhaced dialogue agreements with EU countries to foster R&amp;I..</x:v>
      </x:c>
      <x:c r="N64" s="10" t="str">
        <x:v>Direct European/EU relevance (EU); R&amp;I evidence: research and innovation, horizon europe; strategic significance is not explicit in the source and should be assessed as a possible longer-run implication.</x:v>
      </x:c>
      <x:c r="O64" s="10" t="str"/>
      <x:c r="P64" s="10" t="str"/>
      <x:c r="Q64" s="10" t="str"/>
      <x:c r="R64" s="10" t="str">
        <x:v>2026-09-01T09:39Z</x:v>
      </x:c>
      <x:c r="S64" s="10" t="str">
        <x:v>https://research-and-innovation.ec.europa.eu/strategy/support-policy-making/support-national-research-and-innovation-policy-making/enhanced-dialogue-eu-countries_en</x:v>
      </x:c>
    </x:row>
    <x:row r="65">
      <x:c r="A65" s="10" t="n">
        <x:f>'Ranked sources'!B65</x:f>
        <x:v>99</x:v>
      </x:c>
      <x:c r="B65" s="10" t="str">
        <x:v>The EIC selects new European scale-ups for STEP Scale Up investments</x:v>
      </x:c>
      <x:c r="C65" s="10" t="str">
        <x:v>2026-07-28</x:v>
      </x:c>
      <x:c r="D65" s="10" t="str">
        <x:v>A</x:v>
      </x:c>
      <x:c r="E65" s="10" t="str">
        <x:v>European Innovation Council</x:v>
      </x:c>
      <x:c r="F65" s="10" t="str">
        <x:v>European Innovation Council and SMEs Executive Agency</x:v>
      </x:c>
      <x:c r="G65" s="10" t="str">
        <x:v>official notice / primary source</x:v>
      </x:c>
      <x:c r="H65" s="10" t="str">
        <x:v>Tier 1</x:v>
      </x:c>
      <x:c r="I65" s="10" t="str">
        <x:v>direct</x:v>
      </x:c>
      <x:c r="J65" s="10" t="str">
        <x:v>europe; european</x:v>
      </x:c>
      <x:c r="K65" s="10" t="str">
        <x:v>deep tech; biotech + funding</x:v>
      </x:c>
      <x:c r="L65" s="10" t="str">
        <x:v>strategic dependencies</x:v>
      </x:c>
      <x:c r="M65" s="10" t="str">
        <x:v>Six companies are now put forward for investment decisions by the EIC Fund.</x:v>
      </x:c>
      <x:c r="N65" s="10" t="str">
        <x:v>Direct EU relevance (europe, european); R&amp;I evidence: deep tech, biotech + funding; strategic evidence: strategic dependencies; bridge: title/abstract.</x:v>
      </x:c>
      <x:c r="O65" s="10" t="str">
        <x:v>conversion-A</x:v>
      </x:c>
      <x:c r="P65" s="10" t="str"/>
      <x:c r="Q65" s="10" t="str"/>
      <x:c r="R65" s="10" t="str">
        <x:v>2026-08-31T18:51Z</x:v>
      </x:c>
      <x:c r="S65" s="10" t="str">
        <x:v>https://eic.ec.europa.eu/news/eic-selects-new-european-scale-ups-step-scale-investments-2026-07-28_en</x:v>
      </x:c>
    </x:row>
    <x:row r="66">
      <x:c r="A66" s="10" t="n">
        <x:f>'Ranked sources'!B66</x:f>
        <x:v>99</x:v>
      </x:c>
      <x:c r="B66" s="10" t="str">
        <x:v>International cooperation with India in research and innovation</x:v>
      </x:c>
      <x:c r="C66" s="10" t="str">
        <x:v>2026-07-15</x:v>
      </x:c>
      <x:c r="D66" s="10" t="str">
        <x:v>A</x:v>
      </x:c>
      <x:c r="E66" s="10" t="str">
        <x:v>European Commission — Research &amp; Innovation</x:v>
      </x:c>
      <x:c r="F66" s="10" t="str">
        <x:v>European Commission — Research &amp; Innovation</x:v>
      </x:c>
      <x:c r="G66" s="10" t="str">
        <x:v>research/policy paper</x:v>
      </x:c>
      <x:c r="H66" s="10" t="str">
        <x:v>Tier 1</x:v>
      </x:c>
      <x:c r="I66" s="10" t="str">
        <x:v>direct</x:v>
      </x:c>
      <x:c r="J66" s="10" t="str">
        <x:v>european commission; horizon europe; european union; member state</x:v>
      </x:c>
      <x:c r="K66" s="10" t="str">
        <x:v>research and innovation; r&amp;i; horizon europe; research and development; innovation capacity</x:v>
      </x:c>
      <x:c r="L66" s="10" t="str"/>
      <x:c r="M66" s="10" t="str">
        <x:v>Policy background, bilateral science and technology agreements, funding, projects and contact.</x:v>
      </x:c>
      <x:c r="N66" s="10" t="str">
        <x:v>Direct EU relevance (european commission, horizon europe); R&amp;I evidence: research and innovation, r&amp;i; strategic evidence: competition_capability, international_coordination, rules_power; bridge: sentence.</x:v>
      </x:c>
      <x:c r="O66" s="10" t="str"/>
      <x:c r="P66" s="10" t="str"/>
      <x:c r="Q66" s="10" t="str"/>
      <x:c r="R66" s="10" t="str">
        <x:v>2026-08-29T20:05Z</x:v>
      </x:c>
      <x:c r="S66" s="10" t="str">
        <x:v>https://research-and-innovation.ec.europa.eu/strategy/strategy-research-and-innovation/europe-world/international-cooperation/bilateral-cooperation-science-and-technology-agreements-non-eu-countries/india_en</x:v>
      </x:c>
    </x:row>
    <x:row r="67">
      <x:c r="A67" s="10" t="n">
        <x:f>'Ranked sources'!B67</x:f>
        <x:v>99</x:v>
      </x:c>
      <x:c r="B67" s="10" t="str">
        <x:v>Programme for agile and rapid defence innovation: Council and Parliament reach political agreement</x:v>
      </x:c>
      <x:c r="C67" s="10" t="str">
        <x:v>2026-07-15</x:v>
      </x:c>
      <x:c r="D67" s="10" t="str">
        <x:v>A</x:v>
      </x:c>
      <x:c r="E67" s="10" t="str">
        <x:v>Council of the European Union</x:v>
      </x:c>
      <x:c r="F67" s="10" t="str">
        <x:v>Council of the EU / European Parliament</x:v>
      </x:c>
      <x:c r="G67" s="10" t="str">
        <x:v>manual-verified scholarly/policy source</x:v>
      </x:c>
      <x:c r="H67" s="10" t="str">
        <x:v>Tier 1</x:v>
      </x:c>
      <x:c r="I67" s="10" t="str">
        <x:v>direct</x:v>
      </x:c>
      <x:c r="J67" s="10" t="str"/>
      <x:c r="K67" s="10" t="str"/>
      <x:c r="L67" s="10" t="str"/>
      <x:c r="M67" s="10" t="str">
        <x:v>Programme for agile and rapid defence innovation: Council and Parliament reach political agreement.</x:v>
      </x:c>
      <x:c r="N67"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67" s="10" t="str">
        <x:v>conversion-A</x:v>
      </x:c>
      <x:c r="P67" s="10" t="str"/>
      <x:c r="Q67" s="10" t="str">
        <x:v>manual</x:v>
      </x:c>
      <x:c r="R67" s="10" t="str">
        <x:v>2026-08-25T09:39Z</x:v>
      </x:c>
      <x:c r="S67" s="10" t="str">
        <x:v>https://www.consilium.europa.eu/en/press/press-releases/2026/07/15/programme-for-agile-and-rapid-defence-innovation-council-and-parliament-reach-political-agreement/</x:v>
      </x:c>
    </x:row>
    <x:row r="68">
      <x:c r="A68" s="10" t="n">
        <x:f>'Ranked sources'!B68</x:f>
        <x:v>99</x:v>
      </x:c>
      <x:c r="B68" s="10" t="str">
        <x:v>Big science, fair access</x:v>
      </x:c>
      <x:c r="C68" s="10" t="str">
        <x:v>2026-07-13</x:v>
      </x:c>
      <x:c r="D68" s="10" t="str">
        <x:v>A</x:v>
      </x:c>
      <x:c r="E68" s="10" t="str">
        <x:v>European Research Council</x:v>
      </x:c>
      <x:c r="F68" s="10" t="str">
        <x:v>European Research Council</x:v>
      </x:c>
      <x:c r="G68" s="10" t="str">
        <x:v>research/policy paper</x:v>
      </x:c>
      <x:c r="H68" s="10" t="str">
        <x:v>Tier 1</x:v>
      </x:c>
      <x:c r="I68" s="10" t="str">
        <x:v>direct</x:v>
      </x:c>
      <x:c r="J68" s="10" t="str">
        <x:v>dutch</x:v>
      </x:c>
      <x:c r="K68" s="10" t="str">
        <x:v>scientific collaboration; research infrastructure; research infrastructures; scientific talent</x:v>
      </x:c>
      <x:c r="L68" s="10" t="str"/>
      <x:c r="M68" s="10" t="str">
        <x:v>but they also raise awkward questions.</x:v>
      </x:c>
      <x:c r="N68" s="10" t="str">
        <x:v>Direct European/EU relevance (dutch); R&amp;I evidence: scientific collaboration, research infrastructure; strategic evidence: competition_capability, international_coordination, talent_position; bridge: title/abstract.</x:v>
      </x:c>
      <x:c r="O68" s="10" t="str"/>
      <x:c r="P68" s="10" t="str"/>
      <x:c r="Q68" s="10" t="str"/>
      <x:c r="R68" s="10" t="str">
        <x:v>2026-09-01T14:50Z</x:v>
      </x:c>
      <x:c r="S68" s="10" t="str">
        <x:v>https://erc.europa.eu/news-events/magazine-article/big-science-fair-access</x:v>
      </x:c>
    </x:row>
    <x:row r="69">
      <x:c r="A69" s="10" t="n">
        <x:f>'Ranked sources'!B69</x:f>
        <x:v>99</x:v>
      </x:c>
      <x:c r="B69" s="10" t="str">
        <x:v>Excellence through equity</x:v>
      </x:c>
      <x:c r="C69" s="10" t="str">
        <x:v>2026-07-13</x:v>
      </x:c>
      <x:c r="D69" s="10" t="str">
        <x:v>A</x:v>
      </x:c>
      <x:c r="E69" s="10" t="str">
        <x:v>European Research Council</x:v>
      </x:c>
      <x:c r="F69" s="10" t="str">
        <x:v>European Research Council</x:v>
      </x:c>
      <x:c r="G69" s="10" t="str">
        <x:v>research/policy paper</x:v>
      </x:c>
      <x:c r="H69" s="10" t="str">
        <x:v>Tier 1</x:v>
      </x:c>
      <x:c r="I69" s="10" t="str">
        <x:v>direct</x:v>
      </x:c>
      <x:c r="J69" s="10" t="str">
        <x:v>european commission; horizon europe</x:v>
      </x:c>
      <x:c r="K69" s="10" t="str">
        <x:v>research collaboration; horizon europe; scientific infrastructure</x:v>
      </x:c>
      <x:c r="L69" s="10" t="str"/>
      <x:c r="M69" s="10" t="str">
        <x:v>We must also ask who defines research questions, who owns data, whose knowledge is recognised.</x:v>
      </x:c>
      <x:c r="N69" s="10" t="str">
        <x:v>Direct European/EU relevance (european commission, horizon europe); R&amp;I evidence: research collaboration, horizon europe; strategic evidence: dependence_control, international_coordination, dependence; bridge: title/abstract.</x:v>
      </x:c>
      <x:c r="O69" s="10" t="str">
        <x:v>knowledge-C</x:v>
      </x:c>
      <x:c r="P69" s="10" t="str"/>
      <x:c r="Q69" s="10" t="str"/>
      <x:c r="R69" s="10" t="str">
        <x:v>2026-09-02T10:20Z</x:v>
      </x:c>
      <x:c r="S69" s="10" t="str">
        <x:v>https://erc.europa.eu/news-events/magazine-article/excellence-through-equity</x:v>
      </x:c>
    </x:row>
    <x:row r="70">
      <x:c r="A70" s="10" t="n">
        <x:f>'Ranked sources'!B70</x:f>
        <x:v>99</x:v>
      </x:c>
      <x:c r="B70" s="10" t="str">
        <x:v>Who writes the rules of science?</x:v>
      </x:c>
      <x:c r="C70" s="10" t="str">
        <x:v>2026-07-13</x:v>
      </x:c>
      <x:c r="D70" s="10" t="str">
        <x:v>A</x:v>
      </x:c>
      <x:c r="E70" s="10" t="str">
        <x:v>European Research Council</x:v>
      </x:c>
      <x:c r="F70" s="10" t="str">
        <x:v>European Research Council</x:v>
      </x:c>
      <x:c r="G70" s="10" t="str">
        <x:v>research/policy paper</x:v>
      </x:c>
      <x:c r="H70" s="10" t="str">
        <x:v>Tier 1</x:v>
      </x:c>
      <x:c r="I70" s="10" t="str">
        <x:v>direct</x:v>
      </x:c>
      <x:c r="J70" s="10" t="str">
        <x:v>europe; european</x:v>
      </x:c>
      <x:c r="K70" s="10" t="str">
        <x:v>scientific collaboration; scientific careers</x:v>
      </x:c>
      <x:c r="L70" s="10" t="str">
        <x:v>geopolit</x:v>
      </x:c>
      <x:c r="M70" s="10" t="str">
        <x:v>Astronomers who gathered in Baltimore in 1992 thought they were drafting a charter that would change their field.</x:v>
      </x:c>
      <x:c r="N70" s="10" t="str">
        <x:v>Direct European/EU relevance (europe, european); R&amp;I evidence: scientific collaboration, scientific careers; strategic evidence: geopolit; bridge: sentence.</x:v>
      </x:c>
      <x:c r="O70" s="10" t="str"/>
      <x:c r="P70" s="10" t="str"/>
      <x:c r="Q70" s="10" t="str"/>
      <x:c r="R70" s="10" t="str">
        <x:v>2026-09-02T10:20Z</x:v>
      </x:c>
      <x:c r="S70" s="10" t="str">
        <x:v>https://erc.europa.eu/news-events/magazine-article/who-writes-rules-science</x:v>
      </x:c>
    </x:row>
    <x:row r="71">
      <x:c r="A71" s="10" t="n">
        <x:f>'Ranked sources'!B71</x:f>
        <x:v>99</x:v>
      </x:c>
      <x:c r="B71" s="10" t="str">
        <x:v>Europe launches €80 billion investment alliance to scale up tech leaders</x:v>
      </x:c>
      <x:c r="C71" s="10" t="str">
        <x:v>2026-07-10</x:v>
      </x:c>
      <x:c r="D71" s="10" t="str">
        <x:v>A</x:v>
      </x:c>
      <x:c r="E71" s="10" t="str">
        <x:v>European Investment Bank</x:v>
      </x:c>
      <x:c r="F71" s="10" t="str">
        <x:v>European Investment Bank</x:v>
      </x:c>
      <x:c r="G71" s="10" t="str">
        <x:v>manual-verified scholarly/policy source</x:v>
      </x:c>
      <x:c r="H71" s="10" t="str">
        <x:v>Tier 1</x:v>
      </x:c>
      <x:c r="I71" s="10" t="str">
        <x:v>direct</x:v>
      </x:c>
      <x:c r="J71" s="10" t="str"/>
      <x:c r="K71" s="10" t="str"/>
      <x:c r="L71" s="10" t="str"/>
      <x:c r="M71" s="10" t="str">
        <x:v>Europe launches €80 billion investment alliance to scale up tech leaders.</x:v>
      </x:c>
      <x:c r="N71"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71" s="10" t="str">
        <x:v>conversion-A</x:v>
      </x:c>
      <x:c r="P71" s="10" t="str"/>
      <x:c r="Q71" s="10" t="str">
        <x:v>manual</x:v>
      </x:c>
      <x:c r="R71" s="10" t="str">
        <x:v>2026-08-25T09:39Z</x:v>
      </x:c>
      <x:c r="S71" s="10" t="str">
        <x:v>https://www.eib.org/en/press/all/2026-244-europe-launches-eur80-billion-investment-alliance-to-scale-up-tech-leaders</x:v>
      </x:c>
    </x:row>
    <x:row r="72">
      <x:c r="A72" s="10" t="n">
        <x:f>'Ranked sources'!B72</x:f>
        <x:v>99</x:v>
      </x:c>
      <x:c r="B72" s="10" t="str">
        <x:v>How ERC frontier research strengthens Europe’s competitiveness</x:v>
      </x:c>
      <x:c r="C72" s="10" t="str">
        <x:v>2026-06-30</x:v>
      </x:c>
      <x:c r="D72" s="10" t="str">
        <x:v>A</x:v>
      </x:c>
      <x:c r="E72" s="10" t="str">
        <x:v>European Research Council</x:v>
      </x:c>
      <x:c r="F72" s="10" t="str">
        <x:v>European Research Council</x:v>
      </x:c>
      <x:c r="G72" s="10" t="str">
        <x:v>institutional report</x:v>
      </x:c>
      <x:c r="H72" s="10" t="str">
        <x:v>Tier 1</x:v>
      </x:c>
      <x:c r="I72" s="10" t="str">
        <x:v>direct</x:v>
      </x:c>
      <x:c r="J72" s="10" t="str">
        <x:v>europe</x:v>
      </x:c>
      <x:c r="K72" s="10" t="str">
        <x:v>horizon europe; innovation ecosystem; artificial intelligence + science; ai + innovation</x:v>
      </x:c>
      <x:c r="L72" s="10" t="str">
        <x:v>strategic autonomy</x:v>
      </x:c>
      <x:c r="M72" s="10" t="str">
        <x:v>How ERC frontier research strengthens Europe’s competitiveness.</x:v>
      </x:c>
      <x:c r="N72" s="10" t="str">
        <x:v>Direct European/EU relevance (europe); R&amp;I evidence: horizon europe, innovation ecosystem; strategic evidence: strategic autonomy; bridge: title/abstract.</x:v>
      </x:c>
      <x:c r="O72" s="10" t="str">
        <x:v>knowledge-A</x:v>
      </x:c>
      <x:c r="P72" s="10" t="str"/>
      <x:c r="Q72" s="10" t="str"/>
      <x:c r="R72" s="10" t="str">
        <x:v>2026-08-31T11:18Z</x:v>
      </x:c>
      <x:c r="S72" s="10" t="str">
        <x:v>https://erc.europa.eu/sites/default/files/2025-06/Exploring-the-innovation-potential-ERC-funded-research.pdf</x:v>
      </x:c>
    </x:row>
    <x:row r="73">
      <x:c r="A73" s="10" t="n">
        <x:f>'Ranked sources'!B73</x:f>
        <x:v>99</x:v>
      </x:c>
      <x:c r="B73" s="10" t="str">
        <x:v>Research and innovation funding for democracy and governance</x:v>
      </x:c>
      <x:c r="C73" s="10" t="str">
        <x:v>2026-06-30</x:v>
      </x:c>
      <x:c r="D73" s="10" t="str">
        <x:v>A</x:v>
      </x:c>
      <x:c r="E73" s="10" t="str">
        <x:v>European Commission — Research &amp; Innovation</x:v>
      </x:c>
      <x:c r="F73" s="10" t="str">
        <x:v>European Commission — Research &amp; Innovation</x:v>
      </x:c>
      <x:c r="G73" s="10" t="str">
        <x:v>official policy / institutional framework</x:v>
      </x:c>
      <x:c r="H73" s="10" t="str">
        <x:v>Tier 1</x:v>
      </x:c>
      <x:c r="I73" s="10" t="str">
        <x:v>direct</x:v>
      </x:c>
      <x:c r="J73" s="10" t="str">
        <x:v>european commission; horizon europe; eu research; european union</x:v>
      </x:c>
      <x:c r="K73" s="10" t="str">
        <x:v>research and innovation; horizon europe</x:v>
      </x:c>
      <x:c r="L73" s="10" t="str">
        <x:v>geopolit; foreign interference</x:v>
      </x:c>
      <x:c r="M73" s="10" t="str">
        <x:v>R&amp;I funding for democracy and governance.</x:v>
      </x:c>
      <x:c r="N73" s="10" t="str">
        <x:v>Direct EU relevance (european commission, horizon europe); R&amp;I evidence: research and innovation, horizon europe; strategic evidence: geopolit, foreign interference; bridge: title/abstract.</x:v>
      </x:c>
      <x:c r="O73" s="10" t="str"/>
      <x:c r="P73" s="10" t="str"/>
      <x:c r="Q73" s="10" t="str"/>
      <x:c r="R73" s="10" t="str">
        <x:v>2026-08-31T22:14Z</x:v>
      </x:c>
      <x:c r="S73" s="10" t="str">
        <x:v>https://research-and-innovation.ec.europa.eu/research-area/social-sciences-and-humanities/research-and-innovation-funding-democracy-and-governance_en</x:v>
      </x:c>
    </x:row>
    <x:row r="74">
      <x:c r="A74" s="10" t="n">
        <x:f>'Ranked sources'!B74</x:f>
        <x:v>99</x:v>
      </x:c>
      <x:c r="B74" s="10" t="str">
        <x:v>EuroHPC JU Opens Access to its Quantum Computers</x:v>
      </x:c>
      <x:c r="C74" s="10" t="str">
        <x:v>2026-06-25</x:v>
      </x:c>
      <x:c r="D74" s="10" t="str">
        <x:v>A</x:v>
      </x:c>
      <x:c r="E74" s="10" t="str">
        <x:v>EuroHPC Joint Undertaking</x:v>
      </x:c>
      <x:c r="F74" s="10" t="str">
        <x:v>European High-Performance Computing Joint Undertaking</x:v>
      </x:c>
      <x:c r="G74" s="10" t="str">
        <x:v>research/policy paper</x:v>
      </x:c>
      <x:c r="H74" s="10" t="str">
        <x:v>Tier 1</x:v>
      </x:c>
      <x:c r="I74" s="10" t="str">
        <x:v>direct</x:v>
      </x:c>
      <x:c r="J74" s="10" t="str">
        <x:v>europe; european</x:v>
      </x:c>
      <x:c r="K74" s="10" t="str">
        <x:v>research and innovation; quantum + innovation; quantum + research; ai + startup</x:v>
      </x:c>
      <x:c r="L74" s="10" t="str"/>
      <x:c r="M74" s="10" t="str">
        <x:v>EuroHPC JU Opens Access to its Quantum Computers.</x:v>
      </x:c>
      <x:c r="N74" s="10" t="str">
        <x:v>Direct European/EU relevance (europe, european); R&amp;I evidence: research and innovation, quantum + innovation; strategic significance is not explicit in the source and should be assessed as a possible longer-run implication.</x:v>
      </x:c>
      <x:c r="O74" s="10" t="str"/>
      <x:c r="P74" s="10" t="str"/>
      <x:c r="Q74" s="10" t="str"/>
      <x:c r="R74" s="10" t="str">
        <x:v>2026-09-01T11:11Z</x:v>
      </x:c>
      <x:c r="S74" s="10" t="str">
        <x:v>https://www.eurohpc-ju.europa.eu/eurohpc-ju-opens-access-its-quantum-computers-2026-06-25_en</x:v>
      </x:c>
    </x:row>
    <x:row r="75">
      <x:c r="A75" s="10" t="n">
        <x:f>'Ranked sources'!B75</x:f>
        <x:v>99</x:v>
      </x:c>
      <x:c r="B75" s="10" t="str">
        <x:v>European Research Area</x:v>
      </x:c>
      <x:c r="C75" s="10" t="str">
        <x:v>2026-06-25</x:v>
      </x:c>
      <x:c r="D75" s="10" t="str">
        <x:v>A</x:v>
      </x:c>
      <x:c r="E75" s="10" t="str">
        <x:v>European Commission — Research &amp; Innovation</x:v>
      </x:c>
      <x:c r="F75" s="10" t="str">
        <x:v>European Commission — Research &amp; Innovation</x:v>
      </x:c>
      <x:c r="G75" s="10" t="str">
        <x:v>research/policy paper</x:v>
      </x:c>
      <x:c r="H75" s="10" t="str">
        <x:v>Tier 1</x:v>
      </x:c>
      <x:c r="I75" s="10" t="str">
        <x:v>direct</x:v>
      </x:c>
      <x:c r="J75" s="10" t="str">
        <x:v>european research area; europe; european</x:v>
      </x:c>
      <x:c r="K75" s="10" t="str">
        <x:v>research and innovation; r&amp;i; innovation policy; european research area; r&amp;d</x:v>
      </x:c>
      <x:c r="L75" s="10" t="str"/>
      <x:c r="M75" s="10" t="str">
        <x:v>R&amp;I policy recommendations are embedded in this process.</x:v>
      </x:c>
      <x:c r="N75" s="10" t="str">
        <x:v>Direct European/EU relevance (european research area, europe); R&amp;I evidence: research and innovation, r&amp;i; strategic evidence: dependence_control, competition_capability, access to; bridge: title/abstract.</x:v>
      </x:c>
      <x:c r="O75" s="10" t="str">
        <x:v>knowledge-B</x:v>
      </x:c>
      <x:c r="P75" s="10" t="str"/>
      <x:c r="Q75" s="10" t="str"/>
      <x:c r="R75" s="10" t="str">
        <x:v>2026-09-02T08:56Z</x:v>
      </x:c>
      <x:c r="S75" s="10" t="str">
        <x:v>https://research-and-innovation.ec.europa.eu/strategy/strategy-research-and-innovation/our-digital-future/european-research-area_en</x:v>
      </x:c>
    </x:row>
    <x:row r="76">
      <x:c r="A76" s="10" t="n">
        <x:f>'Ranked sources'!B76</x:f>
        <x:v>99</x:v>
      </x:c>
      <x:c r="B76" s="10" t="str">
        <x:v>International cooperation with Serbia in research and innovation</x:v>
      </x:c>
      <x:c r="C76" s="10" t="str">
        <x:v>2026-06-23</x:v>
      </x:c>
      <x:c r="D76" s="10" t="str">
        <x:v>A</x:v>
      </x:c>
      <x:c r="E76" s="10" t="str">
        <x:v>European Commission — Research &amp; Innovation</x:v>
      </x:c>
      <x:c r="F76" s="10" t="str">
        <x:v>European Commission — Research &amp; Innovation</x:v>
      </x:c>
      <x:c r="G76" s="10" t="str">
        <x:v>research/policy paper</x:v>
      </x:c>
      <x:c r="H76" s="10" t="str">
        <x:v>Tier 1</x:v>
      </x:c>
      <x:c r="I76" s="10" t="str">
        <x:v>direct</x:v>
      </x:c>
      <x:c r="J76" s="10" t="str">
        <x:v>EU</x:v>
      </x:c>
      <x:c r="K76" s="10" t="str">
        <x:v>research and innovation; scientific cooperation; horizon europe</x:v>
      </x:c>
      <x:c r="L76" s="10" t="str"/>
      <x:c r="M76" s="10" t="str">
        <x:v>Areas of particular success include ICT and Agricultural research.</x:v>
      </x:c>
      <x:c r="N76" s="10" t="str">
        <x:v>Direct European/EU relevance (EU); R&amp;I evidence: research and innovation, scientific cooperation; strategic significance is not explicit in the source and should be assessed as a possible longer-run implication.</x:v>
      </x:c>
      <x:c r="O76" s="10" t="str"/>
      <x:c r="P76" s="10" t="str"/>
      <x:c r="Q76" s="10" t="str"/>
      <x:c r="R76" s="10" t="str">
        <x:v>2026-09-01T14:15Z</x:v>
      </x:c>
      <x:c r="S76" s="10" t="str">
        <x:v>https://research-and-innovation.ec.europa.eu/strategy/strategy-research-and-innovation/europe-world/international-cooperation/association-horizon-europe/serbia_en</x:v>
      </x:c>
    </x:row>
    <x:row r="77">
      <x:c r="A77" s="10" t="n">
        <x:f>'Ranked sources'!B77</x:f>
        <x:v>99</x:v>
      </x:c>
      <x:c r="B77" s="10" t="str">
        <x:v>Two New EuroHPC Systems Join the TOP500 as JUPITER Remains Among the World's Fastest Supercomputers</x:v>
      </x:c>
      <x:c r="C77" s="10" t="str">
        <x:v>2026-06-23</x:v>
      </x:c>
      <x:c r="D77" s="10" t="str">
        <x:v>A</x:v>
      </x:c>
      <x:c r="E77" s="10" t="str">
        <x:v>EuroHPC Joint Undertaking</x:v>
      </x:c>
      <x:c r="F77" s="10" t="str">
        <x:v>European High-Performance Computing Joint Undertaking</x:v>
      </x:c>
      <x:c r="G77" s="10" t="str">
        <x:v>research/policy paper</x:v>
      </x:c>
      <x:c r="H77" s="10" t="str">
        <x:v>Tier 1</x:v>
      </x:c>
      <x:c r="I77" s="10" t="str">
        <x:v>direct</x:v>
      </x:c>
      <x:c r="J77" s="10" t="str">
        <x:v>europe; european; finland; germany</x:v>
      </x:c>
      <x:c r="K77" s="10" t="str">
        <x:v>research and innovation; supercomputer + research; artificial intelligence + research; ai + science; ai + startup</x:v>
      </x:c>
      <x:c r="L77" s="10" t="str"/>
      <x:c r="M77" s="10" t="str">
        <x:v>Two New EuroHPC Systems Join the TOP500 as JUPITER Remains Among the World's Fastest Supercomputers.</x:v>
      </x:c>
      <x:c r="N77" s="10" t="str">
        <x:v>Direct European/EU relevance (europe, european); R&amp;I evidence: research and innovation, supercomputer + research; strategic significance is not explicit in the source and should be assessed as a possible longer-run implication.</x:v>
      </x:c>
      <x:c r="O77" s="10" t="str"/>
      <x:c r="P77" s="10" t="str"/>
      <x:c r="Q77" s="10" t="str"/>
      <x:c r="R77" s="10" t="str">
        <x:v>2026-09-01T11:11Z</x:v>
      </x:c>
      <x:c r="S77" s="10" t="str">
        <x:v>https://www.eurohpc-ju.europa.eu/two-new-eurohpc-systems-join-top500-jupiter-remains-among-worlds-fastest-supercomputers-2026-06-23_en</x:v>
      </x:c>
    </x:row>
    <x:row r="78">
      <x:c r="A78" s="10" t="n">
        <x:f>'Ranked sources'!B78</x:f>
        <x:v>99</x:v>
      </x:c>
      <x:c r="B78" s="10" t="str">
        <x:v>International cooperation with Montenegro in research and innovation</x:v>
      </x:c>
      <x:c r="C78" s="10" t="str">
        <x:v>2026-06-22</x:v>
      </x:c>
      <x:c r="D78" s="10" t="str">
        <x:v>A</x:v>
      </x:c>
      <x:c r="E78" s="10" t="str">
        <x:v>European Commission — Research &amp; Innovation</x:v>
      </x:c>
      <x:c r="F78" s="10" t="str">
        <x:v>European Commission — Research &amp; Innovation</x:v>
      </x:c>
      <x:c r="G78" s="10" t="str">
        <x:v>research/policy paper</x:v>
      </x:c>
      <x:c r="H78" s="10" t="str">
        <x:v>Tier 1</x:v>
      </x:c>
      <x:c r="I78" s="10" t="str">
        <x:v>direct</x:v>
      </x:c>
      <x:c r="J78" s="10" t="str">
        <x:v>EU</x:v>
      </x:c>
      <x:c r="K78" s="10" t="str">
        <x:v>research and innovation; r&amp;i; horizon europe</x:v>
      </x:c>
      <x:c r="L78" s="10" t="str"/>
      <x:c r="M78" s="10" t="str">
        <x:v>Montenegro is the first country in the Western Balkans implementing a Smart Specialisation Strategy.</x:v>
      </x:c>
      <x:c r="N78" s="10" t="str">
        <x:v>Direct European/EU relevance (EU); R&amp;I evidence: research and innovation, r&amp;i; strategic significance is not explicit in the source and should be assessed as a possible longer-run implication.</x:v>
      </x:c>
      <x:c r="O78" s="10" t="str"/>
      <x:c r="P78" s="10" t="str"/>
      <x:c r="Q78" s="10" t="str"/>
      <x:c r="R78" s="10" t="str">
        <x:v>2026-09-01T14:15Z</x:v>
      </x:c>
      <x:c r="S78" s="10" t="str">
        <x:v>https://research-and-innovation.ec.europa.eu/strategy/strategy-research-and-innovation/europe-world/international-cooperation/association-horizon-europe/montenegro_en</x:v>
      </x:c>
    </x:row>
    <x:row r="79">
      <x:c r="A79" s="10" t="n">
        <x:f>'Ranked sources'!B79</x:f>
        <x:v>99</x:v>
      </x:c>
      <x:c r="B79" s="10" t="str">
        <x:v>International cooperation with South Africa in research and innovation</x:v>
      </x:c>
      <x:c r="C79" s="10" t="str">
        <x:v>2026-06-18</x:v>
      </x:c>
      <x:c r="D79" s="10" t="str">
        <x:v>A</x:v>
      </x:c>
      <x:c r="E79" s="10" t="str">
        <x:v>European Commission — Research &amp; Innovation</x:v>
      </x:c>
      <x:c r="F79" s="10" t="str">
        <x:v>European Commission — Research &amp; Innovation</x:v>
      </x:c>
      <x:c r="G79" s="10" t="str">
        <x:v>research/policy paper</x:v>
      </x:c>
      <x:c r="H79" s="10" t="str">
        <x:v>Tier 1</x:v>
      </x:c>
      <x:c r="I79" s="10" t="str">
        <x:v>direct</x:v>
      </x:c>
      <x:c r="J79" s="10" t="str">
        <x:v>european commission; horizon europe; eu research; eu innovation</x:v>
      </x:c>
      <x:c r="K79" s="10" t="str">
        <x:v>research and innovation; r&amp;i; scientific collaboration; science and technology cooperation; horizon europe</x:v>
      </x:c>
      <x:c r="L79" s="10" t="str"/>
      <x:c r="M79" s="10" t="str">
        <x:v>Policy background, funding opportunities, agreements and arrangements, projects and results and contact.</x:v>
      </x:c>
      <x:c r="N79" s="10" t="str">
        <x:v>Direct EU relevance (european commission, horizon europe); R&amp;I evidence: research and innovation, r&amp;i; strategic evidence: dependence_control, international_coordination, access to; bridge: sentence.</x:v>
      </x:c>
      <x:c r="O79" s="10" t="str"/>
      <x:c r="P79" s="10" t="str"/>
      <x:c r="Q79" s="10" t="str"/>
      <x:c r="R79" s="10" t="str">
        <x:v>2026-08-31T19:29Z</x:v>
      </x:c>
      <x:c r="S79" s="10" t="str">
        <x:v>https://research-and-innovation.ec.europa.eu/strategy/strategy-research-and-innovation/europe-world/international-cooperation/bilateral-cooperation-science-and-technology-agreements-non-eu-countries/south-africa_en</x:v>
      </x:c>
    </x:row>
    <x:row r="80">
      <x:c r="A80" s="10" t="n">
        <x:f>'Ranked sources'!B80</x:f>
        <x:v>99</x:v>
      </x:c>
      <x:c r="B80" s="10" t="str">
        <x:v>The European Innovation Council opens to defence and dual-use technologies — amended EIC Work Programme 2026</x:v>
      </x:c>
      <x:c r="C80" s="10" t="str">
        <x:v>2026-06-17</x:v>
      </x:c>
      <x:c r="D80" s="10" t="str">
        <x:v>A</x:v>
      </x:c>
      <x:c r="E80" s="10" t="str">
        <x:v>European Innovation Council / European Commission</x:v>
      </x:c>
      <x:c r="F80" s="10" t="str">
        <x:v>European Innovation Council</x:v>
      </x:c>
      <x:c r="G80" s="10" t="str">
        <x:v>manual-verified scholarly/policy source</x:v>
      </x:c>
      <x:c r="H80" s="10" t="str">
        <x:v>Tier 1</x:v>
      </x:c>
      <x:c r="I80" s="10" t="str">
        <x:v>direct</x:v>
      </x:c>
      <x:c r="J80" s="10" t="str"/>
      <x:c r="K80" s="10" t="str"/>
      <x:c r="L80" s="10" t="str"/>
      <x:c r="M80" s="10" t="str">
        <x:v>The European Innovation Council opens to defence and dual-use technologies — amended EIC Work Programme 2026.</x:v>
      </x:c>
      <x:c r="N80"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80" s="10" t="str">
        <x:v>conversion-A</x:v>
      </x:c>
      <x:c r="P80" s="10" t="str"/>
      <x:c r="Q80" s="10" t="str">
        <x:v>manual</x:v>
      </x:c>
      <x:c r="R80" s="10" t="str">
        <x:v>2026-08-25T09:39Z</x:v>
      </x:c>
      <x:c r="S80" s="10" t="str">
        <x:v>https://eic.ec.europa.eu/news/european-innovation-council-opens-defence-and-dual-use-technologies-2026-06-17_en</x:v>
      </x:c>
    </x:row>
    <x:row r="81">
      <x:c r="A81" s="10" t="n">
        <x:f>'Ranked sources'!B81</x:f>
        <x:v>99</x:v>
      </x:c>
      <x:c r="B81" s="10" t="str">
        <x:v>Gender equality in research and innovation</x:v>
      </x:c>
      <x:c r="C81" s="10" t="str">
        <x:v>2026-06-16</x:v>
      </x:c>
      <x:c r="D81" s="10" t="str">
        <x:v>A</x:v>
      </x:c>
      <x:c r="E81" s="10" t="str">
        <x:v>European Commission — Research &amp; Innovation</x:v>
      </x:c>
      <x:c r="F81" s="10" t="str">
        <x:v>European Commission — Research &amp; Innovation</x:v>
      </x:c>
      <x:c r="G81" s="10" t="str">
        <x:v>research/policy paper</x:v>
      </x:c>
      <x:c r="H81" s="10" t="str">
        <x:v>Tier 1</x:v>
      </x:c>
      <x:c r="I81" s="10" t="str">
        <x:v>direct</x:v>
      </x:c>
      <x:c r="J81" s="10" t="str">
        <x:v>european research area</x:v>
      </x:c>
      <x:c r="K81" s="10" t="str">
        <x:v>research and innovation; r&amp;i; research funding; horizon europe; european research area</x:v>
      </x:c>
      <x:c r="L81" s="10" t="str"/>
      <x:c r="M81" s="10" t="str">
        <x:v>as it relates to the European Research Area (ERA), She Figures report, networks and publications..</x:v>
      </x:c>
      <x:c r="N81" s="10" t="str">
        <x:v>Direct European/EU relevance (european research area); R&amp;I evidence: research and innovation, r&amp;i; strategic significance is not explicit in the source and should be assessed as a possible longer-run implication.</x:v>
      </x:c>
      <x:c r="O81" s="10" t="str"/>
      <x:c r="P81" s="10" t="str"/>
      <x:c r="Q81" s="10" t="str"/>
      <x:c r="R81" s="10" t="str">
        <x:v>2026-09-01T15:59Z</x:v>
      </x:c>
      <x:c r="S81" s="10" t="str">
        <x:v>https://research-and-innovation.ec.europa.eu/strategy/strategy-research-and-innovation/democracy-and-rights/gender-equality-research-and-innovation_en</x:v>
      </x:c>
    </x:row>
    <x:row r="82">
      <x:c r="A82" s="10" t="n">
        <x:f>'Ranked sources'!B82</x:f>
        <x:v>99</x:v>
      </x:c>
      <x:c r="B82" s="10" t="str">
        <x:v>Artificial Intelligence (AI) in Science</x:v>
      </x:c>
      <x:c r="C82" s="10" t="str">
        <x:v>2026-06-15</x:v>
      </x:c>
      <x:c r="D82" s="10" t="str">
        <x:v>A</x:v>
      </x:c>
      <x:c r="E82" s="10" t="str">
        <x:v>European Commission — Research &amp; Innovation</x:v>
      </x:c>
      <x:c r="F82" s="10" t="str">
        <x:v>European Commission — Research &amp; Innovation</x:v>
      </x:c>
      <x:c r="G82" s="10" t="str">
        <x:v>institutional report</x:v>
      </x:c>
      <x:c r="H82" s="10" t="str">
        <x:v>Tier 1</x:v>
      </x:c>
      <x:c r="I82" s="10" t="str">
        <x:v>direct</x:v>
      </x:c>
      <x:c r="J82" s="10" t="str">
        <x:v>european union; european commission; horizon europe; eu policy</x:v>
      </x:c>
      <x:c r="K82" s="10" t="str">
        <x:v>research and innovation; research &amp; innovation; r&amp;i; science policy; horizon europe</x:v>
      </x:c>
      <x:c r="L82" s="10" t="str"/>
      <x:c r="M82" s="10" t="str">
        <x:v>I 1 Foresight: Use and impact of AI in the scientific process 2023 I 2 Context Methodology 1.</x:v>
      </x:c>
      <x:c r="N82" s="10" t="str">
        <x:v>Direct European/EU relevance (european union, european commission); R&amp;I evidence: research and innovation, research &amp; innovation; strategic significance is not explicit in the source and should be assessed as a possible longer-run implication.</x:v>
      </x:c>
      <x:c r="O82" s="10" t="str"/>
      <x:c r="P82" s="10" t="str"/>
      <x:c r="Q82" s="10" t="str"/>
      <x:c r="R82" s="10" t="str">
        <x:v>2026-09-02T10:10Z</x:v>
      </x:c>
      <x:c r="S82" s="10" t="str">
        <x:v>https://erc.europa.eu/sites/default/files/2023-12/AI_in_science.pdf</x:v>
      </x:c>
    </x:row>
    <x:row r="83">
      <x:c r="A83" s="10" t="n">
        <x:f>'Ranked sources'!B83</x:f>
        <x:v>99</x:v>
      </x:c>
      <x:c r="B83" s="10" t="str">
        <x:v>RAISE: Resource for AI Science in Europe</x:v>
      </x:c>
      <x:c r="C83" s="10" t="str">
        <x:v>2026-06-15</x:v>
      </x:c>
      <x:c r="D83" s="10" t="str">
        <x:v>A</x:v>
      </x:c>
      <x:c r="E83" s="10" t="str">
        <x:v>European Commission — Research &amp; Innovation</x:v>
      </x:c>
      <x:c r="F83" s="10" t="str">
        <x:v>European Commission — Research &amp; Innovation</x:v>
      </x:c>
      <x:c r="G83" s="10" t="str">
        <x:v>research/policy paper</x:v>
      </x:c>
      <x:c r="H83" s="10" t="str">
        <x:v>Tier 1</x:v>
      </x:c>
      <x:c r="I83" s="10" t="str">
        <x:v>direct</x:v>
      </x:c>
      <x:c r="J83" s="10" t="str">
        <x:v>europe</x:v>
      </x:c>
      <x:c r="K83" s="10" t="str">
        <x:v>research and innovation; research funding; horizon europe; research infrastructure; research infrastructures</x:v>
      </x:c>
      <x:c r="L83" s="10" t="str">
        <x:v>technological sovereignty</x:v>
      </x:c>
      <x:c r="M83" s="10" t="str">
        <x:v>RAISE: Resource for AI Science in Europe.</x:v>
      </x:c>
      <x:c r="N83" s="10" t="str">
        <x:v>Direct European/EU relevance (europe); R&amp;I evidence: research and innovation, research funding; strategic evidence: technological sovereignty; bridge: sentence.</x:v>
      </x:c>
      <x:c r="O83" s="10" t="str">
        <x:v>knowledge-A</x:v>
      </x:c>
      <x:c r="P83" s="10" t="str"/>
      <x:c r="Q83" s="10" t="str"/>
      <x:c r="R83" s="10" t="str">
        <x:v>2026-09-01T15:59Z</x:v>
      </x:c>
      <x:c r="S83" s="10" t="str">
        <x:v>https://research-and-innovation.ec.europa.eu/strategy/strategy-research-and-innovation/our-digital-future/european-ai-science-strategy/raise-resource-ai-science-europe_en</x:v>
      </x:c>
    </x:row>
    <x:row r="84">
      <x:c r="A84" s="10" t="n">
        <x:f>'Ranked sources'!B84</x:f>
        <x:v>99</x:v>
      </x:c>
      <x:c r="B84" s="10" t="str">
        <x:v>Inauguration of SOL, a New Quantum Computer Together with LISA: the Upgrade of the Leonardo Supercomputer</x:v>
      </x:c>
      <x:c r="C84" s="10" t="str">
        <x:v>2026-06-11</x:v>
      </x:c>
      <x:c r="D84" s="10" t="str">
        <x:v>A</x:v>
      </x:c>
      <x:c r="E84" s="10" t="str">
        <x:v>EuroHPC Joint Undertaking</x:v>
      </x:c>
      <x:c r="F84" s="10" t="str">
        <x:v>European High-Performance Computing Joint Undertaking</x:v>
      </x:c>
      <x:c r="G84" s="10" t="str">
        <x:v>research/policy paper</x:v>
      </x:c>
      <x:c r="H84" s="10" t="str">
        <x:v>Tier 1</x:v>
      </x:c>
      <x:c r="I84" s="10" t="str">
        <x:v>direct</x:v>
      </x:c>
      <x:c r="J84" s="10" t="str">
        <x:v>european commission; european union</x:v>
      </x:c>
      <x:c r="K84" s="10" t="str">
        <x:v>research and innovation; quantum + research; ai + research; quantum + innovation; ai + ai capacity</x:v>
      </x:c>
      <x:c r="L84" s="10" t="str">
        <x:v>technological sovereignty</x:v>
      </x:c>
      <x:c r="M84" s="10" t="str">
        <x:v>and mark an important step in building a world-class, sovereign supercomputing ecosystem in Europe.</x:v>
      </x:c>
      <x:c r="N84" s="10" t="str">
        <x:v>Direct European/EU relevance (european commission, european union); R&amp;I evidence: research and innovation, quantum + research; strategic evidence: technological sovereignty; bridge: sentence.</x:v>
      </x:c>
      <x:c r="O84" s="10" t="str">
        <x:v>infrastructure-A</x:v>
      </x:c>
      <x:c r="P84" s="10" t="str"/>
      <x:c r="Q84" s="10" t="str"/>
      <x:c r="R84" s="10" t="str">
        <x:v>2026-09-01T12:05Z</x:v>
      </x:c>
      <x:c r="S84" s="10" t="str">
        <x:v>https://www.eurohpc-ju.europa.eu/inauguration-sol-new-quantum-computer-together-lisa-upgrade-leonardo-supercomputer-2026-06-11_en</x:v>
      </x:c>
    </x:row>
    <x:row r="85">
      <x:c r="A85" s="10" t="n">
        <x:f>'Ranked sources'!B85</x:f>
        <x:v>99</x:v>
      </x:c>
      <x:c r="B85" s="10" t="str">
        <x:v>Cloud and AI Development Act — Council working document ST 10104/26</x:v>
      </x:c>
      <x:c r="C85" s="10" t="str">
        <x:v>2026-06-04</x:v>
      </x:c>
      <x:c r="D85" s="10" t="str">
        <x:v>A</x:v>
      </x:c>
      <x:c r="E85" s="10" t="str">
        <x:v>Council of the European Union</x:v>
      </x:c>
      <x:c r="F85" s="10" t="str">
        <x:v>Council of the European Union</x:v>
      </x:c>
      <x:c r="G85" s="10" t="str">
        <x:v>manual-verified scholarly/policy source</x:v>
      </x:c>
      <x:c r="H85" s="10" t="str">
        <x:v>Tier 1</x:v>
      </x:c>
      <x:c r="I85" s="10" t="str">
        <x:v>direct</x:v>
      </x:c>
      <x:c r="J85" s="10" t="str"/>
      <x:c r="K85" s="10" t="str"/>
      <x:c r="L85" s="10" t="str"/>
      <x:c r="M85" s="10" t="str">
        <x:v>Cloud and AI Development Act — Council working document ST 10104/26.</x:v>
      </x:c>
      <x:c r="N85"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85" s="10" t="str">
        <x:v>infrastructure-A</x:v>
      </x:c>
      <x:c r="P85" s="10" t="str"/>
      <x:c r="Q85" s="10" t="str">
        <x:v>manual</x:v>
      </x:c>
      <x:c r="R85" s="10" t="str">
        <x:v>2026-08-26T09:42Z</x:v>
      </x:c>
      <x:c r="S85" s="10" t="str">
        <x:v>https://data.consilium.europa.eu/doc/document/ST-10104-2026-INIT/en/pdf</x:v>
      </x:c>
    </x:row>
    <x:row r="86">
      <x:c r="A86" s="10" t="n">
        <x:f>'Ranked sources'!B86</x:f>
        <x:v>99</x:v>
      </x:c>
      <x:c r="B86" s="10" t="str">
        <x:v>EIC Impact Report 2026: Europe strengthens its position as a global deep tech scaling hub</x:v>
      </x:c>
      <x:c r="C86" s="10" t="str">
        <x:v>2026-06-04</x:v>
      </x:c>
      <x:c r="D86" s="10" t="str">
        <x:v>A</x:v>
      </x:c>
      <x:c r="E86" s="10" t="str">
        <x:v>European Innovation Council</x:v>
      </x:c>
      <x:c r="F86" s="10" t="str">
        <x:v>European Innovation Council and SMEs Executive Agency</x:v>
      </x:c>
      <x:c r="G86" s="10" t="str">
        <x:v>official notice / primary source</x:v>
      </x:c>
      <x:c r="H86" s="10" t="str">
        <x:v>Tier 1</x:v>
      </x:c>
      <x:c r="I86" s="10" t="str">
        <x:v>direct</x:v>
      </x:c>
      <x:c r="J86" s="10" t="str">
        <x:v>europe</x:v>
      </x:c>
      <x:c r="K86" s="10" t="str">
        <x:v>innovation ecosystem; deep tech; quantum + funding</x:v>
      </x:c>
      <x:c r="L86" s="10" t="str"/>
      <x:c r="M86" s="10" t="str">
        <x:v>EIC Impact Report 2026: Europe strengthens its position as a global deep tech scaling hub.</x:v>
      </x:c>
      <x:c r="N86" s="10" t="str">
        <x:v>Direct EU relevance (europe); R&amp;I evidence: innovation ecosystem, deep tech; strategic evidence: substantive strategic evidence; bridge: title/abstract.</x:v>
      </x:c>
      <x:c r="O86" s="10" t="str">
        <x:v>conversion-A</x:v>
      </x:c>
      <x:c r="P86" s="10" t="str"/>
      <x:c r="Q86" s="10" t="str"/>
      <x:c r="R86" s="10" t="str">
        <x:v>2026-08-31T14:42Z</x:v>
      </x:c>
      <x:c r="S86" s="10" t="str">
        <x:v>https://eic.ec.europa.eu/news/eic-impact-report-2026-europe-strengthens-its-position-global-deep-tech-scaling-hub-2026-06-04_en</x:v>
      </x:c>
    </x:row>
    <x:row r="87">
      <x:c r="A87" s="10" t="n">
        <x:f>'Ranked sources'!B87</x:f>
        <x:v>99</x:v>
      </x:c>
      <x:c r="B87" s="10" t="str">
        <x:v>Commission proposes tech sovereignty package to strengthen Europe's digital autonomy and resilience</x:v>
      </x:c>
      <x:c r="C87" s="10" t="str">
        <x:v>2026-06-03</x:v>
      </x:c>
      <x:c r="D87" s="10" t="str">
        <x:v>A</x:v>
      </x:c>
      <x:c r="E87" s="10" t="str">
        <x:v>European Commission — Digital Strategy</x:v>
      </x:c>
      <x:c r="F87" s="10" t="str">
        <x:v>European Commission — Digital Strategy</x:v>
      </x:c>
      <x:c r="G87" s="10" t="str">
        <x:v>official notice / primary source</x:v>
      </x:c>
      <x:c r="H87" s="10" t="str">
        <x:v>Tier 1</x:v>
      </x:c>
      <x:c r="I87" s="10" t="str">
        <x:v>direct</x:v>
      </x:c>
      <x:c r="J87" s="10" t="str">
        <x:v>europe; europe's</x:v>
      </x:c>
      <x:c r="K87" s="10" t="str">
        <x:v>research excellence; ai + computing capacity</x:v>
      </x:c>
      <x:c r="L87" s="10" t="str">
        <x:v>technological sovereignty</x:v>
      </x:c>
      <x:c r="M87" s="10" t="str">
        <x:v>Commission proposes tech sovereignty package to strengthen Europe's digital autonomy and resilience.</x:v>
      </x:c>
      <x:c r="N87" s="10" t="str">
        <x:v>Direct European/EU relevance (europe, europe's); R&amp;I evidence: research excellence, ai + computing capacity; strategic evidence: technological sovereignty; bridge: title/abstract.</x:v>
      </x:c>
      <x:c r="O87" s="10" t="str"/>
      <x:c r="P87" s="10" t="str"/>
      <x:c r="Q87" s="10" t="str"/>
      <x:c r="R87" s="10" t="str">
        <x:v>2026-09-01T09:06Z</x:v>
      </x:c>
      <x:c r="S87" s="10" t="str">
        <x:v>https://digital-strategy.ec.europa.eu/en/news/commission-proposes-tech-sovereignty-package-strengthen-europes-digital-autonomy-and-resilience</x:v>
      </x:c>
    </x:row>
    <x:row r="88">
      <x:c r="A88" s="10" t="n">
        <x:f>'Ranked sources'!B88</x:f>
        <x:v>99</x:v>
      </x:c>
      <x:c r="B88" s="10" t="str">
        <x:v>European Semester</x:v>
      </x:c>
      <x:c r="C88" s="10" t="str">
        <x:v>2026-06-03</x:v>
      </x:c>
      <x:c r="D88" s="10" t="str">
        <x:v>A</x:v>
      </x:c>
      <x:c r="E88" s="10" t="str">
        <x:v>European Commission — Research &amp; Innovation</x:v>
      </x:c>
      <x:c r="F88" s="10" t="str">
        <x:v>European Commission — Research &amp; Innovation</x:v>
      </x:c>
      <x:c r="G88" s="10" t="str">
        <x:v>official policy / institutional framework</x:v>
      </x:c>
      <x:c r="H88" s="10" t="str">
        <x:v>Tier 1</x:v>
      </x:c>
      <x:c r="I88" s="10" t="str">
        <x:v>direct</x:v>
      </x:c>
      <x:c r="J88" s="10" t="str">
        <x:v>europe; european</x:v>
      </x:c>
      <x:c r="K88" s="10" t="str">
        <x:v>research and innovation; horizon europe</x:v>
      </x:c>
      <x:c r="L88" s="10" t="str"/>
      <x:c r="M88" s="10" t="str">
        <x:v>and will play an important role.</x:v>
      </x:c>
      <x:c r="N88" s="10" t="str">
        <x:v>Direct EU relevance (europe, european); R&amp;I evidence: research and innovation, horizon europe; strategic evidence: dependence_control, competition_capability, access to; bridge: title/abstract.</x:v>
      </x:c>
      <x:c r="O88" s="10" t="str"/>
      <x:c r="P88" s="10" t="str"/>
      <x:c r="Q88" s="10" t="str"/>
      <x:c r="R88" s="10" t="str">
        <x:v>2026-09-01T05:17Z</x:v>
      </x:c>
      <x:c r="S88" s="10" t="str">
        <x:v>https://research-and-innovation.ec.europa.eu/strategy/strategy-research-and-innovation/our-digital-future/european-research-area/european-semester_en</x:v>
      </x:c>
    </x:row>
    <x:row r="89">
      <x:c r="A89" s="10" t="n">
        <x:f>'Ranked sources'!B89</x:f>
        <x:v>99</x:v>
      </x:c>
      <x:c r="B89" s="10" t="str">
        <x:v>Four New EuroHPC JU Calls to Boost Quantum Innovation and Standardisation in Europe</x:v>
      </x:c>
      <x:c r="C89" s="10" t="str">
        <x:v>2026-06-02</x:v>
      </x:c>
      <x:c r="D89" s="10" t="str">
        <x:v>A</x:v>
      </x:c>
      <x:c r="E89" s="10" t="str">
        <x:v>EuroHPC Joint Undertaking</x:v>
      </x:c>
      <x:c r="F89" s="10" t="str">
        <x:v>European High-Performance Computing Joint Undertaking</x:v>
      </x:c>
      <x:c r="G89" s="10" t="str">
        <x:v>research/policy paper</x:v>
      </x:c>
      <x:c r="H89" s="10" t="str">
        <x:v>Tier 1</x:v>
      </x:c>
      <x:c r="I89" s="10" t="str">
        <x:v>direct</x:v>
      </x:c>
      <x:c r="J89" s="10" t="str">
        <x:v>europe</x:v>
      </x:c>
      <x:c r="K89" s="10" t="str">
        <x:v>horizon europe; quantum + innovation; quantum + startup; quantum + research; artificial intelligence + research</x:v>
      </x:c>
      <x:c r="L89" s="10" t="str"/>
      <x:c r="M89" s="10" t="str">
        <x:v>EuroHPC JU *** Some call deadlines have been updated.</x:v>
      </x:c>
      <x:c r="N89" s="10" t="str">
        <x:v>Direct EU relevance (europe); R&amp;I evidence: horizon europe, quantum + innovation; strategic evidence: substantive strategic evidence; bridge: title/abstract.</x:v>
      </x:c>
      <x:c r="O89" s="10" t="str"/>
      <x:c r="P89" s="10" t="str"/>
      <x:c r="Q89" s="10" t="str"/>
      <x:c r="R89" s="10" t="str">
        <x:v>2026-08-28T20:50Z</x:v>
      </x:c>
      <x:c r="S89" s="10" t="str">
        <x:v>https://www.eurohpc-ju.europa.eu/four-new-eurohpc-ju-calls-boost-quantum-innovation-and-standardisation-europe-2026-06-02_en</x:v>
      </x:c>
    </x:row>
    <x:row r="90">
      <x:c r="A90" s="10" t="n">
        <x:f>'Ranked sources'!B90</x:f>
        <x:v>99</x:v>
      </x:c>
      <x:c r="B90" s="10" t="str">
        <x:v>Grand Challenge on Quantum Sensors for Inertial Navigation</x:v>
      </x:c>
      <x:c r="C90" s="10" t="str">
        <x:v>2026-06-02</x:v>
      </x:c>
      <x:c r="D90" s="10" t="str">
        <x:v>A</x:v>
      </x:c>
      <x:c r="E90" s="10" t="str">
        <x:v>EuroHPC Joint Undertaking</x:v>
      </x:c>
      <x:c r="F90" s="10" t="str">
        <x:v>EuroHPC Joint Undertaking</x:v>
      </x:c>
      <x:c r="G90" s="10" t="str">
        <x:v>research/policy paper</x:v>
      </x:c>
      <x:c r="H90" s="10" t="str">
        <x:v>Tier 1</x:v>
      </x:c>
      <x:c r="I90" s="10" t="str">
        <x:v>direct</x:v>
      </x:c>
      <x:c r="J90" s="10" t="str">
        <x:v>horizon europe</x:v>
      </x:c>
      <x:c r="K90" s="10" t="str">
        <x:v>horizon europe</x:v>
      </x:c>
      <x:c r="L90" s="10" t="str"/>
      <x:c r="M90" s="10" t="str">
        <x:v>This call is the first phase of a two-phase competitive structure, supported by Horizon Europe and in close collaboration with the European Investment Bank. Grand Challenge on Quantum Sensors for Inertial Navigation. The objective of this call is to advance the development of quantum-enabled navigation systems for use in GNSS-denied or contested environments..</x:v>
      </x:c>
      <x:c r="N90" s="10" t="str">
        <x:v>Direct European/EU relevance (horizon europe); R&amp;I evidence: horizon europe; strategic significance is not explicit in the source and should be assessed as a possible longer-run implication.</x:v>
      </x:c>
      <x:c r="O90" s="10" t="str"/>
      <x:c r="P90" s="10" t="str"/>
      <x:c r="Q90" s="10" t="str"/>
      <x:c r="R90" s="10" t="str">
        <x:v>2026-09-01T14:50Z</x:v>
      </x:c>
      <x:c r="S90" s="10" t="str">
        <x:v>https://www.eurohpc-ju.europa.eu/grand-challenge-quantum-sensors-inertial-navigation_en</x:v>
      </x:c>
    </x:row>
    <x:row r="91">
      <x:c r="A91" s="10" t="n">
        <x:f>'Ranked sources'!B91</x:f>
        <x:v>99</x:v>
      </x:c>
      <x:c r="B91" s="10" t="str">
        <x:v>Standards for Quantum Technologies</x:v>
      </x:c>
      <x:c r="C91" s="10" t="str">
        <x:v>2026-06-02</x:v>
      </x:c>
      <x:c r="D91" s="10" t="str">
        <x:v>A</x:v>
      </x:c>
      <x:c r="E91" s="10" t="str">
        <x:v>EuroHPC Joint Undertaking</x:v>
      </x:c>
      <x:c r="F91" s="10" t="str">
        <x:v>EuroHPC Joint Undertaking</x:v>
      </x:c>
      <x:c r="G91" s="10" t="str">
        <x:v>research/policy paper</x:v>
      </x:c>
      <x:c r="H91" s="10" t="str">
        <x:v>Tier 1</x:v>
      </x:c>
      <x:c r="I91" s="10" t="str">
        <x:v>direct</x:v>
      </x:c>
      <x:c r="J91" s="10" t="str"/>
      <x:c r="K91" s="10" t="str">
        <x:v>quantum + research</x:v>
      </x:c>
      <x:c r="L91" s="10" t="str"/>
      <x:c r="M91" s="10" t="str">
        <x:v>This call aims to support and accelerate the development and adoption of European and international standards for quantum technologies, enhancing interoperability quality/reliability assurance, and trust in quantum systems.. Details Status Open Reference HORIZON-JU-EUROHPC-2026-STAND-05 Publication date 2 June 2026 Opening date 2 June 2026 Deadline model Single-stage Deadline date 30 September 2026, 17:00 (CEST) Description This call wishes to strengthen Europe's leadership in the global quantum standardisation landscape and ensure that European industrial and research priorities are well represented and integrated into emerging standards. Expected outcomes include: Delivery of concrete, EU-relevant pre-normative standards and technical specifications across quantum computing, communication, and sensing.</x:v>
      </x:c>
      <x:c r="N91" s="10" t="str">
        <x:v>Direct EU relevance (scope established); R&amp;I evidence: quantum + research; strategic evidence: competition_capability, rules_power, leadership; bridge: title/abstract.</x:v>
      </x:c>
      <x:c r="O91" s="10" t="str">
        <x:v>infrastructure-A</x:v>
      </x:c>
      <x:c r="P91" s="10" t="str"/>
      <x:c r="Q91" s="10" t="str"/>
      <x:c r="R91" s="10" t="str">
        <x:v>2026-08-31T18:21Z</x:v>
      </x:c>
      <x:c r="S91" s="10" t="str">
        <x:v>https://www.eurohpc-ju.europa.eu/standards-quantum-technologies_en</x:v>
      </x:c>
    </x:row>
    <x:row r="92">
      <x:c r="A92" s="10" t="n">
        <x:f>'Ranked sources'!B92</x:f>
        <x:v>99</x:v>
      </x:c>
      <x:c r="B92" s="10" t="str">
        <x:v>Council Recommendation on a European Union framework for science diplomacy</x:v>
      </x:c>
      <x:c r="C92" s="10" t="str">
        <x:v>2026-05-29</x:v>
      </x:c>
      <x:c r="D92" s="10" t="str">
        <x:v>A</x:v>
      </x:c>
      <x:c r="E92" s="10" t="str">
        <x:v>Council of the European Union</x:v>
      </x:c>
      <x:c r="F92" s="10" t="str">
        <x:v>Council of the European Union</x:v>
      </x:c>
      <x:c r="G92" s="10" t="str">
        <x:v>manual-verified scholarly/policy source</x:v>
      </x:c>
      <x:c r="H92" s="10" t="str">
        <x:v>Tier 1</x:v>
      </x:c>
      <x:c r="I92" s="10" t="str">
        <x:v>direct</x:v>
      </x:c>
      <x:c r="J92" s="10" t="str"/>
      <x:c r="K92" s="10" t="str"/>
      <x:c r="L92" s="10" t="str"/>
      <x:c r="M92" s="10" t="str">
        <x:v>The EU adopted a common science-diplomacy framework that uses scientific cooperation.</x:v>
      </x:c>
      <x:c r="N92"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92" s="10" t="str">
        <x:v>rules-A</x:v>
      </x:c>
      <x:c r="P92" s="10" t="str"/>
      <x:c r="Q92" s="10" t="str">
        <x:v>manual</x:v>
      </x:c>
      <x:c r="R92" s="10" t="str">
        <x:v>2026-08-25T09:39Z</x:v>
      </x:c>
      <x:c r="S92" s="10" t="str">
        <x:v>https://www.consilium.europa.eu/en/press/press-releases/2026/05/29/council-defines-a-new-framework-for-science-diplomacy/</x:v>
      </x:c>
    </x:row>
    <x:row r="93">
      <x:c r="A93" s="10" t="n">
        <x:f>'Ranked sources'!B93</x:f>
        <x:v>99</x:v>
      </x:c>
      <x:c r="B93" s="10" t="str">
        <x:v>Science diplomacy</x:v>
      </x:c>
      <x:c r="C93" s="10" t="str">
        <x:v>2026-05-29</x:v>
      </x:c>
      <x:c r="D93" s="10" t="str">
        <x:v>A</x:v>
      </x:c>
      <x:c r="E93" s="10" t="str">
        <x:v>European Commission — Research &amp; Innovation</x:v>
      </x:c>
      <x:c r="F93" s="10" t="str">
        <x:v>European Commission — Research &amp; Innovation</x:v>
      </x:c>
      <x:c r="G93" s="10" t="str">
        <x:v>research/policy paper</x:v>
      </x:c>
      <x:c r="H93" s="10" t="str">
        <x:v>Tier 1</x:v>
      </x:c>
      <x:c r="I93" s="10" t="str">
        <x:v>direct</x:v>
      </x:c>
      <x:c r="J93" s="10" t="str">
        <x:v>european commission; eu research; eu science; european union</x:v>
      </x:c>
      <x:c r="K93" s="10" t="str">
        <x:v>research and innovation; research security; science diplomacy; scientific cooperation; international scientific cooperation</x:v>
      </x:c>
      <x:c r="L93" s="10" t="str">
        <x:v>research security; science diplomacy</x:v>
      </x:c>
      <x:c r="M93" s="10" t="str">
        <x:v>Learn about R&amp;I science diplomacy - what it is, what frameworks are being developed and events..</x:v>
      </x:c>
      <x:c r="N93" s="10" t="str">
        <x:v>Direct EU relevance (european commission, eu research); R&amp;I evidence: research and innovation, research security; strategic evidence: research security, science diplomacy; bridge: sentence.</x:v>
      </x:c>
      <x:c r="O93" s="10" t="str"/>
      <x:c r="P93" s="10" t="str"/>
      <x:c r="Q93" s="10" t="str"/>
      <x:c r="R93" s="10" t="str">
        <x:v>2026-08-29T20:05Z</x:v>
      </x:c>
      <x:c r="S93" s="10" t="str">
        <x:v>https://research-and-innovation.ec.europa.eu/strategy/strategy-research-and-innovation/europe-world/international-cooperation/science-diplomacy_en</x:v>
      </x:c>
    </x:row>
    <x:row r="94">
      <x:c r="A94" s="10" t="n">
        <x:f>'Ranked sources'!B94</x:f>
        <x:v>99</x:v>
      </x:c>
      <x:c r="B94" s="10" t="str">
        <x:v>Global approach to research and innovation</x:v>
      </x:c>
      <x:c r="C94" s="10" t="str">
        <x:v>2026-05-27</x:v>
      </x:c>
      <x:c r="D94" s="10" t="str">
        <x:v>A</x:v>
      </x:c>
      <x:c r="E94" s="10" t="str">
        <x:v>European Commission — Research &amp; Innovation</x:v>
      </x:c>
      <x:c r="F94" s="10" t="str">
        <x:v>European Commission — Research &amp; Innovation</x:v>
      </x:c>
      <x:c r="G94" s="10" t="str">
        <x:v>research/policy paper</x:v>
      </x:c>
      <x:c r="H94" s="10" t="str">
        <x:v>Tier 1</x:v>
      </x:c>
      <x:c r="I94" s="10" t="str">
        <x:v>direct</x:v>
      </x:c>
      <x:c r="J94" s="10" t="str">
        <x:v>european union; european commission; european parliament; horizon europe</x:v>
      </x:c>
      <x:c r="K94" s="10" t="str">
        <x:v>research and innovation; horizon europe; european research area; innovation ecosystem</x:v>
      </x:c>
      <x:c r="L94" s="10" t="str">
        <x:v>foreign interference</x:v>
      </x:c>
      <x:c r="M94" s="10" t="str">
        <x:v>as to the development of the relations in R&amp;I between the EU and priority countries and regions worldwide.</x:v>
      </x:c>
      <x:c r="N94" s="10" t="str">
        <x:v>Direct European/EU relevance (european union, european commission); R&amp;I evidence: research and innovation, horizon europe; strategic evidence: foreign interference; bridge: sentence.</x:v>
      </x:c>
      <x:c r="O94" s="10" t="str"/>
      <x:c r="P94" s="10" t="str"/>
      <x:c r="Q94" s="10" t="str"/>
      <x:c r="R94" s="10" t="str">
        <x:v>2026-09-01T05:17Z</x:v>
      </x:c>
      <x:c r="S94" s="10" t="str">
        <x:v>https://presidence-francaise.consilium.europa.eu/media/xi1khxzg/marseille-declaration.pdf</x:v>
      </x:c>
    </x:row>
    <x:row r="95">
      <x:c r="A95" s="10" t="n">
        <x:f>'Ranked sources'!B95</x:f>
        <x:v>99</x:v>
      </x:c>
      <x:c r="B95" s="10" t="str">
        <x:v>Call for CSA (coordination and support action): EIC Scaling Club 2.0</x:v>
      </x:c>
      <x:c r="C95" s="10" t="str">
        <x:v>2026-05-22</x:v>
      </x:c>
      <x:c r="D95" s="10" t="str">
        <x:v>A</x:v>
      </x:c>
      <x:c r="E95" s="10" t="str">
        <x:v>European Innovation Council</x:v>
      </x:c>
      <x:c r="F95" s="10" t="str">
        <x:v>European Innovation Council and SMEs Executive Agency</x:v>
      </x:c>
      <x:c r="G95" s="10" t="str">
        <x:v>official notice / primary source</x:v>
      </x:c>
      <x:c r="H95" s="10" t="str">
        <x:v>Tier 1</x:v>
      </x:c>
      <x:c r="I95" s="10" t="str">
        <x:v>direct</x:v>
      </x:c>
      <x:c r="J95" s="10" t="str">
        <x:v>horizon europe</x:v>
      </x:c>
      <x:c r="K95" s="10" t="str">
        <x:v>horizon europe; deep tech</x:v>
      </x:c>
      <x:c r="L95" s="10" t="str"/>
      <x:c r="M95" s="10" t="str">
        <x:v>Call for CSA (coordination and support action): EIC Scaling Club 2.0.</x:v>
      </x:c>
      <x:c r="N95" s="10" t="str">
        <x:v>Direct EU relevance (horizon europe); R&amp;I evidence: horizon europe, deep tech; strategic evidence: substantive strategic evidence; bridge: title/abstract.</x:v>
      </x:c>
      <x:c r="O95" s="10" t="str">
        <x:v>rules-A</x:v>
      </x:c>
      <x:c r="P95" s="10" t="str"/>
      <x:c r="Q95" s="10" t="str"/>
      <x:c r="R95" s="10" t="str">
        <x:v>2026-08-31T14:42Z</x:v>
      </x:c>
      <x:c r="S95" s="10" t="str">
        <x:v>https://eic.ec.europa.eu/news/call-csa-coordination-and-support-action-eic-scaling-club-20-2026-05-22_en</x:v>
      </x:c>
    </x:row>
    <x:row r="96">
      <x:c r="A96" s="10" t="n">
        <x:f>'Ranked sources'!B96</x:f>
        <x:v>99</x:v>
      </x:c>
      <x:c r="B96" s="10" t="str">
        <x:v>Frontier research for Artificial Intelligence</x:v>
      </x:c>
      <x:c r="C96" s="10" t="str">
        <x:v>2026-05-20</x:v>
      </x:c>
      <x:c r="D96" s="10" t="str">
        <x:v>A</x:v>
      </x:c>
      <x:c r="E96" s="10" t="str">
        <x:v>European Research Council</x:v>
      </x:c>
      <x:c r="F96" s="10" t="str">
        <x:v>European Research Council</x:v>
      </x:c>
      <x:c r="G96" s="10" t="str">
        <x:v>research/policy paper</x:v>
      </x:c>
      <x:c r="H96" s="10" t="str">
        <x:v>Tier 1</x:v>
      </x:c>
      <x:c r="I96" s="10" t="str">
        <x:v>direct</x:v>
      </x:c>
      <x:c r="J96" s="10" t="str">
        <x:v>horizon europe; eu policy</x:v>
      </x:c>
      <x:c r="K96" s="10" t="str">
        <x:v>horizon europe; artificial intelligence + research; ai + research; ai + innovative; ai + science</x:v>
      </x:c>
      <x:c r="L96" s="10" t="str"/>
      <x:c r="M96" s="10" t="str">
        <x:v>Furthermore, ERC-funded initiatives play an important role in informing policies aimed at positioning the EU.</x:v>
      </x:c>
      <x:c r="N96" s="10" t="str">
        <x:v>Direct European/EU relevance (horizon europe, eu policy); R&amp;I evidence: horizon europe, artificial intelligence + research; strategic significance is not explicit in the source and should be assessed as a possible longer-run implication.</x:v>
      </x:c>
      <x:c r="O96" s="10" t="str">
        <x:v>knowledge-A</x:v>
      </x:c>
      <x:c r="P96" s="10" t="str"/>
      <x:c r="Q96" s="10" t="str"/>
      <x:c r="R96" s="10" t="str">
        <x:v>2026-09-01T11:11Z</x:v>
      </x:c>
      <x:c r="S96" s="10" t="str">
        <x:v>https://erc.europa.eu/projects-statistics/mapping-erc-frontier-research-overview/frontier-research-artificial-intelligence</x:v>
      </x:c>
    </x:row>
    <x:row r="97">
      <x:c r="A97" s="10" t="n">
        <x:f>'Ranked sources'!B97</x:f>
        <x:v>99</x:v>
      </x:c>
      <x:c r="B97" s="10" t="str">
        <x:v>European Research Infrastructures</x:v>
      </x:c>
      <x:c r="C97" s="10" t="str">
        <x:v>2026-05-06</x:v>
      </x:c>
      <x:c r="D97" s="10" t="str">
        <x:v>A</x:v>
      </x:c>
      <x:c r="E97" s="10" t="str">
        <x:v>European Commission — Research &amp; Innovation</x:v>
      </x:c>
      <x:c r="F97" s="10" t="str">
        <x:v>European Commission — Research &amp; Innovation</x:v>
      </x:c>
      <x:c r="G97" s="10" t="str">
        <x:v>research/policy paper</x:v>
      </x:c>
      <x:c r="H97" s="10" t="str">
        <x:v>Tier 1</x:v>
      </x:c>
      <x:c r="I97" s="10" t="str">
        <x:v>direct</x:v>
      </x:c>
      <x:c r="J97" s="10" t="str">
        <x:v>europe; european</x:v>
      </x:c>
      <x:c r="K97" s="10" t="str">
        <x:v>research and innovation; science diplomacy; horizon europe; innovation system; research infrastructure</x:v>
      </x:c>
      <x:c r="L97" s="10" t="str">
        <x:v>science diplomacy</x:v>
      </x:c>
      <x:c r="M97" s="10" t="str">
        <x:v>The Commission does this while cooperating closely with EU countries and countries associated to Horizon Europe.</x:v>
      </x:c>
      <x:c r="N97" s="10" t="str">
        <x:v>Direct EU relevance (europe, european); R&amp;I evidence: research and innovation, science diplomacy; strategic evidence: science diplomacy; bridge: sentence.</x:v>
      </x:c>
      <x:c r="O97" s="10" t="str"/>
      <x:c r="P97" s="10" t="str"/>
      <x:c r="Q97" s="10" t="str"/>
      <x:c r="R97" s="10" t="str">
        <x:v>2026-08-29T11:09Z</x:v>
      </x:c>
      <x:c r="S97" s="10" t="str">
        <x:v>https://research-and-innovation.ec.europa.eu/strategy/strategy-research-and-innovation/our-digital-future/european-research-infrastructures_en</x:v>
      </x:c>
    </x:row>
    <x:row r="98">
      <x:c r="A98" s="10" t="n">
        <x:f>'Ranked sources'!B98</x:f>
        <x:v>99</x:v>
      </x:c>
      <x:c r="B98" s="10" t="str">
        <x:v>Technology Infrastructures</x:v>
      </x:c>
      <x:c r="C98" s="10" t="str">
        <x:v>2026-05-06</x:v>
      </x:c>
      <x:c r="D98" s="10" t="str">
        <x:v>A</x:v>
      </x:c>
      <x:c r="E98" s="10" t="str">
        <x:v>European Commission — Research &amp; Innovation</x:v>
      </x:c>
      <x:c r="F98" s="10" t="str">
        <x:v>European Commission — Research &amp; Innovation</x:v>
      </x:c>
      <x:c r="G98" s="10" t="str">
        <x:v>research/policy paper</x:v>
      </x:c>
      <x:c r="H98" s="10" t="str">
        <x:v>Tier 1</x:v>
      </x:c>
      <x:c r="I98" s="10" t="str">
        <x:v>direct</x:v>
      </x:c>
      <x:c r="J98" s="10" t="str">
        <x:v>european commission; european research area; eu science; european union</x:v>
      </x:c>
      <x:c r="K98" s="10" t="str">
        <x:v>research and innovation; european research area; innovation ecosystem; r&amp;d; technology development</x:v>
      </x:c>
      <x:c r="L98" s="10" t="str">
        <x:v>strategic autonomy; technological sovereignty; derisk</x:v>
      </x:c>
      <x:c r="M98" s="10" t="str">
        <x:v>What are Technology Infrastructures?</x:v>
      </x:c>
      <x:c r="N98" s="10" t="str">
        <x:v>Direct EU relevance (european commission, european research area); R&amp;I evidence: research and innovation, european research area; strategic evidence: strategic autonomy, technological sovereignty; bridge: sentence.</x:v>
      </x:c>
      <x:c r="O98" s="10" t="str"/>
      <x:c r="P98" s="10" t="str"/>
      <x:c r="Q98" s="10" t="str"/>
      <x:c r="R98" s="10" t="str">
        <x:v>2026-08-29T10:39Z</x:v>
      </x:c>
      <x:c r="S98" s="10" t="str">
        <x:v>https://research-and-innovation.ec.europa.eu/research-area/industrial-research-and-innovation/technology-infrastructures_en</x:v>
      </x:c>
    </x:row>
    <x:row r="99">
      <x:c r="A99" s="10" t="n">
        <x:f>'Ranked sources'!B99</x:f>
        <x:v>99</x:v>
      </x:c>
      <x:c r="B99" s="10" t="str">
        <x:v>Research and innovation for the European Green Deal</x:v>
      </x:c>
      <x:c r="C99" s="10" t="str">
        <x:v>2026-05-05</x:v>
      </x:c>
      <x:c r="D99" s="10" t="str">
        <x:v>A</x:v>
      </x:c>
      <x:c r="E99" s="10" t="str">
        <x:v>European Commission — Research &amp; Innovation</x:v>
      </x:c>
      <x:c r="F99" s="10" t="str">
        <x:v>European Commission — Research &amp; Innovation</x:v>
      </x:c>
      <x:c r="G99" s="10" t="str">
        <x:v>research/policy paper</x:v>
      </x:c>
      <x:c r="H99" s="10" t="str">
        <x:v>Tier 1</x:v>
      </x:c>
      <x:c r="I99" s="10" t="str">
        <x:v>direct</x:v>
      </x:c>
      <x:c r="J99" s="10" t="str">
        <x:v>europe; european</x:v>
      </x:c>
      <x:c r="K99" s="10" t="str">
        <x:v>research and innovation; research policy; horizon europe; industrial research</x:v>
      </x:c>
      <x:c r="L99" s="10" t="str">
        <x:v>de-risk</x:v>
      </x:c>
      <x:c r="M99" s="10" t="str">
        <x:v>Europe will become the world’s first climate-neutral continent by 2050.</x:v>
      </x:c>
      <x:c r="N99" s="10" t="str">
        <x:v>Direct European/EU relevance (europe, european); R&amp;I evidence: research and innovation, research policy; strategic evidence: de-risk; bridge: sentence.</x:v>
      </x:c>
      <x:c r="O99" s="10" t="str"/>
      <x:c r="P99" s="10" t="str"/>
      <x:c r="Q99" s="10" t="str"/>
      <x:c r="R99" s="10" t="str">
        <x:v>2026-09-01T15:59Z</x:v>
      </x:c>
      <x:c r="S99" s="10" t="str">
        <x:v>https://research-and-innovation.ec.europa.eu/strategy/strategy-research-and-innovation/environment-and-climate/european-green-deal_en</x:v>
      </x:c>
    </x:row>
    <x:row r="100">
      <x:c r="A100" s="10" t="n">
        <x:f>'Ranked sources'!B100</x:f>
        <x:v>99</x:v>
      </x:c>
      <x:c r="B100" s="10" t="str">
        <x:v>A world of data in a few hands</x:v>
      </x:c>
      <x:c r="C100" s="10" t="str">
        <x:v>2026-04-29</x:v>
      </x:c>
      <x:c r="D100" s="10" t="str">
        <x:v>A</x:v>
      </x:c>
      <x:c r="E100" s="10" t="str">
        <x:v>European Research Council</x:v>
      </x:c>
      <x:c r="F100" s="10" t="str">
        <x:v>European Research Council</x:v>
      </x:c>
      <x:c r="G100" s="10" t="str">
        <x:v>research/policy paper</x:v>
      </x:c>
      <x:c r="H100" s="10" t="str">
        <x:v>Tier 1</x:v>
      </x:c>
      <x:c r="I100" s="10" t="str">
        <x:v>direct</x:v>
      </x:c>
      <x:c r="J100" s="10" t="str">
        <x:v>eu science</x:v>
      </x:c>
      <x:c r="K100" s="10" t="str">
        <x:v>science diplomacy; international research cooperation; data centre + research</x:v>
      </x:c>
      <x:c r="L100" s="10" t="str">
        <x:v>export control; science diplomacy</x:v>
      </x:c>
      <x:c r="M100" s="10" t="str">
        <x:v>But what if the very foundations of this system are unequal?</x:v>
      </x:c>
      <x:c r="N100" s="10" t="str">
        <x:v>Direct EU relevance (eu science); R&amp;I evidence: science diplomacy, international research cooperation; strategic evidence: export control, science diplomacy; bridge: sentence.</x:v>
      </x:c>
      <x:c r="O100" s="10" t="str"/>
      <x:c r="P100" s="10" t="str"/>
      <x:c r="Q100" s="10" t="str"/>
      <x:c r="R100" s="10" t="str">
        <x:v>2026-08-31T22:14Z</x:v>
      </x:c>
      <x:c r="S100" s="10" t="str">
        <x:v>https://erc.europa.eu/news-events/magazine-article/world-data-few-hands</x:v>
      </x:c>
    </x:row>
    <x:row r="101">
      <x:c r="A101" s="10" t="n">
        <x:f>'Ranked sources'!B101</x:f>
        <x:v>99</x:v>
      </x:c>
      <x:c r="B101" s="10" t="str">
        <x:v>Hashtags and handshakes: diplomacy in the age of platforms</x:v>
      </x:c>
      <x:c r="C101" s="10" t="str">
        <x:v>2026-04-29</x:v>
      </x:c>
      <x:c r="D101" s="10" t="str">
        <x:v>A</x:v>
      </x:c>
      <x:c r="E101" s="10" t="str">
        <x:v>European Research Council</x:v>
      </x:c>
      <x:c r="F101" s="10" t="str">
        <x:v>European Research Council</x:v>
      </x:c>
      <x:c r="G101" s="10" t="str">
        <x:v>official policy / institutional framework</x:v>
      </x:c>
      <x:c r="H101" s="10" t="str">
        <x:v>Tier 1</x:v>
      </x:c>
      <x:c r="I101" s="10" t="str">
        <x:v>direct</x:v>
      </x:c>
      <x:c r="J101" s="10" t="str">
        <x:v>europe; european; dutch</x:v>
      </x:c>
      <x:c r="K101" s="10" t="str">
        <x:v>science diplomacy; research and development; artificial intelligence + research</x:v>
      </x:c>
      <x:c r="L101" s="10" t="str">
        <x:v>geopolit; sanctions; science diplomacy</x:v>
      </x:c>
      <x:c r="M101" s="10" t="str">
        <x:v>Hashtags and handshakes: diplomacy in the age of platforms.</x:v>
      </x:c>
      <x:c r="N101" s="10" t="str">
        <x:v>Direct European/EU relevance (europe, european); R&amp;I evidence: science diplomacy, research and development; strategic evidence: geopolit, sanctions, science diplomacy; bridge: sentence.</x:v>
      </x:c>
      <x:c r="O101" s="10" t="str"/>
      <x:c r="P101" s="10" t="str"/>
      <x:c r="Q101" s="10" t="str"/>
      <x:c r="R101" s="10" t="str">
        <x:v>2026-09-01T11:11Z</x:v>
      </x:c>
      <x:c r="S101" s="10" t="str">
        <x:v>https://erc.europa.eu/news-events/magazine-article/hashtags-and-handshakes-diplomacy-age-platforms</x:v>
      </x:c>
    </x:row>
    <x:row r="102">
      <x:c r="A102" s="10" t="n">
        <x:f>'Ranked sources'!B102</x:f>
        <x:v>99</x:v>
      </x:c>
      <x:c r="B102" s="10" t="str">
        <x:v>Science diplomacy: from utopia to pragmatism</x:v>
      </x:c>
      <x:c r="C102" s="10" t="str">
        <x:v>2026-04-29</x:v>
      </x:c>
      <x:c r="D102" s="10" t="str">
        <x:v>A</x:v>
      </x:c>
      <x:c r="E102" s="10" t="str">
        <x:v>European Research Council</x:v>
      </x:c>
      <x:c r="F102" s="10" t="str">
        <x:v>European Research Council</x:v>
      </x:c>
      <x:c r="G102" s="10" t="str">
        <x:v>research/policy paper</x:v>
      </x:c>
      <x:c r="H102" s="10" t="str">
        <x:v>Tier 1</x:v>
      </x:c>
      <x:c r="I102" s="10" t="str">
        <x:v>direct</x:v>
      </x:c>
      <x:c r="J102" s="10" t="str">
        <x:v>european commission; european union; member state; member states</x:v>
      </x:c>
      <x:c r="K102" s="10" t="str">
        <x:v>science diplomacy</x:v>
      </x:c>
      <x:c r="L102" s="10" t="str">
        <x:v>science diplomacy</x:v>
      </x:c>
      <x:c r="M102" s="10" t="str">
        <x:v>The growing fragility of multilateralism is forcing new ways of handling conflicts and shared global challenges.</x:v>
      </x:c>
      <x:c r="N102" s="10" t="str">
        <x:v>Direct EU relevance (european commission, european union); R&amp;I evidence: science diplomacy; strategic evidence: science diplomacy; bridge: sentence.</x:v>
      </x:c>
      <x:c r="O102" s="10" t="str"/>
      <x:c r="P102" s="10" t="str"/>
      <x:c r="Q102" s="10" t="str"/>
      <x:c r="R102" s="10" t="str">
        <x:v>2026-08-31T19:14Z</x:v>
      </x:c>
      <x:c r="S102" s="10" t="str">
        <x:v>https://erc.europa.eu/news-events/magazine-article/science-diplomacy-utopia-pragmatism</x:v>
      </x:c>
    </x:row>
    <x:row r="103">
      <x:c r="A103" s="10" t="n">
        <x:f>'Ranked sources'!B103</x:f>
        <x:v>99</x:v>
      </x:c>
      <x:c r="B103" s="10" t="str">
        <x:v>Eight European startups set to receive scale-up funding from the EIC under the STEP Scale Up scheme</x:v>
      </x:c>
      <x:c r="C103" s="10" t="str">
        <x:v>2026-04-27</x:v>
      </x:c>
      <x:c r="D103" s="10" t="str">
        <x:v>A</x:v>
      </x:c>
      <x:c r="E103" s="10" t="str">
        <x:v>European Innovation Council</x:v>
      </x:c>
      <x:c r="F103" s="10" t="str">
        <x:v>European Innovation Council and SMEs Executive Agency</x:v>
      </x:c>
      <x:c r="G103" s="10" t="str">
        <x:v>official notice / primary source</x:v>
      </x:c>
      <x:c r="H103" s="10" t="str">
        <x:v>Tier 1</x:v>
      </x:c>
      <x:c r="I103" s="10" t="str">
        <x:v>direct</x:v>
      </x:c>
      <x:c r="J103" s="10" t="str">
        <x:v>europe; european</x:v>
      </x:c>
      <x:c r="K103" s="10" t="str">
        <x:v>deep tech; biotech + funding</x:v>
      </x:c>
      <x:c r="L103" s="10" t="str">
        <x:v>strategic dependencies</x:v>
      </x:c>
      <x:c r="M103" s="10" t="str">
        <x:v>Eight European startups set to receive scale-up funding from the EIC under the STEP Scale Up scheme.</x:v>
      </x:c>
      <x:c r="N103" s="10" t="str">
        <x:v>Direct EU relevance (europe, european); R&amp;I evidence: deep tech, biotech + funding; strategic evidence: strategic dependencies; bridge: title/abstract.</x:v>
      </x:c>
      <x:c r="O103" s="10" t="str">
        <x:v>conversion-A</x:v>
      </x:c>
      <x:c r="P103" s="10" t="str"/>
      <x:c r="Q103" s="10" t="str"/>
      <x:c r="R103" s="10" t="str">
        <x:v>2026-08-31T18:08Z</x:v>
      </x:c>
      <x:c r="S103" s="10" t="str">
        <x:v>https://eic.ec.europa.eu/news/eight-european-startups-set-receive-scale-funding-eic-under-step-scale-scheme-2026-04-27_en</x:v>
      </x:c>
    </x:row>
    <x:row r="104">
      <x:c r="A104" s="10" t="n">
        <x:f>'Ranked sources'!B104</x:f>
        <x:v>99</x:v>
      </x:c>
      <x:c r="B104" s="10" t="str">
        <x:v>70 companies selected under the EIC Pre-Accelerator call</x:v>
      </x:c>
      <x:c r="C104" s="10" t="str">
        <x:v>2026-04-23</x:v>
      </x:c>
      <x:c r="D104" s="10" t="str">
        <x:v>A</x:v>
      </x:c>
      <x:c r="E104" s="10" t="str">
        <x:v>European Innovation Council</x:v>
      </x:c>
      <x:c r="F104" s="10" t="str">
        <x:v>European Innovation Council and SMEs Executive Agency</x:v>
      </x:c>
      <x:c r="G104" s="10" t="str">
        <x:v>official notice / primary source</x:v>
      </x:c>
      <x:c r="H104" s="10" t="str">
        <x:v>Tier 1</x:v>
      </x:c>
      <x:c r="I104" s="10" t="str">
        <x:v>direct</x:v>
      </x:c>
      <x:c r="J104" s="10" t="str">
        <x:v>european commission; horizon europe; european research area</x:v>
      </x:c>
      <x:c r="K104" s="10" t="str">
        <x:v>horizon europe; european research area; deep tech</x:v>
      </x:c>
      <x:c r="L104" s="10" t="str"/>
      <x:c r="M104" s="10" t="str">
        <x:v>In total, the selected companies will receive around €32.5 million in EU funding.</x:v>
      </x:c>
      <x:c r="N104" s="10" t="str">
        <x:v>Direct European/EU relevance (european commission, horizon europe); R&amp;I evidence: horizon europe, european research area; strategic significance is not explicit in the source and should be assessed as a possible longer-run implication.</x:v>
      </x:c>
      <x:c r="O104" s="10" t="str"/>
      <x:c r="P104" s="10" t="str"/>
      <x:c r="Q104" s="10" t="str"/>
      <x:c r="R104" s="10" t="str">
        <x:v>2026-09-01T12:17Z</x:v>
      </x:c>
      <x:c r="S104" s="10" t="str">
        <x:v>https://eic.ec.europa.eu/news/eic-pre-accelerator-supports-70-early-stage-deep-tech-companies-countries-lower-innovation-2026-04-23_en</x:v>
      </x:c>
    </x:row>
    <x:row r="105">
      <x:c r="A105" s="10" t="n">
        <x:f>'Ranked sources'!B105</x:f>
        <x:v>99</x:v>
      </x:c>
      <x:c r="B105" s="10" t="str">
        <x:v>International cooperation with North Macedonia in research and innovation</x:v>
      </x:c>
      <x:c r="C105" s="10" t="str">
        <x:v>2026-04-22</x:v>
      </x:c>
      <x:c r="D105" s="10" t="str">
        <x:v>A</x:v>
      </x:c>
      <x:c r="E105" s="10" t="str">
        <x:v>European Commission — Research &amp; Innovation</x:v>
      </x:c>
      <x:c r="F105" s="10" t="str">
        <x:v>European Commission — Research &amp; Innovation</x:v>
      </x:c>
      <x:c r="G105" s="10" t="str">
        <x:v>research/policy paper</x:v>
      </x:c>
      <x:c r="H105" s="10" t="str">
        <x:v>Tier 1</x:v>
      </x:c>
      <x:c r="I105" s="10" t="str">
        <x:v>direct</x:v>
      </x:c>
      <x:c r="J105" s="10" t="str">
        <x:v>european commission; horizon europe; european research area; eu research</x:v>
      </x:c>
      <x:c r="K105" s="10" t="str">
        <x:v>research and innovation; r&amp;i; horizon europe; european research area; research capacity</x:v>
      </x:c>
      <x:c r="L105" s="10" t="str"/>
      <x:c r="M105" s="10" t="str">
        <x:v>Throughout these programmes, North Macedonia’s best performance has been are in the fields of Energy and Health.</x:v>
      </x:c>
      <x:c r="N105" s="10" t="str">
        <x:v>Direct EU relevance (european commission, horizon europe); R&amp;I evidence: research and innovation, r&amp;i; strategic evidence: substantive strategic evidence; bridge: title/abstract.</x:v>
      </x:c>
      <x:c r="O105" s="10" t="str"/>
      <x:c r="P105" s="10" t="str"/>
      <x:c r="Q105" s="10" t="str"/>
      <x:c r="R105" s="10" t="str">
        <x:v>2026-08-30T23:20Z</x:v>
      </x:c>
      <x:c r="S105" s="10" t="str">
        <x:v>https://research-and-innovation.ec.europa.eu/strategy/strategy-research-and-innovation/europe-world/international-cooperation/association-horizon-europe/north-macedonia_en</x:v>
      </x:c>
    </x:row>
    <x:row r="106">
      <x:c r="A106" s="10" t="n">
        <x:f>'Ranked sources'!B106</x:f>
        <x:v>99</x:v>
      </x:c>
      <x:c r="B106" s="10" t="str">
        <x:v>First release of the EuroHPC Federation Platform to streamline access to Europe’s supercomputing resources</x:v>
      </x:c>
      <x:c r="C106" s="10" t="str">
        <x:v>2026-04-15</x:v>
      </x:c>
      <x:c r="D106" s="10" t="str">
        <x:v>A</x:v>
      </x:c>
      <x:c r="E106" s="10" t="str">
        <x:v>EuroHPC Joint Undertaking</x:v>
      </x:c>
      <x:c r="F106" s="10" t="str">
        <x:v>European High-Performance Computing Joint Undertaking</x:v>
      </x:c>
      <x:c r="G106" s="10" t="str">
        <x:v>official policy / institutional framework</x:v>
      </x:c>
      <x:c r="H106" s="10" t="str">
        <x:v>Tier 1</x:v>
      </x:c>
      <x:c r="I106" s="10" t="str">
        <x:v>direct</x:v>
      </x:c>
      <x:c r="J106" s="10" t="str">
        <x:v>europe</x:v>
      </x:c>
      <x:c r="K106" s="10" t="str">
        <x:v>research and innovation; technological capabilities; supercomputer + research; ai + technological capabilities; supercomputer + science</x:v>
      </x:c>
      <x:c r="L106" s="10" t="str"/>
      <x:c r="M106" s="10" t="str">
        <x:v>as user authentication and authorisation, resource allocation, job scheduling.</x:v>
      </x:c>
      <x:c r="N106" s="10" t="str">
        <x:v>Direct European/EU relevance (europe); R&amp;I evidence: research and innovation, technological capabilities; strategic evidence: dependence_control, competition_capability, rules_power; bridge: title/abstract.</x:v>
      </x:c>
      <x:c r="O106" s="10" t="str"/>
      <x:c r="P106" s="10" t="str"/>
      <x:c r="Q106" s="10" t="str"/>
      <x:c r="R106" s="10" t="str">
        <x:v>2026-09-01T12:05Z</x:v>
      </x:c>
      <x:c r="S106" s="10" t="str">
        <x:v>https://www.eurohpc-ju.europa.eu/first-release-eurohpc-federation-platform-streamline-access-europes-supercomputing-resources-2026-04-15_en</x:v>
      </x:c>
    </x:row>
    <x:row r="107">
      <x:c r="A107" s="10" t="n">
        <x:f>'Ranked sources'!B107</x:f>
        <x:v>99</x:v>
      </x:c>
      <x:c r="B107" s="10" t="str">
        <x:v>EuroHPC JU Inaugurates a Quantum Computer in France, Strengthening Europe’s Sovereignty</x:v>
      </x:c>
      <x:c r="C107" s="10" t="str">
        <x:v>2026-04-14</x:v>
      </x:c>
      <x:c r="D107" s="10" t="str">
        <x:v>A</x:v>
      </x:c>
      <x:c r="E107" s="10" t="str">
        <x:v>EuroHPC Joint Undertaking</x:v>
      </x:c>
      <x:c r="F107" s="10" t="str">
        <x:v>European High-Performance Computing Joint Undertaking</x:v>
      </x:c>
      <x:c r="G107" s="10" t="str">
        <x:v>research/policy paper</x:v>
      </x:c>
      <x:c r="H107" s="10" t="str">
        <x:v>Tier 1</x:v>
      </x:c>
      <x:c r="I107" s="10" t="str">
        <x:v>direct</x:v>
      </x:c>
      <x:c r="J107" s="10" t="str">
        <x:v>europe; france</x:v>
      </x:c>
      <x:c r="K107" s="10" t="str">
        <x:v>research and innovation; quantum + research; supercomputer + science; ai + startup; supercomputer + research</x:v>
      </x:c>
      <x:c r="L107" s="10" t="str">
        <x:v>technological sovereignty</x:v>
      </x:c>
      <x:c r="M107" s="10" t="str">
        <x:v>EuroHPC JU Inaugurates a Quantum Computer in France, Strengthening Europe’s Sovereignty.</x:v>
      </x:c>
      <x:c r="N107" s="10" t="str">
        <x:v>Direct European/EU relevance (europe, france); R&amp;I evidence: research and innovation, quantum + research; strategic evidence: technological sovereignty; bridge: title/abstract.</x:v>
      </x:c>
      <x:c r="O107" s="10" t="str"/>
      <x:c r="P107" s="10" t="str"/>
      <x:c r="Q107" s="10" t="str"/>
      <x:c r="R107" s="10" t="str">
        <x:v>2026-09-01T12:05Z</x:v>
      </x:c>
      <x:c r="S107" s="10" t="str">
        <x:v>https://www.eurohpc-ju.europa.eu/eurohpc-ju-inaugurates-quantum-computer-france-strengthening-europes-sovereignty-2026-04-14_en</x:v>
      </x:c>
    </x:row>
    <x:row r="108">
      <x:c r="A108" s="10" t="n">
        <x:f>'Ranked sources'!B108</x:f>
        <x:v>99</x:v>
      </x:c>
      <x:c r="B108" s="10" t="str">
        <x:v>International cooperation with Canada in research and innovation</x:v>
      </x:c>
      <x:c r="C108" s="10" t="str">
        <x:v>2026-04-07</x:v>
      </x:c>
      <x:c r="D108" s="10" t="str">
        <x:v>A</x:v>
      </x:c>
      <x:c r="E108" s="10" t="str">
        <x:v>European Commission — Research &amp; Innovation</x:v>
      </x:c>
      <x:c r="F108" s="10" t="str">
        <x:v>European Commission — Research &amp; Innovation</x:v>
      </x:c>
      <x:c r="G108" s="10" t="str">
        <x:v>research/policy paper</x:v>
      </x:c>
      <x:c r="H108" s="10" t="str">
        <x:v>Tier 1</x:v>
      </x:c>
      <x:c r="I108" s="10" t="str">
        <x:v>direct</x:v>
      </x:c>
      <x:c r="J108" s="10" t="str">
        <x:v>european commission; horizon europe; eu research; european union</x:v>
      </x:c>
      <x:c r="K108" s="10" t="str">
        <x:v>research and innovation; research collaboration; science and technology cooperation; horizon europe; research organisation</x:v>
      </x:c>
      <x:c r="L108" s="10" t="str">
        <x:v>geopolit; economic security</x:v>
      </x:c>
      <x:c r="M108" s="10" t="str">
        <x:v>International cooperation with Canada in R&amp;I.</x:v>
      </x:c>
      <x:c r="N108" s="10" t="str">
        <x:v>Direct EU relevance (european commission, horizon europe); R&amp;I evidence: research and innovation, research collaboration; strategic evidence: geopolit, economic security; bridge: sentence.</x:v>
      </x:c>
      <x:c r="O108" s="10" t="str"/>
      <x:c r="P108" s="10" t="str"/>
      <x:c r="Q108" s="10" t="str"/>
      <x:c r="R108" s="10" t="str">
        <x:v>2026-08-31T19:29Z</x:v>
      </x:c>
      <x:c r="S108" s="10" t="str">
        <x:v>https://research-and-innovation.ec.europa.eu/strategy/strategy-research-and-innovation/europe-world/international-cooperation/association-horizon-europe/canada_en</x:v>
      </x:c>
    </x:row>
    <x:row r="109">
      <x:c r="A109" s="10" t="n">
        <x:f>'Ranked sources'!B109</x:f>
        <x:v>99</x:v>
      </x:c>
      <x:c r="B109" s="10" t="str">
        <x:v>EIC Tech Report 2026 identifies 25 emerging deep tech signals to support Europe’s strategic autonomy and resilience</x:v>
      </x:c>
      <x:c r="C109" s="10" t="str">
        <x:v>2026-03-30</x:v>
      </x:c>
      <x:c r="D109" s="10" t="str">
        <x:v>A</x:v>
      </x:c>
      <x:c r="E109" s="10" t="str">
        <x:v>European Innovation Council</x:v>
      </x:c>
      <x:c r="F109" s="10" t="str">
        <x:v>European Innovation Council and SMEs Executive Agency</x:v>
      </x:c>
      <x:c r="G109" s="10" t="str">
        <x:v>official notice / primary source</x:v>
      </x:c>
      <x:c r="H109" s="10" t="str">
        <x:v>Tier 1</x:v>
      </x:c>
      <x:c r="I109" s="10" t="str">
        <x:v>direct</x:v>
      </x:c>
      <x:c r="J109" s="10" t="str">
        <x:v>europe</x:v>
      </x:c>
      <x:c r="K109" s="10" t="str">
        <x:v>deep tech; strategic technologies + competitiveness</x:v>
      </x:c>
      <x:c r="L109" s="10" t="str">
        <x:v>strategic autonomy</x:v>
      </x:c>
      <x:c r="M109" s="10" t="str">
        <x:v>EIC Tech Report 2026 identifies 25 emerging deep tech signals to support Europe’s autonomy and resilience.</x:v>
      </x:c>
      <x:c r="N109" s="10" t="str">
        <x:v>Direct EU relevance (europe); R&amp;I evidence: deep tech, strategic technologies + competitiveness; strategic evidence: strategic autonomy; bridge: sentence.</x:v>
      </x:c>
      <x:c r="O109" s="10" t="str">
        <x:v>conversion-A</x:v>
      </x:c>
      <x:c r="P109" s="10" t="str"/>
      <x:c r="Q109" s="10" t="str"/>
      <x:c r="R109" s="10" t="str">
        <x:v>2026-08-29T16:45Z</x:v>
      </x:c>
      <x:c r="S109" s="10" t="str">
        <x:v>https://eic.ec.europa.eu/news/eic-tech-report-2026-identifies-25-emerging-deep-tech-signals-support-europes-strategic-autonomy-and-2026-03-30_en</x:v>
      </x:c>
    </x:row>
    <x:row r="110">
      <x:c r="A110" s="10" t="n">
        <x:f>'Ranked sources'!B110</x:f>
        <x:v>99</x:v>
      </x:c>
      <x:c r="B110" s="10" t="str">
        <x:v>EuroHPC JU Signs Contract to Deploy AI Supercomputer HammerHAI</x:v>
      </x:c>
      <x:c r="C110" s="10" t="str">
        <x:v>2026-03-16</x:v>
      </x:c>
      <x:c r="D110" s="10" t="str">
        <x:v>A</x:v>
      </x:c>
      <x:c r="E110" s="10" t="str">
        <x:v>EuroHPC Joint Undertaking</x:v>
      </x:c>
      <x:c r="F110" s="10" t="str">
        <x:v>European High-Performance Computing Joint Undertaking</x:v>
      </x:c>
      <x:c r="G110" s="10" t="str">
        <x:v>research/policy paper</x:v>
      </x:c>
      <x:c r="H110" s="10" t="str">
        <x:v>Tier 1</x:v>
      </x:c>
      <x:c r="I110" s="10" t="str">
        <x:v>direct</x:v>
      </x:c>
      <x:c r="J110" s="10" t="str">
        <x:v>europe; european; france; germany</x:v>
      </x:c>
      <x:c r="K110" s="10" t="str">
        <x:v>technology development; artificial intelligence + science; ai + startup; ai + research</x:v>
      </x:c>
      <x:c r="L110" s="10" t="str"/>
      <x:c r="M110" s="10" t="str">
        <x:v>EuroHPC JU Signs Contract to Deploy AI Supercomputer HammerHAI.</x:v>
      </x:c>
      <x:c r="N110" s="10" t="str">
        <x:v>Direct European/EU relevance (europe, european); R&amp;I evidence: technology development, artificial intelligence + science; strategic evidence: dependence_control, competition_capability, access to; bridge: title/abstract.</x:v>
      </x:c>
      <x:c r="O110" s="10" t="str">
        <x:v>infrastructure-A</x:v>
      </x:c>
      <x:c r="P110" s="10" t="str"/>
      <x:c r="Q110" s="10" t="str"/>
      <x:c r="R110" s="10" t="str">
        <x:v>2026-09-01T12:05Z</x:v>
      </x:c>
      <x:c r="S110" s="10" t="str">
        <x:v>https://www.eurohpc-ju.europa.eu/eurohpc-ju-signs-contract-deploy-ai-supercomputer-hammerhai-2026-03-16_en</x:v>
      </x:c>
    </x:row>
    <x:row r="111">
      <x:c r="A111" s="10" t="n">
        <x:f>'Ranked sources'!B111</x:f>
        <x:v>99</x:v>
      </x:c>
      <x:c r="B111" s="10" t="str">
        <x:v>International cooperation with Algeria in research and innovation</x:v>
      </x:c>
      <x:c r="C111" s="10" t="str">
        <x:v>2026-03-11</x:v>
      </x:c>
      <x:c r="D111" s="10" t="str">
        <x:v>A</x:v>
      </x:c>
      <x:c r="E111" s="10" t="str">
        <x:v>European Commission — Research &amp; Innovation</x:v>
      </x:c>
      <x:c r="F111" s="10" t="str">
        <x:v>European Commission — Research &amp; Innovation</x:v>
      </x:c>
      <x:c r="G111" s="10" t="str">
        <x:v>research/policy paper</x:v>
      </x:c>
      <x:c r="H111" s="10" t="str">
        <x:v>Tier 1</x:v>
      </x:c>
      <x:c r="I111" s="10" t="str">
        <x:v>direct</x:v>
      </x:c>
      <x:c r="J111" s="10" t="str">
        <x:v>european commission; horizon europe; eu research; european union</x:v>
      </x:c>
      <x:c r="K111" s="10" t="str">
        <x:v>research and innovation; scientific cooperation; research programme; research program; horizon europe</x:v>
      </x:c>
      <x:c r="L111" s="10" t="str"/>
      <x:c r="M111" s="10" t="str">
        <x:v>Policy background, funding opportunities, agreements and arrangements, projects and results and contact.</x:v>
      </x:c>
      <x:c r="N111" s="10" t="str">
        <x:v>Direct EU relevance (european commission, horizon europe); R&amp;I evidence: research and innovation, scientific cooperation; strategic evidence: dependence_control, international_coordination, access to; bridge: sentence.</x:v>
      </x:c>
      <x:c r="O111" s="10" t="str"/>
      <x:c r="P111" s="10" t="str"/>
      <x:c r="Q111" s="10" t="str"/>
      <x:c r="R111" s="10" t="str">
        <x:v>2026-09-01T05:17Z</x:v>
      </x:c>
      <x:c r="S111" s="10" t="str">
        <x:v>https://research-and-innovation.ec.europa.eu/strategy/strategy-research-and-innovation/europe-world/international-cooperation/bilateral-cooperation-science-and-technology-agreements-non-eu-countries/algeria_en</x:v>
      </x:c>
    </x:row>
    <x:row r="112">
      <x:c r="A112" s="10" t="n">
        <x:f>'Ranked sources'!B112</x:f>
        <x:v>99</x:v>
      </x:c>
      <x:c r="B112" s="10" t="str">
        <x:v>Safe and sustainable by design</x:v>
      </x:c>
      <x:c r="C112" s="10" t="str">
        <x:v>2026-03-06</x:v>
      </x:c>
      <x:c r="D112" s="10" t="str">
        <x:v>A</x:v>
      </x:c>
      <x:c r="E112" s="10" t="str">
        <x:v>European Commission — Research &amp; Innovation</x:v>
      </x:c>
      <x:c r="F112" s="10" t="str">
        <x:v>European Commission — Research &amp; Innovation</x:v>
      </x:c>
      <x:c r="G112" s="10" t="str">
        <x:v>research/policy paper</x:v>
      </x:c>
      <x:c r="H112" s="10" t="str">
        <x:v>Tier 1</x:v>
      </x:c>
      <x:c r="I112" s="10" t="str">
        <x:v>direct</x:v>
      </x:c>
      <x:c r="J112" s="10" t="str">
        <x:v>european commission; member state; member states; joint research centre</x:v>
      </x:c>
      <x:c r="K112" s="10" t="str">
        <x:v>research and innovation; research organisation</x:v>
      </x:c>
      <x:c r="L112" s="10" t="str"/>
      <x:c r="M112" s="10" t="str">
        <x:v>The goal of this testing phase was to collect insights and improve the framework.</x:v>
      </x:c>
      <x:c r="N112" s="10" t="str">
        <x:v>Direct European/EU relevance (european commission, member state); R&amp;I evidence: research and innovation, research organisation; strategic significance is not explicit in the source and should be assessed as a possible longer-run implication.</x:v>
      </x:c>
      <x:c r="O112" s="10" t="str"/>
      <x:c r="P112" s="10" t="str"/>
      <x:c r="Q112" s="10" t="str"/>
      <x:c r="R112" s="10" t="str">
        <x:v>2026-09-01T15:59Z</x:v>
      </x:c>
      <x:c r="S112" s="10" t="str">
        <x:v>https://research-and-innovation.ec.europa.eu/research-area/industrial-research-and-innovation/chemicals-and-advanced-materials/safe-and-sustainable-design_en</x:v>
      </x:c>
    </x:row>
    <x:row r="113">
      <x:c r="A113" s="10" t="n">
        <x:f>'Ranked sources'!B113</x:f>
        <x:v>97</x:v>
      </x:c>
      <x:c r="B113" s="10" t="str">
        <x:v>Second EU-Taiwan Semiconductor Industry Dialogue</x:v>
      </x:c>
      <x:c r="C113" s="10" t="str">
        <x:v>2026-09-01</x:v>
      </x:c>
      <x:c r="D113" s="10" t="str">
        <x:v>C</x:v>
      </x:c>
      <x:c r="E113" s="10" t="str">
        <x:v>European Commission — Digital Strategy</x:v>
      </x:c>
      <x:c r="F113" s="10" t="str"/>
      <x:c r="G113" s="10" t="str">
        <x:v>cooperation / alignment</x:v>
      </x:c>
      <x:c r="H113" s="10" t="str"/>
      <x:c r="I113" s="10" t="str"/>
      <x:c r="J113" s="10" t="str"/>
      <x:c r="K113" s="10" t="str"/>
      <x:c r="L113" s="10" t="str"/>
      <x:c r="M113" s="10" t="str">
        <x:v>On 31 August, the European Commission, in partnership with the European Economic and Trade Office (EETO) in Taiwan, organised the second Europe-Taiwan Semiconductor Industry Dialogue in Taipei, held in the margins of SEMICON Taiwan 2026. This may affect European access, investment or capability-building in a technology that is becoming strategically important.</x:v>
      </x:c>
      <x:c r="N113" s="10" t="str">
        <x:v>This may affect European access, investment or capability-building in a technology that is becoming strategically important.</x:v>
      </x:c>
      <x:c r="O113" s="10" t="str"/>
      <x:c r="P113" s="10" t="str"/>
      <x:c r="Q113" s="10" t="str"/>
      <x:c r="R113" s="10" t="str">
        <x:v>2026-09-01T23:20Z</x:v>
      </x:c>
      <x:c r="S113" s="10" t="str">
        <x:v>https://digital-strategy.ec.europa.eu/en/news/second-eu-taiwan-semiconductor-industry-dialogue</x:v>
      </x:c>
    </x:row>
    <x:row r="114">
      <x:c r="A114" s="10" t="n">
        <x:f>'Ranked sources'!B114</x:f>
        <x:v>92</x:v>
      </x:c>
      <x:c r="B114" s="10" t="str">
        <x:v>National Knowledge Security Guidelines 2026</x:v>
      </x:c>
      <x:c r="C114" s="10" t="str">
        <x:v>2026-07-09</x:v>
      </x:c>
      <x:c r="D114" s="10" t="str">
        <x:v>A</x:v>
      </x:c>
      <x:c r="E114" s="10" t="str">
        <x:v>National Contact Point for Knowledge Security, Government of the Netherlands</x:v>
      </x:c>
      <x:c r="F114" s="10" t="str">
        <x:v>Loket Kennisveiligheid / Government of the Netherlands</x:v>
      </x:c>
      <x:c r="G114" s="10" t="str">
        <x:v>manual-verified scholarly/policy source</x:v>
      </x:c>
      <x:c r="H114" s="10" t="str">
        <x:v>Tier 1</x:v>
      </x:c>
      <x:c r="I114" s="10" t="str">
        <x:v>direct</x:v>
      </x:c>
      <x:c r="J114" s="10" t="str"/>
      <x:c r="K114" s="10" t="str"/>
      <x:c r="L114" s="10" t="str"/>
      <x:c r="M114" s="10" t="str">
        <x:v>The Netherlands tightened practical knowledge-security guidance for international research while explicitly requiring institutions to balance protection against openness, academic freedom and collaboration.</x:v>
      </x:c>
      <x:c r="N114"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14" s="10" t="str">
        <x:v>rules-B</x:v>
      </x:c>
      <x:c r="P114" s="10" t="str"/>
      <x:c r="Q114" s="10" t="str">
        <x:v>manual</x:v>
      </x:c>
      <x:c r="R114" s="10" t="str">
        <x:v>2026-08-25T09:39Z</x:v>
      </x:c>
      <x:c r="S114" s="10" t="str">
        <x:v>https://english.loketkennisveiligheid.nl/documents/2026/7/9/national-knowledge-security-guidelines-2026</x:v>
      </x:c>
    </x:row>
    <x:row r="115">
      <x:c r="A115" s="10" t="n">
        <x:f>'Ranked sources'!B115</x:f>
        <x:v>92</x:v>
      </x:c>
      <x:c r="B115" s="10" t="str">
        <x:v>Geopolitics in Science Policy: Dilemmas for the mobilisation of research</x:v>
      </x:c>
      <x:c r="C115" s="10" t="str">
        <x:v>2026-05-04</x:v>
      </x:c>
      <x:c r="D115" s="10" t="str">
        <x:v>A</x:v>
      </x:c>
      <x:c r="E115" s="10" t="str">
        <x:v>Rathenau Instituut</x:v>
      </x:c>
      <x:c r="F115" s="10" t="str">
        <x:v>Baar, E.; Eveleens, C.; Baarslag, V.; Deuten, J.</x:v>
      </x:c>
      <x:c r="G115" s="10" t="str">
        <x:v>manual-verified scholarly/policy source</x:v>
      </x:c>
      <x:c r="H115" s="10" t="str">
        <x:v>Tier 1</x:v>
      </x:c>
      <x:c r="I115" s="10" t="str">
        <x:v>direct</x:v>
      </x:c>
      <x:c r="J115" s="10" t="str"/>
      <x:c r="K115" s="10" t="str"/>
      <x:c r="L115" s="10" t="str"/>
      <x:c r="M115" s="10" t="str">
        <x:v>Geopolitical pressure is forcing science policy to trade off technological sovereignty, security, academic freedom, open science and international collaboration.</x:v>
      </x:c>
      <x:c r="N115"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15" s="10" t="str"/>
      <x:c r="P115" s="10" t="str"/>
      <x:c r="Q115" s="10" t="str">
        <x:v>manual</x:v>
      </x:c>
      <x:c r="R115" s="10" t="str">
        <x:v>2026-08-26T09:42Z</x:v>
      </x:c>
      <x:c r="S115" s="10" t="str">
        <x:v>https://www.rathenau.nl/en/knowledge-and-innovation-transitions/challenge-driven-knowledge-and-innovation-policy/geopolitics-science-policy</x:v>
      </x:c>
    </x:row>
    <x:row r="116">
      <x:c r="A116" s="10" t="n">
        <x:f>'Ranked sources'!B116</x:f>
        <x:v>91</x:v>
      </x:c>
      <x:c r="B116" s="10" t="str">
        <x:v>Can science diplomacy help safeguard science as a global public good? Reflections on strategy, data and people</x:v>
      </x:c>
      <x:c r="C116" s="10" t="str">
        <x:v>2026-08-12</x:v>
      </x:c>
      <x:c r="D116" s="10" t="str">
        <x:v>A</x:v>
      </x:c>
      <x:c r="E116" s="10" t="str">
        <x:v>Royal Society Open Science</x:v>
      </x:c>
      <x:c r="F116" s="10" t="str">
        <x:v>Angela Liberatore</x:v>
      </x:c>
      <x:c r="G116" s="10" t="str">
        <x:v>peer-reviewed article</x:v>
      </x:c>
      <x:c r="H116" s="10" t="str">
        <x:v>Tier 2 broad journal</x:v>
      </x:c>
      <x:c r="I116" s="10" t="str">
        <x:v>direct</x:v>
      </x:c>
      <x:c r="J116" s="10" t="str"/>
      <x:c r="K116" s="10" t="str"/>
      <x:c r="L116" s="10" t="str"/>
      <x:c r="M116" s="10" t="str">
        <x:v>Can science diplomacy help safeguard science as a global public good?</x:v>
      </x:c>
      <x:c r="N116" s="10" t="str">
        <x:v>Direct EU relevance (european union); R&amp;I evidence: research security, science diplomacy; strategic evidence: geopolit, technological sovereignty; bridge: sentence.</x:v>
      </x:c>
      <x:c r="O116" s="10" t="str"/>
      <x:c r="P116" s="10" t="str"/>
      <x:c r="Q116" s="10" t="str">
        <x:v>manual</x:v>
      </x:c>
      <x:c r="R116" s="10" t="str">
        <x:v>2026-08-23T09:12Z</x:v>
      </x:c>
      <x:c r="S116" s="10" t="str">
        <x:v>https://doi.org/10.1098/rsos.260721</x:v>
      </x:c>
    </x:row>
    <x:row r="117">
      <x:c r="A117" s="10" t="n">
        <x:f>'Ranked sources'!B117</x:f>
        <x:v>91</x:v>
      </x:c>
      <x:c r="B117" s="10" t="str">
        <x:v>The Neo-Academic Cold War: Political Traumas and Transnational Paranoia</x:v>
      </x:c>
      <x:c r="C117" s="10" t="str">
        <x:v>2026-08-10</x:v>
      </x:c>
      <x:c r="D117" s="10" t="str">
        <x:v>A</x:v>
      </x:c>
      <x:c r="E117" s="10" t="str">
        <x:v>Higher Education Policy</x:v>
      </x:c>
      <x:c r="F117" s="10" t="str">
        <x:v>John Aubrey Douglass</x:v>
      </x:c>
      <x:c r="G117" s="10" t="str">
        <x:v>peer-reviewed article</x:v>
      </x:c>
      <x:c r="H117" s="10" t="str">
        <x:v>Tier 2 broad journal</x:v>
      </x:c>
      <x:c r="I117" s="10" t="str">
        <x:v>direct</x:v>
      </x:c>
      <x:c r="J117" s="10" t="str"/>
      <x:c r="K117" s="10" t="str"/>
      <x:c r="L117" s="10" t="str"/>
      <x:c r="M117" s="10" t="str">
        <x:v>Abstract A new Cold War is emerging and in turn a Neo-Academic Cold War that reflects emerging geopolitical rivalries.</x:v>
      </x:c>
      <x:c r="N117" s="10" t="str">
        <x:v>Direct EU relevance (european union); R&amp;I evidence: science diplomacy; strategic evidence: geopolit, science diplomacy; bridge: sentence.</x:v>
      </x:c>
      <x:c r="O117" s="10" t="str"/>
      <x:c r="P117" s="10" t="str"/>
      <x:c r="Q117" s="10" t="str"/>
      <x:c r="R117" s="10" t="str">
        <x:v>2026-08-20T06:55Z</x:v>
      </x:c>
      <x:c r="S117" s="10" t="str">
        <x:v>https://doi.org/10.1057/s41307-026-00465-z</x:v>
      </x:c>
    </x:row>
    <x:row r="118">
      <x:c r="A118" s="10" t="n">
        <x:f>'Ranked sources'!B118</x:f>
        <x:v>91</x:v>
      </x:c>
      <x:c r="B118" s="10" t="str">
        <x:v>Why do Open Science policies fall short? Institutional logics and ethical framings in policy implementation in Finland</x:v>
      </x:c>
      <x:c r="C118" s="10" t="str">
        <x:v>2026-07-28</x:v>
      </x:c>
      <x:c r="D118" s="10" t="str">
        <x:v>A</x:v>
      </x:c>
      <x:c r="E118" s="10" t="str">
        <x:v>Science and Public Policy</x:v>
      </x:c>
      <x:c r="F118" s="10" t="str">
        <x:v>Erika Lilja</x:v>
      </x:c>
      <x:c r="G118" s="10" t="str">
        <x:v>peer-reviewed article</x:v>
      </x:c>
      <x:c r="H118" s="10" t="str">
        <x:v>Tier 2</x:v>
      </x:c>
      <x:c r="I118" s="10" t="str">
        <x:v>direct</x:v>
      </x:c>
      <x:c r="J118" s="10" t="str">
        <x:v>finland</x:v>
      </x:c>
      <x:c r="K118" s="10" t="str">
        <x:v>science policy; research organization</x:v>
      </x:c>
      <x:c r="L118" s="10" t="str"/>
      <x:c r="M118" s="10" t="str">
        <x:v>Why do Open Science policies fall short?</x:v>
      </x:c>
      <x:c r="N118" s="10" t="str">
        <x:v>Direct European/EU relevance (finland); R&amp;I evidence: science policy, research organization; strategic significance is not explicit in the source and should be assessed as a possible longer-run implication.</x:v>
      </x:c>
      <x:c r="O118" s="10" t="str"/>
      <x:c r="P118" s="10" t="str"/>
      <x:c r="Q118" s="10" t="str"/>
      <x:c r="R118" s="10" t="str">
        <x:v>2026-09-01T11:11Z</x:v>
      </x:c>
      <x:c r="S118" s="10" t="str">
        <x:v>https://doi.org/10.1093/scipol/scag072</x:v>
      </x:c>
    </x:row>
    <x:row r="119">
      <x:c r="A119" s="10" t="n">
        <x:f>'Ranked sources'!B119</x:f>
        <x:v>91</x:v>
      </x:c>
      <x:c r="B119" s="10" t="str">
        <x:v>Shaping the Protein Transition From the Niche: Firm‐Level Dynamics in Europe's Plant‐Based Alternative Protein Sector</x:v>
      </x:c>
      <x:c r="C119" s="10" t="str">
        <x:v>2026-07-09</x:v>
      </x:c>
      <x:c r="D119" s="10" t="str">
        <x:v>A</x:v>
      </x:c>
      <x:c r="E119" s="10" t="str">
        <x:v>Business Strategy and the Environment</x:v>
      </x:c>
      <x:c r="F119" s="10" t="str">
        <x:v>Francesca Monticone, Antonella Samoggia</x:v>
      </x:c>
      <x:c r="G119" s="10" t="str">
        <x:v>peer-reviewed article</x:v>
      </x:c>
      <x:c r="H119" s="10" t="str">
        <x:v>Tier 2 trusted-publisher journal</x:v>
      </x:c>
      <x:c r="I119" s="10" t="str">
        <x:v>direct</x:v>
      </x:c>
      <x:c r="J119" s="10" t="str">
        <x:v>europe; europe's</x:v>
      </x:c>
      <x:c r="K119" s="10" t="str">
        <x:v>r&amp;d; academic research</x:v>
      </x:c>
      <x:c r="L119" s="10" t="str"/>
      <x:c r="M119" s="10" t="str">
        <x:v>Shaping the Protein Transition From the Niche: Firm‐Level Dynamics in Europe's Plant‐Based Alternative Protein Sector.</x:v>
      </x:c>
      <x:c r="N119" s="10" t="str">
        <x:v>Direct European/EU relevance (europe, europe's); R&amp;I evidence: r&amp;d, academic research; strategic significance is not explicit in the source and should be assessed as a possible longer-run implication.</x:v>
      </x:c>
      <x:c r="O119" s="10" t="str"/>
      <x:c r="P119" s="10" t="str"/>
      <x:c r="Q119" s="10" t="str"/>
      <x:c r="R119" s="10" t="str">
        <x:v>2026-09-01T15:48Z</x:v>
      </x:c>
      <x:c r="S119" s="10" t="str">
        <x:v>https://doi.org/10.1002/bse.71254</x:v>
      </x:c>
    </x:row>
    <x:row r="120">
      <x:c r="A120" s="10" t="n">
        <x:f>'Ranked sources'!B120</x:f>
        <x:v>91</x:v>
      </x:c>
      <x:c r="B120" s="10" t="str">
        <x:v>China and Limits to the European Union's Geoeconomic Turn</x:v>
      </x:c>
      <x:c r="C120" s="10" t="str">
        <x:v>2026-07-06</x:v>
      </x:c>
      <x:c r="D120" s="10" t="str">
        <x:v>A</x:v>
      </x:c>
      <x:c r="E120" s="10" t="str">
        <x:v>JCMS Journal of Common Market Studies</x:v>
      </x:c>
      <x:c r="F120" s="10" t="str">
        <x:v>Alasdair R. Young, Scott A. W. Brown</x:v>
      </x:c>
      <x:c r="G120" s="10" t="str">
        <x:v>peer-reviewed article</x:v>
      </x:c>
      <x:c r="H120" s="10" t="str">
        <x:v>Tier 2 broad journal</x:v>
      </x:c>
      <x:c r="I120" s="10" t="str">
        <x:v>direct</x:v>
      </x:c>
      <x:c r="J120" s="10" t="str"/>
      <x:c r="K120" s="10" t="str"/>
      <x:c r="L120" s="10" t="str"/>
      <x:c r="M120" s="10" t="str">
        <x:v>China and Limits to the EU's Geoeconomic Turn.</x:v>
      </x:c>
      <x:c r="N120" s="10" t="str">
        <x:v>Direct EU relevance (european union, europe); R&amp;I evidence: technological capabilities; strategic evidence: geopolit, geoeconomic; bridge: sentence.</x:v>
      </x:c>
      <x:c r="O120" s="10" t="str"/>
      <x:c r="P120" s="10" t="str"/>
      <x:c r="Q120" s="10" t="str">
        <x:v>both</x:v>
      </x:c>
      <x:c r="R120" s="10" t="str">
        <x:v>2026-08-23T09:12Z</x:v>
      </x:c>
      <x:c r="S120" s="10" t="str">
        <x:v>https://doi.org/10.1111/jcms.70140</x:v>
      </x:c>
    </x:row>
    <x:row r="121">
      <x:c r="A121" s="10" t="n">
        <x:f>'Ranked sources'!B121</x:f>
        <x:v>91</x:v>
      </x:c>
      <x:c r="B121" s="10" t="str">
        <x:v>From pilot to policy: European university alliances and their contribution to the European research area</x:v>
      </x:c>
      <x:c r="C121" s="10" t="str">
        <x:v>2026-06-24</x:v>
      </x:c>
      <x:c r="D121" s="10" t="str">
        <x:v>A</x:v>
      </x:c>
      <x:c r="E121" s="10" t="str">
        <x:v>Science and Public Policy</x:v>
      </x:c>
      <x:c r="F121" s="10" t="str">
        <x:v>Jaime Llorca, Mireia Reus, Sergio Villanueva Baselga</x:v>
      </x:c>
      <x:c r="G121" s="10" t="str">
        <x:v>peer-reviewed article</x:v>
      </x:c>
      <x:c r="H121" s="10" t="str">
        <x:v>Tier 2</x:v>
      </x:c>
      <x:c r="I121" s="10" t="str">
        <x:v>direct</x:v>
      </x:c>
      <x:c r="J121" s="10" t="str">
        <x:v>european research area; europe; european</x:v>
      </x:c>
      <x:c r="K121" s="10" t="str">
        <x:v>european research area</x:v>
      </x:c>
      <x:c r="L121" s="10" t="str"/>
      <x:c r="M121" s="10" t="str">
        <x:v>From pilot to policy: European university alliances and their contribution to the European research area.</x:v>
      </x:c>
      <x:c r="N121" s="10" t="str">
        <x:v>Direct European/EU relevance (european research area, europe); R&amp;I evidence: european research area; strategic significance is not explicit in the source and should be assessed as a possible longer-run implication.</x:v>
      </x:c>
      <x:c r="O121" s="10" t="str"/>
      <x:c r="P121" s="10" t="str"/>
      <x:c r="Q121" s="10" t="str"/>
      <x:c r="R121" s="10" t="str">
        <x:v>2026-09-01T09:06Z</x:v>
      </x:c>
      <x:c r="S121" s="10" t="str">
        <x:v>https://doi.org/10.1093/scipol/scag060</x:v>
      </x:c>
    </x:row>
    <x:row r="122">
      <x:c r="A122" s="10" t="n">
        <x:f>'Ranked sources'!B122</x:f>
        <x:v>91</x:v>
      </x:c>
      <x:c r="B122" s="10" t="str">
        <x:v>Governing knowledge, shaping Europe: research security in the EU’s geopolitical turn</x:v>
      </x:c>
      <x:c r="C122" s="10" t="str">
        <x:v>2026-06-12</x:v>
      </x:c>
      <x:c r="D122" s="10" t="str">
        <x:v>A</x:v>
      </x:c>
      <x:c r="E122" s="10" t="str">
        <x:v>European Security</x:v>
      </x:c>
      <x:c r="F122" s="10" t="str">
        <x:v>Cristina Pinna</x:v>
      </x:c>
      <x:c r="G122" s="10" t="str">
        <x:v>peer-reviewed article</x:v>
      </x:c>
      <x:c r="H122" s="10" t="str">
        <x:v>Tier 2 comparable</x:v>
      </x:c>
      <x:c r="I122" s="10" t="str">
        <x:v>direct</x:v>
      </x:c>
      <x:c r="J122" s="10" t="str"/>
      <x:c r="K122" s="10" t="str"/>
      <x:c r="L122" s="10" t="str"/>
      <x:c r="M122" s="10" t="str">
        <x:v>EU research security is becoming part of Europe’s geopolitical strategy.</x:v>
      </x:c>
      <x:c r="N122" s="10" t="str">
        <x:v>Direct EU relevance (EU, europe); R&amp;I evidence: research security; strategic evidence: geopolit, research security; bridge: sentence.</x:v>
      </x:c>
      <x:c r="O122" s="10" t="str"/>
      <x:c r="P122" s="10" t="str"/>
      <x:c r="Q122" s="10" t="str">
        <x:v>both</x:v>
      </x:c>
      <x:c r="R122" s="10" t="str">
        <x:v>2026-08-22T21:50Z</x:v>
      </x:c>
      <x:c r="S122" s="10" t="str">
        <x:v>https://doi.org/10.1080/09662839.2026.2680646</x:v>
      </x:c>
    </x:row>
    <x:row r="123">
      <x:c r="A123" s="10" t="n">
        <x:f>'Ranked sources'!B123</x:f>
        <x:v>91</x:v>
      </x:c>
      <x:c r="B123" s="10" t="str">
        <x:v>As open as possible? Comparing Scandinavian approaches to research security</x:v>
      </x:c>
      <x:c r="C123" s="10" t="str">
        <x:v>2026-05-29</x:v>
      </x:c>
      <x:c r="D123" s="10" t="str">
        <x:v>A</x:v>
      </x:c>
      <x:c r="E123" s="10" t="str">
        <x:v>Science and Public Policy</x:v>
      </x:c>
      <x:c r="F123" s="10" t="str">
        <x:v>Tommy Shih, Stine Haakonsson, Kristin Fjæstad, Hans Jørgen Gåsemyr</x:v>
      </x:c>
      <x:c r="G123" s="10" t="str">
        <x:v>peer-reviewed article</x:v>
      </x:c>
      <x:c r="H123" s="10" t="str">
        <x:v>Tier 2</x:v>
      </x:c>
      <x:c r="I123" s="10" t="str">
        <x:v>direct</x:v>
      </x:c>
      <x:c r="J123" s="10" t="str"/>
      <x:c r="K123" s="10" t="str"/>
      <x:c r="L123" s="10" t="str"/>
      <x:c r="M123" s="10" t="str">
        <x:v>As open as possible? Comparing Scandinavian approaches to research security.</x:v>
      </x:c>
      <x:c r="N123" s="10" t="str">
        <x:v>Direct EU relevance (denmark, sweden); R&amp;I evidence: research security, scientific collaboration; strategic evidence: geopolit, research security; bridge: sentence.</x:v>
      </x:c>
      <x:c r="O123" s="10" t="str"/>
      <x:c r="P123" s="10" t="str"/>
      <x:c r="Q123" s="10" t="str"/>
      <x:c r="R123" s="10" t="str">
        <x:v>2026-08-22T21:19Z</x:v>
      </x:c>
      <x:c r="S123" s="10" t="str">
        <x:v>https://doi.org/10.1093/scipol/scag056</x:v>
      </x:c>
    </x:row>
    <x:row r="124">
      <x:c r="A124" s="10" t="n">
        <x:f>'Ranked sources'!B124</x:f>
        <x:v>91</x:v>
      </x:c>
      <x:c r="B124" s="10" t="str">
        <x:v>Advancing SDG 13 and Net‐Zero Emissions in Europe: The Role of Green Technology Innovation, Renewable Energy, Environmental Taxation and Trade Openness</x:v>
      </x:c>
      <x:c r="C124" s="10" t="str">
        <x:v>2026-05-25</x:v>
      </x:c>
      <x:c r="D124" s="10" t="str">
        <x:v>A</x:v>
      </x:c>
      <x:c r="E124" s="10" t="str">
        <x:v>Sustainable Development</x:v>
      </x:c>
      <x:c r="F124" s="10" t="str">
        <x:v>Yue Xu, Emma Serwaa Obobisa, Isaac Adjei Mensah</x:v>
      </x:c>
      <x:c r="G124" s="10" t="str">
        <x:v>peer-reviewed article</x:v>
      </x:c>
      <x:c r="H124" s="10" t="str">
        <x:v>Tier 2 trusted-publisher journal</x:v>
      </x:c>
      <x:c r="I124" s="10" t="str">
        <x:v>direct</x:v>
      </x:c>
      <x:c r="J124" s="10" t="str">
        <x:v>europe</x:v>
      </x:c>
      <x:c r="K124" s="10" t="str">
        <x:v>technological innovation</x:v>
      </x:c>
      <x:c r="L124" s="10" t="str"/>
      <x:c r="M124" s="10" t="str">
        <x:v>ABSTRACT the EU (EU) has set ambitious climate goals, aiming to become the first climate‐neutral continent by 2050.</x:v>
      </x:c>
      <x:c r="N124" s="10" t="str">
        <x:v>Direct European/EU relevance (europe); R&amp;I evidence: technological innovation; strategic significance is not explicit in the source and should be assessed as a possible longer-run implication.</x:v>
      </x:c>
      <x:c r="O124" s="10" t="str"/>
      <x:c r="P124" s="10" t="str"/>
      <x:c r="Q124" s="10" t="str"/>
      <x:c r="R124" s="10" t="str">
        <x:v>2026-09-02T07:38Z</x:v>
      </x:c>
      <x:c r="S124" s="10" t="str">
        <x:v>https://doi.org/10.1002/sd.71203</x:v>
      </x:c>
    </x:row>
    <x:row r="125">
      <x:c r="A125" s="10" t="n">
        <x:f>'Ranked sources'!B125</x:f>
        <x:v>91</x:v>
      </x:c>
      <x:c r="B125" s="10" t="str">
        <x:v>A self-reliance framework for identifying strategic advanced materials</x:v>
      </x:c>
      <x:c r="C125" s="10" t="str">
        <x:v>2026-05-21</x:v>
      </x:c>
      <x:c r="D125" s="10" t="str">
        <x:v>A</x:v>
      </x:c>
      <x:c r="E125" s="10" t="str">
        <x:v>Nature Communications</x:v>
      </x:c>
      <x:c r="F125" s="10" t="str">
        <x:v>Cristina Teixeira, Cian Gabbett, Kevin Synnatschke, Jonathan N. Coleman, Zdeněk Sofer, Manuel J. Mendes, Elvira Fortunato, R Martins, et al.</x:v>
      </x:c>
      <x:c r="G125" s="10" t="str">
        <x:v>peer-reviewed article</x:v>
      </x:c>
      <x:c r="H125" s="10" t="str">
        <x:v>Tier 2 broad journal</x:v>
      </x:c>
      <x:c r="I125" s="10" t="str">
        <x:v>direct</x:v>
      </x:c>
      <x:c r="J125" s="10" t="str"/>
      <x:c r="K125" s="10" t="str"/>
      <x:c r="L125" s="10" t="str"/>
      <x:c r="M125" s="10" t="str">
        <x:v>This framework provides a selection tool for researchers and policymakers to strengthen supply chain resilience and drive European technological sovereignty. Here we introduce a self-reliance index that quantifies European autonomy for elements, compounds and devices, using import dependence, recycling rates and supplier concentration. Linking this index to the state-of-the-art performance of a broad range of advanced materials, across conductors, semiconductors, dielectrics, battery electrodes and photovoltaic layers, we find that high-performance materials based on heavily imported elements almost always have European-sourced substitutes with comparable performance.</x:v>
      </x:c>
      <x:c r="N125" s="10" t="str">
        <x:v>Direct EU relevance (europe, european); R&amp;I evidence: advanced materials + innovation; strategic evidence: technological sovereignty, supply chain resilience; bridge: title/abstract.</x:v>
      </x:c>
      <x:c r="O125" s="10" t="str"/>
      <x:c r="P125" s="10" t="str"/>
      <x:c r="Q125" s="10" t="str">
        <x:v>manual</x:v>
      </x:c>
      <x:c r="R125" s="10" t="str">
        <x:v>2026-08-23T09:12Z</x:v>
      </x:c>
      <x:c r="S125" s="10" t="str">
        <x:v>https://doi.org/10.1038/s41467-026-73294-8</x:v>
      </x:c>
    </x:row>
    <x:row r="126">
      <x:c r="A126" s="10" t="n">
        <x:f>'Ranked sources'!B126</x:f>
        <x:v>91</x:v>
      </x:c>
      <x:c r="B126" s="10" t="str">
        <x:v>Neoclassical realist research program for the 21st century: From topography and traditions to an abductive practical guide</x:v>
      </x:c>
      <x:c r="C126" s="10" t="str">
        <x:v>2026-05-19</x:v>
      </x:c>
      <x:c r="D126" s="10" t="str">
        <x:v>A</x:v>
      </x:c>
      <x:c r="E126" s="10" t="str">
        <x:v>European Journal of International Relations</x:v>
      </x:c>
      <x:c r="F126" s="10" t="str">
        <x:v>Nik Hynek, Michal Šenk</x:v>
      </x:c>
      <x:c r="G126" s="10" t="str">
        <x:v>peer-reviewed article</x:v>
      </x:c>
      <x:c r="H126" s="10" t="str">
        <x:v>Tier 2 comparable</x:v>
      </x:c>
      <x:c r="I126" s="10" t="str">
        <x:v>direct</x:v>
      </x:c>
      <x:c r="J126" s="10" t="str"/>
      <x:c r="K126" s="10" t="str"/>
      <x:c r="L126" s="10" t="str"/>
      <x:c r="M126" s="10" t="str">
        <x:v>Neoclassical realism offers a structured guide for analysing contemporary geopolitical scenarios.</x:v>
      </x:c>
      <x:c r="N126" s="10" t="str">
        <x:v>Direct EU relevance (european union); R&amp;I evidence: research program; strategic evidence: substantive strategic evidence; bridge: title/abstract.</x:v>
      </x:c>
      <x:c r="O126" s="10" t="str"/>
      <x:c r="P126" s="10" t="str"/>
      <x:c r="Q126" s="10" t="str"/>
      <x:c r="R126" s="10" t="str">
        <x:v>2026-08-23T19:53Z</x:v>
      </x:c>
      <x:c r="S126" s="10" t="str">
        <x:v>https://doi.org/10.1177/13540661261446160</x:v>
      </x:c>
    </x:row>
    <x:row r="127">
      <x:c r="A127" s="10" t="n">
        <x:f>'Ranked sources'!B127</x:f>
        <x:v>91</x:v>
      </x:c>
      <x:c r="B127" s="10" t="str">
        <x:v>Research funding, science production, and international collaborations: Luxembourg’s maturing national science system</x:v>
      </x:c>
      <x:c r="C127" s="10" t="str">
        <x:v>2026-05-14</x:v>
      </x:c>
      <x:c r="D127" s="10" t="str">
        <x:v>A</x:v>
      </x:c>
      <x:c r="E127" s="10" t="str">
        <x:v>Science and Public Policy</x:v>
      </x:c>
      <x:c r="F127" s="10" t="str">
        <x:v>Juan José Moradel-Vásquez, Jennifer Dusdal</x:v>
      </x:c>
      <x:c r="G127" s="10" t="str">
        <x:v>peer-reviewed article</x:v>
      </x:c>
      <x:c r="H127" s="10" t="str">
        <x:v>Tier 2</x:v>
      </x:c>
      <x:c r="I127" s="10" t="str">
        <x:v>direct</x:v>
      </x:c>
      <x:c r="J127" s="10" t="str"/>
      <x:c r="K127" s="10" t="str"/>
      <x:c r="L127" s="10" t="str"/>
      <x:c r="M127" s="10" t="str">
        <x:v>Research funding, science production, and international collaborations: Luxembourg’s maturing national science system.</x:v>
      </x:c>
      <x:c r="N127" s="10" t="str">
        <x:v>Direct EU relevance (luxembourg); R&amp;I evidence: research funding, research governance; strategic evidence: substantive strategic evidence; bridge: title/abstract.</x:v>
      </x:c>
      <x:c r="O127" s="10" t="str"/>
      <x:c r="P127" s="10" t="str"/>
      <x:c r="Q127" s="10" t="str"/>
      <x:c r="R127" s="10" t="str">
        <x:v>2026-08-23T18:12Z</x:v>
      </x:c>
      <x:c r="S127" s="10" t="str">
        <x:v>https://doi.org/10.1093/scipol/scag027</x:v>
      </x:c>
    </x:row>
    <x:row r="128">
      <x:c r="A128" s="10" t="n">
        <x:f>'Ranked sources'!B128</x:f>
        <x:v>91</x:v>
      </x:c>
      <x:c r="B128" s="10" t="str">
        <x:v>The new frontier of research competition: perspectives on national AI4S strategies</x:v>
      </x:c>
      <x:c r="C128" s="10" t="str">
        <x:v>2026-05-13</x:v>
      </x:c>
      <x:c r="D128" s="10" t="str">
        <x:v>A</x:v>
      </x:c>
      <x:c r="E128" s="10" t="str">
        <x:v>Science and Public Policy</x:v>
      </x:c>
      <x:c r="F128" s="10" t="str">
        <x:v>Yi Ji, Xueyan Zhu</x:v>
      </x:c>
      <x:c r="G128" s="10" t="str">
        <x:v>peer-reviewed article</x:v>
      </x:c>
      <x:c r="H128" s="10" t="str">
        <x:v>Tier 2</x:v>
      </x:c>
      <x:c r="I128" s="10" t="str">
        <x:v>direct</x:v>
      </x:c>
      <x:c r="J128" s="10" t="str"/>
      <x:c r="K128" s="10" t="str"/>
      <x:c r="L128" s="10" t="str"/>
      <x:c r="M128" s="10" t="str">
        <x:v>The US, China, EU, UK and Japan treat AI for science as a tool for faster research and competitiveness.</x:v>
      </x:c>
      <x:c r="N128" s="10" t="str">
        <x:v>Direct EU relevance (european union); R&amp;I evidence: research system, artificial intelligence + research; strategic evidence: substantive strategic evidence; bridge: title/abstract.</x:v>
      </x:c>
      <x:c r="O128" s="10" t="str">
        <x:v>knowledge-A</x:v>
      </x:c>
      <x:c r="P128" s="10" t="str"/>
      <x:c r="Q128" s="10" t="str"/>
      <x:c r="R128" s="10" t="str">
        <x:v>2026-08-23T18:12Z</x:v>
      </x:c>
      <x:c r="S128" s="10" t="str">
        <x:v>https://doi.org/10.1093/scipol/scag041</x:v>
      </x:c>
    </x:row>
    <x:row r="129">
      <x:c r="A129" s="10" t="n">
        <x:f>'Ranked sources'!B129</x:f>
        <x:v>91</x:v>
      </x:c>
      <x:c r="B129" s="10" t="str">
        <x:v>Evidence for the future? Strategic foresight as a source of evidence for policymaking</x:v>
      </x:c>
      <x:c r="C129" s="10" t="str">
        <x:v>2026-05-12</x:v>
      </x:c>
      <x:c r="D129" s="10" t="str">
        <x:v>B</x:v>
      </x:c>
      <x:c r="E129" s="10" t="str">
        <x:v>Policy and Society</x:v>
      </x:c>
      <x:c r="F129" s="10" t="str">
        <x:v>Laura De Vito, Gaia Taffoni</x:v>
      </x:c>
      <x:c r="G129" s="10" t="str">
        <x:v>peer-reviewed article</x:v>
      </x:c>
      <x:c r="H129" s="10" t="str">
        <x:v>Tier 2 comparable</x:v>
      </x:c>
      <x:c r="I129" s="10" t="str">
        <x:v>direct</x:v>
      </x:c>
      <x:c r="J129" s="10" t="str">
        <x:v>jrc</x:v>
      </x:c>
      <x:c r="K129" s="10" t="str"/>
      <x:c r="L129" s="10" t="str"/>
      <x:c r="M129" s="10" t="str">
        <x:v>As with past-oriented evidence, SF faces challenges related to its reliability and usability.</x:v>
      </x:c>
      <x:c r="N129" s="10" t="str">
        <x:v>Method contribution for understanding the future of Strand A (strategic foresight, horizon scanning); suitable context: science, policy.</x:v>
      </x:c>
      <x:c r="O129" s="10" t="str"/>
      <x:c r="P129" s="10" t="str"/>
      <x:c r="Q129" s="10" t="str"/>
      <x:c r="R129" s="10" t="str">
        <x:v>2026-08-23T10:57Z</x:v>
      </x:c>
      <x:c r="S129" s="10" t="str">
        <x:v>https://doi.org/10.1093/polsoc/puag009</x:v>
      </x:c>
    </x:row>
    <x:row r="130">
      <x:c r="A130" s="10" t="n">
        <x:f>'Ranked sources'!B130</x:f>
        <x:v>90</x:v>
      </x:c>
      <x:c r="B130" s="10" t="str">
        <x:v>Science Knows No Borders: ALLEA condemns proposed restrictions on international research collaboration</x:v>
      </x:c>
      <x:c r="C130" s="10" t="str">
        <x:v>2026-06-29</x:v>
      </x:c>
      <x:c r="D130" s="10" t="str">
        <x:v>A</x:v>
      </x:c>
      <x:c r="E130" s="10" t="str">
        <x:v>ALLEA</x:v>
      </x:c>
      <x:c r="F130" s="10" t="str">
        <x:v>ALLEA</x:v>
      </x:c>
      <x:c r="G130" s="10" t="str">
        <x:v>manual-verified scholarly/policy source</x:v>
      </x:c>
      <x:c r="H130" s="10" t="str">
        <x:v>Tier 1</x:v>
      </x:c>
      <x:c r="I130" s="10" t="str">
        <x:v>direct</x:v>
      </x:c>
      <x:c r="J130" s="10" t="str"/>
      <x:c r="K130" s="10" t="str"/>
      <x:c r="L130" s="10" t="str"/>
      <x:c r="M130" s="10" t="str">
        <x:v>And calls for a coordinated European response.</x:v>
      </x:c>
      <x:c r="N130"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30" s="10" t="str"/>
      <x:c r="P130" s="10" t="str"/>
      <x:c r="Q130" s="10" t="str">
        <x:v>manual</x:v>
      </x:c>
      <x:c r="R130" s="10" t="str">
        <x:v>2026-08-26T09:42Z</x:v>
      </x:c>
      <x:c r="S130" s="10" t="str">
        <x:v>https://allea.org/allea-calls-for-global-defence-of-international-research-collaboration-and-academic-freedom/</x:v>
      </x:c>
    </x:row>
    <x:row r="131">
      <x:c r="A131" s="10" t="n">
        <x:f>'Ranked sources'!B131</x:f>
        <x:v>90</x:v>
      </x:c>
      <x:c r="B131" s="10" t="str">
        <x:v>Europe as science superpower: what it will take to rival the US and China</x:v>
      </x:c>
      <x:c r="C131" s="10" t="str">
        <x:v>2026-06-23</x:v>
      </x:c>
      <x:c r="D131" s="10" t="str">
        <x:v>A</x:v>
      </x:c>
      <x:c r="E131" s="10" t="str">
        <x:v>Nature</x:v>
      </x:c>
      <x:c r="F131" s="10" t="str">
        <x:v>Elizabeth Gibney</x:v>
      </x:c>
      <x:c r="G131" s="10" t="str">
        <x:v>manual-verified scholarly/policy source</x:v>
      </x:c>
      <x:c r="H131" s="10" t="str">
        <x:v>Tier 2 comparable</x:v>
      </x:c>
      <x:c r="I131" s="10" t="str">
        <x:v>direct</x:v>
      </x:c>
      <x:c r="J131" s="10" t="str"/>
      <x:c r="K131" s="10" t="str"/>
      <x:c r="L131" s="10" t="str"/>
      <x:c r="M131" s="10" t="str">
        <x:v>Europe has a geopolitical opportunity to attract research talent from the US.</x:v>
      </x:c>
      <x:c r="N131"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31" s="10" t="str">
        <x:v>knowledge-C</x:v>
      </x:c>
      <x:c r="P131" s="10" t="str"/>
      <x:c r="Q131" s="10" t="str">
        <x:v>manual</x:v>
      </x:c>
      <x:c r="R131" s="10" t="str">
        <x:v>2026-08-25T09:39Z</x:v>
      </x:c>
      <x:c r="S131" s="10" t="str">
        <x:v>https://www.nature.com/articles/d41586-026-01955-1</x:v>
      </x:c>
    </x:row>
    <x:row r="132">
      <x:c r="A132" s="10" t="n">
        <x:f>'Ranked sources'!B132</x:f>
        <x:v>90</x:v>
      </x:c>
      <x:c r="B132" s="10" t="str">
        <x:v>Defence Research in European Universities: A Conceptual Framework</x:v>
      </x:c>
      <x:c r="C132" s="10" t="str">
        <x:v>2026-05-26</x:v>
      </x:c>
      <x:c r="D132" s="10" t="str">
        <x:v>A</x:v>
      </x:c>
      <x:c r="E132" s="10" t="str">
        <x:v>League of European Research Universities (LERU)</x:v>
      </x:c>
      <x:c r="F132" s="10" t="str">
        <x:v>Rees, G. (lead author)</x:v>
      </x:c>
      <x:c r="G132" s="10" t="str">
        <x:v>manual-verified scholarly/policy source</x:v>
      </x:c>
      <x:c r="H132" s="10" t="str">
        <x:v>Tier 1</x:v>
      </x:c>
      <x:c r="I132" s="10" t="str">
        <x:v>direct</x:v>
      </x:c>
      <x:c r="J132" s="10" t="str"/>
      <x:c r="K132" s="10" t="str"/>
      <x:c r="L132" s="10" t="str"/>
      <x:c r="M132" s="10" t="str">
        <x:v>European universities face growing governance tensions.</x:v>
      </x:c>
      <x:c r="N132"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32" s="10" t="str"/>
      <x:c r="P132" s="10" t="str"/>
      <x:c r="Q132" s="10" t="str">
        <x:v>manual</x:v>
      </x:c>
      <x:c r="R132" s="10" t="str">
        <x:v>2026-08-26T09:42Z</x:v>
      </x:c>
      <x:c r="S132" s="10" t="str">
        <x:v>https://www.leru.org/publications/defence-research-in-european-universities-a-conceptual-framework</x:v>
      </x:c>
    </x:row>
    <x:row r="133">
      <x:c r="A133" s="10" t="n">
        <x:f>'Ranked sources'!B133</x:f>
        <x:v>89</x:v>
      </x:c>
      <x:c r="B133" s="10" t="str">
        <x:v>ALLEA Statement on the Importance of the Text and Data Mining Exception for Scientific Research</x:v>
      </x:c>
      <x:c r="C133" s="10" t="str">
        <x:v>2026-07-06</x:v>
      </x:c>
      <x:c r="D133" s="10" t="str">
        <x:v>A</x:v>
      </x:c>
      <x:c r="E133" s="10" t="str">
        <x:v>ALLEA</x:v>
      </x:c>
      <x:c r="F133" s="10" t="str">
        <x:v>ALLEA</x:v>
      </x:c>
      <x:c r="G133" s="10" t="str">
        <x:v>research/policy paper</x:v>
      </x:c>
      <x:c r="H133" s="10" t="str">
        <x:v>Tier 1</x:v>
      </x:c>
      <x:c r="I133" s="10" t="str">
        <x:v>direct</x:v>
      </x:c>
      <x:c r="J133" s="10" t="str">
        <x:v>european union; european research area; member state; member states</x:v>
      </x:c>
      <x:c r="K133" s="10" t="str">
        <x:v>european research area; research organisation; ai + research</x:v>
      </x:c>
      <x:c r="L133" s="10" t="str"/>
      <x:c r="M133" s="10" t="str">
        <x:v>ALLEA therefore urges the EU legislature to at least preserve.</x:v>
      </x:c>
      <x:c r="N133" s="10" t="str">
        <x:v>Direct European/EU relevance (european union, european research area); R&amp;I evidence: european research area, research organisation; strategic significance is not explicit in the source and should be assessed as a possible longer-run implication.</x:v>
      </x:c>
      <x:c r="O133" s="10" t="str">
        <x:v>knowledge-A</x:v>
      </x:c>
      <x:c r="P133" s="10" t="str"/>
      <x:c r="Q133" s="10" t="str"/>
      <x:c r="R133" s="10" t="str">
        <x:v>2026-09-01T11:11Z</x:v>
      </x:c>
      <x:c r="S133" s="10" t="str">
        <x:v>https://allea.org/wp-content/uploads/2026/07/ALLEA-Statement-on-TDM-Exception_July-2026.pdf</x:v>
      </x:c>
    </x:row>
    <x:row r="134">
      <x:c r="A134" s="10" t="n">
        <x:f>'Ranked sources'!B134</x:f>
        <x:v>89</x:v>
      </x:c>
      <x:c r="B134" s="10" t="str">
        <x:v>ALLEA Supports Joint Call to Safeguard MSCA</x:v>
      </x:c>
      <x:c r="C134" s="10" t="str">
        <x:v>2026-06-30</x:v>
      </x:c>
      <x:c r="D134" s="10" t="str">
        <x:v>A</x:v>
      </x:c>
      <x:c r="E134" s="10" t="str">
        <x:v>ALLEA</x:v>
      </x:c>
      <x:c r="F134" s="10" t="str">
        <x:v>maria ronald</x:v>
      </x:c>
      <x:c r="G134" s="10" t="str">
        <x:v>research/policy paper</x:v>
      </x:c>
      <x:c r="H134" s="10" t="str">
        <x:v>Tier 1</x:v>
      </x:c>
      <x:c r="I134" s="10" t="str">
        <x:v>direct</x:v>
      </x:c>
      <x:c r="J134" s="10" t="str">
        <x:v>europe; european</x:v>
      </x:c>
      <x:c r="K134" s="10" t="str">
        <x:v>research and innovation; r&amp;i; international research cooperation; horizon europe; research system</x:v>
      </x:c>
      <x:c r="L134" s="10" t="str"/>
      <x:c r="M134" s="10" t="str">
        <x:v>ALLEA Supports Joint Call to Safeguard MSCA.</x:v>
      </x:c>
      <x:c r="N134" s="10" t="str">
        <x:v>Direct European/EU relevance (europe, european); R&amp;I evidence: research and innovation, r&amp;i; strategic evidence: competition_capability, international_coordination, talent_position; bridge: title/abstract.</x:v>
      </x:c>
      <x:c r="O134" s="10" t="str">
        <x:v>knowledge-A</x:v>
      </x:c>
      <x:c r="P134" s="10" t="str"/>
      <x:c r="Q134" s="10" t="str"/>
      <x:c r="R134" s="10" t="str">
        <x:v>2026-09-01T09:06Z</x:v>
      </x:c>
      <x:c r="S134" s="10" t="str">
        <x:v>https://allea.org/wp-content/uploads/2026/07/Joint-statement-on-MSCA-directionality_.pdf</x:v>
      </x:c>
    </x:row>
    <x:row r="135">
      <x:c r="A135" s="10" t="n">
        <x:f>'Ranked sources'!B135</x:f>
        <x:v>89</x:v>
      </x:c>
      <x:c r="B135" s="10" t="str">
        <x:v>Joint Statement: MSCA: Research Talent is Europe’s Strategic Advantage.</x:v>
      </x:c>
      <x:c r="C135" s="10" t="str">
        <x:v>2026-06-29</x:v>
      </x:c>
      <x:c r="D135" s="10" t="str">
        <x:v>A</x:v>
      </x:c>
      <x:c r="E135" s="10" t="str">
        <x:v>ALLEA</x:v>
      </x:c>
      <x:c r="F135" s="10" t="str">
        <x:v>ALLEA</x:v>
      </x:c>
      <x:c r="G135" s="10" t="str">
        <x:v>research/policy paper</x:v>
      </x:c>
      <x:c r="H135" s="10" t="str">
        <x:v>Tier 1</x:v>
      </x:c>
      <x:c r="I135" s="10" t="str">
        <x:v>direct</x:v>
      </x:c>
      <x:c r="J135" s="10" t="str">
        <x:v>europe</x:v>
      </x:c>
      <x:c r="K135" s="10" t="str">
        <x:v>research and innovation; r&amp;i; research programme; research program; horizon europe</x:v>
      </x:c>
      <x:c r="L135" s="10" t="str">
        <x:v>geopolit; strategic autonomy</x:v>
      </x:c>
      <x:c r="M135" s="10" t="str">
        <x:v>Joint Statement: MSCA: Research Talent is Europe’s Strategic Advantage.. .</x:v>
      </x:c>
      <x:c r="N135" s="10" t="str">
        <x:v>Direct European/EU relevance (europe); R&amp;I evidence: research and innovation, r&amp;i; strategic evidence: geopolit, strategic autonomy; bridge: sentence.</x:v>
      </x:c>
      <x:c r="O135" s="10" t="str">
        <x:v>knowledge-A</x:v>
      </x:c>
      <x:c r="P135" s="10" t="str"/>
      <x:c r="Q135" s="10" t="str"/>
      <x:c r="R135" s="10" t="str">
        <x:v>2026-08-29T19:04Z</x:v>
      </x:c>
      <x:c r="S135" s="10" t="str">
        <x:v>https://allea.org/wp-content/uploads/2026/07/msca-statement-june-2026_final.pdf</x:v>
      </x:c>
    </x:row>
    <x:row r="136">
      <x:c r="A136" s="10" t="n">
        <x:f>'Ranked sources'!B136</x:f>
        <x:v>89</x:v>
      </x:c>
      <x:c r="B136" s="10" t="str">
        <x:v>Science Knows No Borders: ALLEA Condemns Proposed Restrictions by the White House on International Research Collaboration</x:v>
      </x:c>
      <x:c r="C136" s="10" t="str">
        <x:v>2026-06-29</x:v>
      </x:c>
      <x:c r="D136" s="10" t="str">
        <x:v>A</x:v>
      </x:c>
      <x:c r="E136" s="10" t="str">
        <x:v>ALLEA</x:v>
      </x:c>
      <x:c r="F136" s="10" t="str">
        <x:v>ALLEA</x:v>
      </x:c>
      <x:c r="G136" s="10" t="str">
        <x:v>research/policy paper</x:v>
      </x:c>
      <x:c r="H136" s="10" t="str">
        <x:v>Tier 1</x:v>
      </x:c>
      <x:c r="I136" s="10" t="str">
        <x:v>direct</x:v>
      </x:c>
      <x:c r="J136" s="10" t="str">
        <x:v>eu policy</x:v>
      </x:c>
      <x:c r="K136" s="10" t="str">
        <x:v>research collaboration; scientific collaboration; scientific cooperation; international research cooperation; international scientific cooperation</x:v>
      </x:c>
      <x:c r="L136" s="10" t="str"/>
      <x:c r="M136" s="10" t="str">
        <x:v>Office of Management and Budget (OMB) rule published on 29 May 2026 (Regulation for Federal Financial Assistance).</x:v>
      </x:c>
      <x:c r="N136" s="10" t="str">
        <x:v>Direct European/EU relevance (eu policy); R&amp;I evidence: research collaboration, scientific collaboration; strategic significance is not explicit in the source and should be assessed as a possible longer-run implication.</x:v>
      </x:c>
      <x:c r="O136" s="10" t="str">
        <x:v>knowledge-C</x:v>
      </x:c>
      <x:c r="P136" s="10" t="str"/>
      <x:c r="Q136" s="10" t="str"/>
      <x:c r="R136" s="10" t="str">
        <x:v>2026-09-01T11:11Z</x:v>
      </x:c>
      <x:c r="S136" s="10" t="str">
        <x:v>https://allea.org/wp-content/uploads/2026/06/ALLEA-Statement-on-new-omb-rule.pdf</x:v>
      </x:c>
    </x:row>
    <x:row r="137">
      <x:c r="A137" s="10" t="n">
        <x:f>'Ranked sources'!B137</x:f>
        <x:v>89</x:v>
      </x:c>
      <x:c r="B137" s="10" t="str">
        <x:v>ALLEA Contributes to High-Level Discussions on the Role of Science in Ukraine’s Recovery</x:v>
      </x:c>
      <x:c r="C137" s="10" t="str">
        <x:v>2026-06-27</x:v>
      </x:c>
      <x:c r="D137" s="10" t="str">
        <x:v>A</x:v>
      </x:c>
      <x:c r="E137" s="10" t="str">
        <x:v>ALLEA</x:v>
      </x:c>
      <x:c r="F137" s="10" t="str">
        <x:v>maria ronald</x:v>
      </x:c>
      <x:c r="G137" s="10" t="str">
        <x:v>research/policy paper</x:v>
      </x:c>
      <x:c r="H137" s="10" t="str">
        <x:v>Tier 1</x:v>
      </x:c>
      <x:c r="I137" s="10" t="str">
        <x:v>direct</x:v>
      </x:c>
      <x:c r="J137" s="10" t="str">
        <x:v>poland</x:v>
      </x:c>
      <x:c r="K137" s="10" t="str">
        <x:v>research and innovation; european research area; innovation ecosystem; scientific capacity; research capacity</x:v>
      </x:c>
      <x:c r="L137" s="10" t="str"/>
      <x:c r="M137" s="10" t="str">
        <x:v>Representing ALLEA were its President, Paweł Rowiński, and Senior Policy &amp; Strategy Officer, Matthias Johannsen.</x:v>
      </x:c>
      <x:c r="N137" s="10" t="str">
        <x:v>Direct European/EU relevance (poland); R&amp;I evidence: research and innovation, european research area; strategic evidence: dependence_control, competition_capability, international_coordination; bridge: title/abstract.</x:v>
      </x:c>
      <x:c r="O137" s="10" t="str">
        <x:v>knowledge-C</x:v>
      </x:c>
      <x:c r="P137" s="10" t="str"/>
      <x:c r="Q137" s="10" t="str"/>
      <x:c r="R137" s="10" t="str">
        <x:v>2026-09-01T09:06Z</x:v>
      </x:c>
      <x:c r="S137" s="10" t="str">
        <x:v>https://allea.org/allea-contributes-to-high-level-discussions-on-the-role-of-science-in-ukraines-recovery/</x:v>
      </x:c>
    </x:row>
    <x:row r="138">
      <x:c r="A138" s="10" t="n">
        <x:f>'Ranked sources'!B138</x:f>
        <x:v>89</x:v>
      </x:c>
      <x:c r="B138" s="10" t="str">
        <x:v>ALLEA Task Forces Meet in London to Discuss Academic Freedom, Research Security, and Data Protection</x:v>
      </x:c>
      <x:c r="C138" s="10" t="str">
        <x:v>2026-06-19</x:v>
      </x:c>
      <x:c r="D138" s="10" t="str">
        <x:v>A</x:v>
      </x:c>
      <x:c r="E138" s="10" t="str">
        <x:v>ALLEA</x:v>
      </x:c>
      <x:c r="F138" s="10" t="str">
        <x:v>maria ronald</x:v>
      </x:c>
      <x:c r="G138" s="10" t="str">
        <x:v>research/policy paper</x:v>
      </x:c>
      <x:c r="H138" s="10" t="str">
        <x:v>Tier 1</x:v>
      </x:c>
      <x:c r="I138" s="10" t="str">
        <x:v>direct</x:v>
      </x:c>
      <x:c r="J138" s="10" t="str"/>
      <x:c r="K138" s="10" t="str"/>
      <x:c r="L138" s="10" t="str"/>
      <x:c r="M138" s="10" t="str">
        <x:v>ALLEA Task Forces Meet in London to Discuss Academic Freedom, Research Security, and Data Protection.</x:v>
      </x:c>
      <x:c r="N138" s="10" t="str">
        <x:v>Direct EU relevance (european commission); R&amp;I evidence: research security, academic research; strategic evidence: geopolit, economic security; bridge: sentence.</x:v>
      </x:c>
      <x:c r="O138" s="10" t="str"/>
      <x:c r="P138" s="10" t="str"/>
      <x:c r="Q138" s="10" t="str"/>
      <x:c r="R138" s="10" t="str">
        <x:v>2026-08-27T22:45Z</x:v>
      </x:c>
      <x:c r="S138" s="10" t="str">
        <x:v>https://allea.org/allea-task-forces-meet-in-london-to-discuss-academic-freedom-research-security-and-data-protection/</x:v>
      </x:c>
    </x:row>
    <x:row r="139">
      <x:c r="A139" s="10" t="n">
        <x:f>'Ranked sources'!B139</x:f>
        <x:v>89</x:v>
      </x:c>
      <x:c r="B139" s="10" t="str">
        <x:v>Event Report: ALLEA General Assembly 2026</x:v>
      </x:c>
      <x:c r="C139" s="10" t="str">
        <x:v>2026-06-09</x:v>
      </x:c>
      <x:c r="D139" s="10" t="str">
        <x:v>A</x:v>
      </x:c>
      <x:c r="E139" s="10" t="str">
        <x:v>ALLEA</x:v>
      </x:c>
      <x:c r="F139" s="10" t="str">
        <x:v>maria ronald</x:v>
      </x:c>
      <x:c r="G139" s="10" t="str">
        <x:v>research/policy paper</x:v>
      </x:c>
      <x:c r="H139" s="10" t="str">
        <x:v>Tier 1</x:v>
      </x:c>
      <x:c r="I139" s="10" t="str">
        <x:v>direct</x:v>
      </x:c>
      <x:c r="J139" s="10" t="str">
        <x:v>european research area</x:v>
      </x:c>
      <x:c r="K139" s="10" t="str">
        <x:v>european research area; research system; research infrastructure; research organisation; scientific talent</x:v>
      </x:c>
      <x:c r="L139" s="10" t="str"/>
      <x:c r="M139" s="10" t="str">
        <x:v>A summary of the various events is found below.</x:v>
      </x:c>
      <x:c r="N139" s="10" t="str">
        <x:v>Direct EU relevance (european research area); R&amp;I evidence: european research area, research system; strategic evidence: dependence_control, international_coordination, talent_position; bridge: title/abstract.</x:v>
      </x:c>
      <x:c r="O139" s="10" t="str">
        <x:v>knowledge-C</x:v>
      </x:c>
      <x:c r="P139" s="10" t="str"/>
      <x:c r="Q139" s="10" t="str"/>
      <x:c r="R139" s="10" t="str">
        <x:v>2026-08-27T22:45Z</x:v>
      </x:c>
      <x:c r="S139" s="10" t="str">
        <x:v>https://allea.org/event-report-allea-general-assembly-2026/</x:v>
      </x:c>
    </x:row>
    <x:row r="140">
      <x:c r="A140" s="10" t="n">
        <x:f>'Ranked sources'!B140</x:f>
        <x:v>89</x:v>
      </x:c>
      <x:c r="B140" s="10" t="str">
        <x:v>Event Report: Supporting the Ukrainian Research Ecosystem through International Exchange and Collaboration</x:v>
      </x:c>
      <x:c r="C140" s="10" t="str">
        <x:v>2026-06-08</x:v>
      </x:c>
      <x:c r="D140" s="10" t="str">
        <x:v>A</x:v>
      </x:c>
      <x:c r="E140" s="10" t="str">
        <x:v>ALLEA</x:v>
      </x:c>
      <x:c r="F140" s="10" t="str">
        <x:v>maria ronald</x:v>
      </x:c>
      <x:c r="G140" s="10" t="str">
        <x:v>research/policy paper</x:v>
      </x:c>
      <x:c r="H140" s="10" t="str">
        <x:v>Tier 1</x:v>
      </x:c>
      <x:c r="I140" s="10" t="str">
        <x:v>direct</x:v>
      </x:c>
      <x:c r="J140" s="10" t="str">
        <x:v>european research area</x:v>
      </x:c>
      <x:c r="K140" s="10" t="str">
        <x:v>research collaboration; european research area; research capacity; research infrastructure; scientific infrastructure</x:v>
      </x:c>
      <x:c r="L140" s="10" t="str"/>
      <x:c r="M140" s="10" t="str">
        <x:v>Event Report: Supporting the Ukrainian Research Ecosystem through International Exchange and Collaboration.</x:v>
      </x:c>
      <x:c r="N140" s="10" t="str">
        <x:v>Direct European/EU relevance (european research area); R&amp;I evidence: research collaboration, european research area; strategic evidence: dependence_control, competition_capability, international_coordination; bridge: title/abstract.</x:v>
      </x:c>
      <x:c r="O140" s="10" t="str">
        <x:v>knowledge-A</x:v>
      </x:c>
      <x:c r="P140" s="10" t="str"/>
      <x:c r="Q140" s="10" t="str"/>
      <x:c r="R140" s="10" t="str">
        <x:v>2026-09-01T11:11Z</x:v>
      </x:c>
      <x:c r="S140" s="10" t="str">
        <x:v>https://allea.org/event-report-supporting-the-ukrainian-research-ecosystem-through-international-exchange-and-collaboration/</x:v>
      </x:c>
    </x:row>
    <x:row r="141">
      <x:c r="A141" s="10" t="n">
        <x:f>'Ranked sources'!B141</x:f>
        <x:v>89</x:v>
      </x:c>
      <x:c r="B141" s="10" t="str">
        <x:v>ALLEA Issues Appeal for Support of Ukrainian Science</x:v>
      </x:c>
      <x:c r="C141" s="10" t="str">
        <x:v>2026-06-05</x:v>
      </x:c>
      <x:c r="D141" s="10" t="str">
        <x:v>A</x:v>
      </x:c>
      <x:c r="E141" s="10" t="str">
        <x:v>ALLEA</x:v>
      </x:c>
      <x:c r="F141" s="10" t="str">
        <x:v>maria ronald</x:v>
      </x:c>
      <x:c r="G141" s="10" t="str">
        <x:v>research/policy paper</x:v>
      </x:c>
      <x:c r="H141" s="10" t="str">
        <x:v>Tier 1</x:v>
      </x:c>
      <x:c r="I141" s="10" t="str">
        <x:v>direct</x:v>
      </x:c>
      <x:c r="J141" s="10" t="str">
        <x:v>horizon europe</x:v>
      </x:c>
      <x:c r="K141" s="10" t="str">
        <x:v>research system; scientific infrastructure</x:v>
      </x:c>
      <x:c r="L141" s="10" t="str"/>
      <x:c r="M141" s="10" t="str">
        <x:v>ALLEA Issues Appeal for Support of Ukrainian Science.</x:v>
      </x:c>
      <x:c r="N141" s="10" t="str">
        <x:v>Direct European/EU relevance (horizon europe); R&amp;I evidence: research system, scientific infrastructure; strategic evidence: dependence_control, competition_capability, international_coordination; bridge: title/abstract.</x:v>
      </x:c>
      <x:c r="O141" s="10" t="str"/>
      <x:c r="P141" s="10" t="str"/>
      <x:c r="Q141" s="10" t="str"/>
      <x:c r="R141" s="10" t="str">
        <x:v>2026-09-01T09:39Z</x:v>
      </x:c>
      <x:c r="S141" s="10" t="str">
        <x:v>https://allea.org/wp-content/uploads/2026/06/ALLEA-GA26_APPEAL_UKRAINE.pdf</x:v>
      </x:c>
    </x:row>
    <x:row r="142">
      <x:c r="A142" s="10" t="n">
        <x:f>'Ranked sources'!B142</x:f>
        <x:v>89</x:v>
      </x:c>
      <x:c r="B142" s="10" t="str">
        <x:v>Values in Transition: An Intergenerational Dialogue on Research Assessment Reform</x:v>
      </x:c>
      <x:c r="C142" s="10" t="str">
        <x:v>2026-05-27</x:v>
      </x:c>
      <x:c r="D142" s="10" t="str">
        <x:v>A</x:v>
      </x:c>
      <x:c r="E142" s="10" t="str">
        <x:v>ALLEA</x:v>
      </x:c>
      <x:c r="F142" s="10" t="str">
        <x:v>maria ronald</x:v>
      </x:c>
      <x:c r="G142" s="10" t="str">
        <x:v>research/policy paper</x:v>
      </x:c>
      <x:c r="H142" s="10" t="str">
        <x:v>Tier 1</x:v>
      </x:c>
      <x:c r="I142" s="10" t="str">
        <x:v>direct</x:v>
      </x:c>
      <x:c r="J142" s="10" t="str">
        <x:v>european commission</x:v>
      </x:c>
      <x:c r="K142" s="10" t="str">
        <x:v>science policy; research excellence</x:v>
      </x:c>
      <x:c r="L142" s="10" t="str"/>
      <x:c r="M142" s="10" t="str">
        <x:v>Values in Transition: An Intergenerational Dialogue on Research Assessment Reform. .</x:v>
      </x:c>
      <x:c r="N142" s="10" t="str">
        <x:v>Direct European/EU relevance (european commission); R&amp;I evidence: science policy, research excellence; strategic significance is not explicit in the source and should be assessed as a possible longer-run implication.</x:v>
      </x:c>
      <x:c r="O142" s="10" t="str"/>
      <x:c r="P142" s="10" t="str"/>
      <x:c r="Q142" s="10" t="str"/>
      <x:c r="R142" s="10" t="str">
        <x:v>2026-09-01T11:11Z</x:v>
      </x:c>
      <x:c r="S142" s="10" t="str">
        <x:v>https://allea.org/values-in-transition-an-intergenerational-dialogue-on-research-assessment-reform/</x:v>
      </x:c>
    </x:row>
    <x:row r="143">
      <x:c r="A143" s="10" t="n">
        <x:f>'Ranked sources'!B143</x:f>
        <x:v>89</x:v>
      </x:c>
      <x:c r="B143" s="10" t="str">
        <x:v>ALLEA and Partners Call for Stronger Action on Open Science in the European Research Area</x:v>
      </x:c>
      <x:c r="C143" s="10" t="str">
        <x:v>2026-05-15</x:v>
      </x:c>
      <x:c r="D143" s="10" t="str">
        <x:v>A</x:v>
      </x:c>
      <x:c r="E143" s="10" t="str">
        <x:v>ALLEA</x:v>
      </x:c>
      <x:c r="F143" s="10" t="str">
        <x:v>maria ronald</x:v>
      </x:c>
      <x:c r="G143" s="10" t="str">
        <x:v>research/policy paper</x:v>
      </x:c>
      <x:c r="H143" s="10" t="str">
        <x:v>Tier 1</x:v>
      </x:c>
      <x:c r="I143" s="10" t="str">
        <x:v>direct</x:v>
      </x:c>
      <x:c r="J143" s="10" t="str">
        <x:v>european research area; europe; european</x:v>
      </x:c>
      <x:c r="K143" s="10" t="str">
        <x:v>research and innovation; european research area; research system; innovation system; research-performing</x:v>
      </x:c>
      <x:c r="L143" s="10" t="str"/>
      <x:c r="M143" s="10" t="str">
        <x:v>ALLEA and Partners Call for Stronger Action on Open Science in the European Research Area.</x:v>
      </x:c>
      <x:c r="N143" s="10" t="str">
        <x:v>Direct European/EU relevance (european research area, europe); R&amp;I evidence: research and innovation, european research area; strategic evidence: dependence_control, competition_capability, international_coordination; bridge: title/abstract.</x:v>
      </x:c>
      <x:c r="O143" s="10" t="str"/>
      <x:c r="P143" s="10" t="str"/>
      <x:c r="Q143" s="10" t="str"/>
      <x:c r="R143" s="10" t="str">
        <x:v>2026-08-27T22:45Z</x:v>
      </x:c>
      <x:c r="S143" s="10" t="str">
        <x:v>https://allea.org/wp-content/uploads/2026/06/Joint-statement-on-Open-Science-1.pdf</x:v>
      </x:c>
    </x:row>
    <x:row r="144">
      <x:c r="A144" s="10" t="n">
        <x:f>'Ranked sources'!B144</x:f>
        <x:v>89</x:v>
      </x:c>
      <x:c r="B144" s="10" t="str">
        <x:v>ALLEA Science Policy Standing Committee Sets Priorities for Horizon Scanning, Task Force Coordination, and Emerging Policy Challenges</x:v>
      </x:c>
      <x:c r="C144" s="10" t="str">
        <x:v>2026-05-11</x:v>
      </x:c>
      <x:c r="D144" s="10" t="str">
        <x:v>A</x:v>
      </x:c>
      <x:c r="E144" s="10" t="str">
        <x:v>ALLEA</x:v>
      </x:c>
      <x:c r="F144" s="10" t="str">
        <x:v>maria ronald</x:v>
      </x:c>
      <x:c r="G144" s="10" t="str">
        <x:v>research/policy paper</x:v>
      </x:c>
      <x:c r="H144" s="10" t="str">
        <x:v>Tier 1</x:v>
      </x:c>
      <x:c r="I144" s="10" t="str">
        <x:v>direct</x:v>
      </x:c>
      <x:c r="J144" s="10" t="str">
        <x:v>europe</x:v>
      </x:c>
      <x:c r="K144" s="10" t="str">
        <x:v>research and innovation; science policy; research security; research system; artificial intelligence + research</x:v>
      </x:c>
      <x:c r="L144" s="10" t="str">
        <x:v>research security</x:v>
      </x:c>
      <x:c r="M144" s="10" t="str">
        <x:v>including public trust in science, research security, AI, open science.</x:v>
      </x:c>
      <x:c r="N144" s="10" t="str">
        <x:v>Direct EU relevance (europe); R&amp;I evidence: research and innovation, science policy; strategic evidence: research security; bridge: sentence.</x:v>
      </x:c>
      <x:c r="O144" s="10" t="str"/>
      <x:c r="P144" s="10" t="str"/>
      <x:c r="Q144" s="10" t="str"/>
      <x:c r="R144" s="10" t="str">
        <x:v>2026-08-29T16:45Z</x:v>
      </x:c>
      <x:c r="S144" s="10" t="str">
        <x:v>https://allea.org/allea-science-policy-standing-committee-sets-priorities-for-horizon-scanning-task-force-coordination-and-emerging-policy-challenges/</x:v>
      </x:c>
    </x:row>
    <x:row r="145">
      <x:c r="A145" s="10" t="n">
        <x:f>'Ranked sources'!B145</x:f>
        <x:v>88</x:v>
      </x:c>
      <x:c r="B145" s="10" t="str">
        <x:v>European Tech Sovereignty</x:v>
      </x:c>
      <x:c r="C145" s="10" t="str">
        <x:v>2026-05-06</x:v>
      </x:c>
      <x:c r="D145" s="10" t="str">
        <x:v>A</x:v>
      </x:c>
      <x:c r="E145" s="10" t="str">
        <x:v>Greens/EFA Group, European Parliament</x:v>
      </x:c>
      <x:c r="F145" s="10" t="str">
        <x:v>Greens/EFA Group, European Parliament</x:v>
      </x:c>
      <x:c r="G145" s="10" t="str">
        <x:v>manual-verified scholarly/policy source</x:v>
      </x:c>
      <x:c r="H145" s="10" t="str">
        <x:v>Tier 2 comparable</x:v>
      </x:c>
      <x:c r="I145" s="10" t="str">
        <x:v>direct</x:v>
      </x:c>
      <x:c r="J145" s="10" t="str"/>
      <x:c r="K145" s="10" t="str"/>
      <x:c r="L145" s="10" t="str"/>
      <x:c r="M145" s="10" t="str">
        <x:v>Greens/EFA advocates procurement preferences and public investment to reduce US and Chinese technology dependencies and build a more sovereign European digital ecosystem.</x:v>
      </x:c>
      <x:c r="N145"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45" s="10" t="str">
        <x:v>conversion-C</x:v>
      </x:c>
      <x:c r="P145" s="10" t="str"/>
      <x:c r="Q145" s="10" t="str">
        <x:v>manual</x:v>
      </x:c>
      <x:c r="R145" s="10" t="str">
        <x:v>2026-08-25T09:39Z</x:v>
      </x:c>
      <x:c r="S145" s="10" t="str">
        <x:v>https://www.greens-efa.eu/en/article/policypaper/european-tech-sovereignty</x:v>
      </x:c>
    </x:row>
    <x:row r="146">
      <x:c r="A146" s="10" t="n">
        <x:f>'Ranked sources'!B146</x:f>
        <x:v>87</x:v>
      </x:c>
      <x:c r="B146" s="10" t="str">
        <x:v>Simplifying European Union Policy: Tech Sovereignty Package — virtual discussion summary</x:v>
      </x:c>
      <x:c r="C146" s="10" t="str">
        <x:v>2026-07-28</x:v>
      </x:c>
      <x:c r="D146" s="10" t="str">
        <x:v>A</x:v>
      </x:c>
      <x:c r="E146" s="10" t="str">
        <x:v>Center for European Policy Analysis</x:v>
      </x:c>
      <x:c r="F146" s="10" t="str">
        <x:v>CEPA</x:v>
      </x:c>
      <x:c r="G146" s="10" t="str">
        <x:v>manual-verified scholarly/policy source</x:v>
      </x:c>
      <x:c r="H146" s="10" t="str">
        <x:v>Tier 2 comparable</x:v>
      </x:c>
      <x:c r="I146" s="10" t="str">
        <x:v>direct</x:v>
      </x:c>
      <x:c r="J146" s="10" t="str"/>
      <x:c r="K146" s="10" t="str"/>
      <x:c r="L146" s="10" t="str"/>
      <x:c r="M146" s="10" t="str">
        <x:v>The sovereignty package strengthens European capacity selectively.</x:v>
      </x:c>
      <x:c r="N146"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46" s="10" t="str">
        <x:v>rules-B</x:v>
      </x:c>
      <x:c r="P146" s="10" t="str"/>
      <x:c r="Q146" s="10" t="str">
        <x:v>manual</x:v>
      </x:c>
      <x:c r="R146" s="10" t="str">
        <x:v>2026-08-25T09:39Z</x:v>
      </x:c>
      <x:c r="S146" s="10" t="str">
        <x:v>https://cepa.org/private-events/simplifying-european-union-policy-tech-sovereignty-package/</x:v>
      </x:c>
    </x:row>
    <x:row r="147">
      <x:c r="A147" s="10" t="n">
        <x:f>'Ranked sources'!B147</x:f>
        <x:v>87</x:v>
      </x:c>
      <x:c r="B147" s="10" t="str">
        <x:v>Beyond Borders: Chinese Use of Foreign Interference Tactics in Dutch Strategic Industries</x:v>
      </x:c>
      <x:c r="C147" s="10" t="str">
        <x:v>2026-07-03</x:v>
      </x:c>
      <x:c r="D147" s="10" t="str">
        <x:v>A</x:v>
      </x:c>
      <x:c r="E147" s="10" t="str">
        <x:v>The Hague Centre for Strategic Studies (HCSS)</x:v>
      </x:c>
      <x:c r="F147" s="10" t="str">
        <x:v>Girardi, B.; Horan, H.</x:v>
      </x:c>
      <x:c r="G147" s="10" t="str">
        <x:v>manual-verified scholarly/policy source</x:v>
      </x:c>
      <x:c r="H147" s="10" t="str">
        <x:v>Tier 2</x:v>
      </x:c>
      <x:c r="I147" s="10" t="str">
        <x:v>direct</x:v>
      </x:c>
      <x:c r="J147" s="10" t="str"/>
      <x:c r="K147" s="10" t="str"/>
      <x:c r="L147" s="10" t="str"/>
      <x:c r="M147" s="10" t="str">
        <x:v>Chinese interference in Dutch strategic sectors uses talent and academic channels to obtain advanced knowledge, exploiting the openness of research and innovation networks.</x:v>
      </x:c>
      <x:c r="N147"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47" s="10" t="str">
        <x:v>knowledge-D</x:v>
      </x:c>
      <x:c r="P147" s="10" t="str"/>
      <x:c r="Q147" s="10" t="str">
        <x:v>manual</x:v>
      </x:c>
      <x:c r="R147" s="10" t="str">
        <x:v>2026-08-26T09:42Z</x:v>
      </x:c>
      <x:c r="S147" s="10" t="str">
        <x:v>https://hcss.nl/news/new-hcss-china-knowledge-network-report-chinese-foreign-interference-in-dutch-strategic-industries-poses-a-systemic-long-term-challenge/</x:v>
      </x:c>
    </x:row>
    <x:row r="148">
      <x:c r="A148" s="10" t="n">
        <x:f>'Ranked sources'!B148</x:f>
        <x:v>87</x:v>
      </x:c>
      <x:c r="B148" s="10" t="str">
        <x:v>The EU Semiconductor Geopolitical Risk Survey: Outlook for 2026–2031</x:v>
      </x:c>
      <x:c r="C148" s="10" t="str">
        <x:v>2026-07-02</x:v>
      </x:c>
      <x:c r="D148" s="10" t="str">
        <x:v>A</x:v>
      </x:c>
      <x:c r="E148" s="10" t="str">
        <x:v>Institut Montaigne / CHIPDIPLO</x:v>
      </x:c>
      <x:c r="F148" s="10" t="str">
        <x:v>Teer, J.; Sel, P.; et al.</x:v>
      </x:c>
      <x:c r="G148" s="10" t="str">
        <x:v>manual-verified scholarly/policy source</x:v>
      </x:c>
      <x:c r="H148" s="10" t="str">
        <x:v>Tier 2</x:v>
      </x:c>
      <x:c r="I148" s="10" t="str">
        <x:v>direct</x:v>
      </x:c>
      <x:c r="J148" s="10" t="str"/>
      <x:c r="K148" s="10" t="str"/>
      <x:c r="L148" s="10" t="str"/>
      <x:c r="M148" s="10" t="str">
        <x:v>European semiconductor experts rank input export controls and a Taiwan conflict among the most severe 2026–2031 supply risks.</x:v>
      </x:c>
      <x:c r="N148"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48" s="10" t="str">
        <x:v>infrastructure-D</x:v>
      </x:c>
      <x:c r="P148" s="10" t="str"/>
      <x:c r="Q148" s="10" t="str">
        <x:v>manual</x:v>
      </x:c>
      <x:c r="R148" s="10" t="str">
        <x:v>2026-08-26T09:42Z</x:v>
      </x:c>
      <x:c r="S148" s="10" t="str">
        <x:v>https://www.institutmontaigne.org/en/publications/eu-semiconductor-geopolitical-risk-survey-outlook-2026-2031</x:v>
      </x:c>
    </x:row>
    <x:row r="149">
      <x:c r="A149" s="10" t="n">
        <x:f>'Ranked sources'!B149</x:f>
        <x:v>87</x:v>
      </x:c>
      <x:c r="B149" s="10" t="str">
        <x:v>Europe Tackles Tech Sovereignty</x:v>
      </x:c>
      <x:c r="C149" s="10" t="str">
        <x:v>2026-06-30</x:v>
      </x:c>
      <x:c r="D149" s="10" t="str">
        <x:v>A</x:v>
      </x:c>
      <x:c r="E149" s="10" t="str">
        <x:v>German Marshall Fund of the United States (GMF)</x:v>
      </x:c>
      <x:c r="F149" s="10" t="str">
        <x:v>German Marshall Fund</x:v>
      </x:c>
      <x:c r="G149" s="10" t="str">
        <x:v>manual-verified scholarly/policy source</x:v>
      </x:c>
      <x:c r="H149" s="10" t="str">
        <x:v>Tier 2</x:v>
      </x:c>
      <x:c r="I149" s="10" t="str">
        <x:v>direct</x:v>
      </x:c>
      <x:c r="J149" s="10" t="str"/>
      <x:c r="K149" s="10" t="str"/>
      <x:c r="L149" s="10" t="str"/>
      <x:c r="M149" s="10" t="str">
        <x:v>Europe’s technology-sovereignty agenda seeks to reduce critical dependence.</x:v>
      </x:c>
      <x:c r="N149"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49" s="10" t="str"/>
      <x:c r="P149" s="10" t="str"/>
      <x:c r="Q149" s="10" t="str">
        <x:v>manual</x:v>
      </x:c>
      <x:c r="R149" s="10" t="str">
        <x:v>2026-08-26T09:42Z</x:v>
      </x:c>
      <x:c r="S149" s="10" t="str">
        <x:v>https://www.gmfus.org/news/europe-tackles-tech-sovereignty</x:v>
      </x:c>
    </x:row>
    <x:row r="150">
      <x:c r="A150" s="10" t="n">
        <x:f>'Ranked sources'!B150</x:f>
        <x:v>87</x:v>
      </x:c>
      <x:c r="B150" s="10" t="str">
        <x:v>Executive Summary: Fragmented Europe: Dealing with China as a technology and innovation power</x:v>
      </x:c>
      <x:c r="C150" s="10" t="str">
        <x:v>2026-06-30</x:v>
      </x:c>
      <x:c r="D150" s="10" t="str">
        <x:v>A</x:v>
      </x:c>
      <x:c r="E150" s="10" t="str">
        <x:v>MERICS</x:v>
      </x:c>
      <x:c r="F150" s="10" t="str">
        <x:v>MERICS</x:v>
      </x:c>
      <x:c r="G150" s="10" t="str">
        <x:v>institutional report</x:v>
      </x:c>
      <x:c r="H150" s="10" t="str">
        <x:v>Tier 1</x:v>
      </x:c>
      <x:c r="I150" s="10" t="str">
        <x:v>direct</x:v>
      </x:c>
      <x:c r="J150" s="10" t="str">
        <x:v>europe</x:v>
      </x:c>
      <x:c r="K150" s="10" t="str">
        <x:v>research security; research system; innovation ecosystem; research and development; r&amp;d</x:v>
      </x:c>
      <x:c r="L150" s="10" t="str">
        <x:v>economic security; de-risk; research security</x:v>
      </x:c>
      <x:c r="M150" s="10" t="str">
        <x:v>Authors from 22 European countries have contributed to this study.</x:v>
      </x:c>
      <x:c r="N150" s="10" t="str">
        <x:v>Direct EU relevance (europe); R&amp;I evidence: research security, research system; strategic evidence: economic security, de-risk; bridge: sentence.</x:v>
      </x:c>
      <x:c r="O150" s="10" t="str"/>
      <x:c r="P150" s="10" t="str"/>
      <x:c r="Q150" s="10" t="str"/>
      <x:c r="R150" s="10" t="str">
        <x:v>2026-08-27T18:34Z</x:v>
      </x:c>
      <x:c r="S150" s="10" t="str">
        <x:v>https://merics.org/en/report/executive-summary-fragmented-europe-dealing-china-technology-and-innovation-power</x:v>
      </x:c>
    </x:row>
    <x:row r="151">
      <x:c r="A151" s="10" t="n">
        <x:f>'Ranked sources'!B151</x:f>
        <x:v>87</x:v>
      </x:c>
      <x:c r="B151" s="10" t="str">
        <x:v>Fragmented Europe: Dealing with China as a technology and innovation power</x:v>
      </x:c>
      <x:c r="C151" s="10" t="str">
        <x:v>2026-06-30</x:v>
      </x:c>
      <x:c r="D151" s="10" t="str">
        <x:v>A</x:v>
      </x:c>
      <x:c r="E151" s="10" t="str">
        <x:v>MERICS / European Think-tank Network on China</x:v>
      </x:c>
      <x:c r="F151" s="10" t="str">
        <x:v>Bernhard Bartsch; Claudia Wessling (eds.)</x:v>
      </x:c>
      <x:c r="G151" s="10" t="str">
        <x:v>manual-verified scholarly/policy source</x:v>
      </x:c>
      <x:c r="H151" s="10" t="str">
        <x:v>Tier 1</x:v>
      </x:c>
      <x:c r="I151" s="10" t="str">
        <x:v>direct</x:v>
      </x:c>
      <x:c r="J151" s="10" t="str"/>
      <x:c r="K151" s="10" t="str"/>
      <x:c r="L151" s="10" t="str"/>
      <x:c r="M151" s="10" t="str">
        <x:v>European approaches to China remain fragmented despite shared de-risking and research-security concerns.</x:v>
      </x:c>
      <x:c r="N151"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51" s="10" t="str">
        <x:v>knowledge-B</x:v>
      </x:c>
      <x:c r="P151" s="10" t="str"/>
      <x:c r="Q151" s="10" t="str">
        <x:v>manual</x:v>
      </x:c>
      <x:c r="R151" s="10" t="str">
        <x:v>2026-08-25T09:39Z</x:v>
      </x:c>
      <x:c r="S151" s="10" t="str">
        <x:v>https://merics.org/en/report/fragmented-europe-dealing-china-technology-and-innovation-power</x:v>
      </x:c>
    </x:row>
    <x:row r="152">
      <x:c r="A152" s="10" t="n">
        <x:f>'Ranked sources'!B152</x:f>
        <x:v>87</x:v>
      </x:c>
      <x:c r="B152" s="10" t="str">
        <x:v>Italy: Biopharma, automotive and telecoms sectors are facing China’s technological power</x:v>
      </x:c>
      <x:c r="C152" s="10" t="str">
        <x:v>2026-06-30</x:v>
      </x:c>
      <x:c r="D152" s="10" t="str">
        <x:v>A</x:v>
      </x:c>
      <x:c r="E152" s="10" t="str">
        <x:v>MERICS</x:v>
      </x:c>
      <x:c r="F152" s="10" t="str">
        <x:v>MERICS</x:v>
      </x:c>
      <x:c r="G152" s="10" t="str">
        <x:v>institutional report</x:v>
      </x:c>
      <x:c r="H152" s="10" t="str">
        <x:v>Tier 1</x:v>
      </x:c>
      <x:c r="I152" s="10" t="str">
        <x:v>direct</x:v>
      </x:c>
      <x:c r="J152" s="10" t="str">
        <x:v>italy</x:v>
      </x:c>
      <x:c r="K152" s="10" t="str">
        <x:v>r&amp;d; research infrastructure; biotechnology + competitiveness</x:v>
      </x:c>
      <x:c r="L152" s="10" t="str">
        <x:v>national security</x:v>
      </x:c>
      <x:c r="M152" s="10" t="str">
        <x:v>Italy: Biopharma, automotive and telecoms sectors are facing China’s technological power.</x:v>
      </x:c>
      <x:c r="N152" s="10" t="str">
        <x:v>Direct EU relevance (italy); R&amp;I evidence: r&amp;d, research infrastructure; strategic evidence: national security; bridge: title/abstract.</x:v>
      </x:c>
      <x:c r="O152" s="10" t="str"/>
      <x:c r="P152" s="10" t="str"/>
      <x:c r="Q152" s="10" t="str"/>
      <x:c r="R152" s="10" t="str">
        <x:v>2026-08-29T11:09Z</x:v>
      </x:c>
      <x:c r="S152" s="10" t="str">
        <x:v>https://merics.org/en/report/italy-biopharma-automotive-and-telecoms-sectors-are-facing-chinas-technological-power</x:v>
      </x:c>
    </x:row>
    <x:row r="153">
      <x:c r="A153" s="10" t="n">
        <x:f>'Ranked sources'!B153</x:f>
        <x:v>87</x:v>
      </x:c>
      <x:c r="B153" s="10" t="str">
        <x:v>Strategic procurement in Global Europe: Why EU preferences risk undermining its own ambitions</x:v>
      </x:c>
      <x:c r="C153" s="10" t="str">
        <x:v>2026-06-24</x:v>
      </x:c>
      <x:c r="D153" s="10" t="str">
        <x:v>A</x:v>
      </x:c>
      <x:c r="E153" s="10" t="str">
        <x:v>ECDPM</x:v>
      </x:c>
      <x:c r="F153" s="10" t="str">
        <x:v>San Bilal; Karim Karaki</x:v>
      </x:c>
      <x:c r="G153" s="10" t="str">
        <x:v>manual-verified scholarly/policy source</x:v>
      </x:c>
      <x:c r="H153" s="10" t="str">
        <x:v>Tier 2 comparable</x:v>
      </x:c>
      <x:c r="I153" s="10" t="str">
        <x:v>direct</x:v>
      </x:c>
      <x:c r="J153" s="10" t="str"/>
      <x:c r="K153" s="10" t="str"/>
      <x:c r="L153" s="10" t="str"/>
      <x:c r="M153" s="10" t="str">
        <x:v>But blanket restrictions can be self-defeating where European firms face cost, security and deployment barriers.</x:v>
      </x:c>
      <x:c r="N153" s="10" t="str">
        <x:v>Direct EU/European relevance verified in the underlying source; substantive R&amp;I mechanism and geopolitical/economic-security bridge verified by manual source review.</x:v>
      </x:c>
      <x:c r="O153" s="10" t="str">
        <x:v>conversion-B</x:v>
      </x:c>
      <x:c r="P153" s="10" t="str"/>
      <x:c r="Q153" s="10" t="str">
        <x:v>manual</x:v>
      </x:c>
      <x:c r="R153" s="10" t="n">
        <x:v>46261.277083333334</x:v>
      </x:c>
      <x:c r="S153" s="10" t="str">
        <x:v>https://ecdpm.org/work/strategic-procurement-global-europe-why-eu-preferences-risk-undermining-its-own-ambitions</x:v>
      </x:c>
    </x:row>
    <x:row r="154">
      <x:c r="A154" s="10" t="n">
        <x:f>'Ranked sources'!B154</x:f>
        <x:v>87</x:v>
      </x:c>
      <x:c r="B154" s="10" t="str">
        <x:v>A Grand Strategy for Europe’s Clean Industrial Future</x:v>
      </x:c>
      <x:c r="C154" s="10" t="str">
        <x:v>2026-06-23</x:v>
      </x:c>
      <x:c r="D154" s="10" t="str">
        <x:v>A</x:v>
      </x:c>
      <x:c r="E154" s="10" t="str">
        <x:v>Carnegie Endowment for International Peace</x:v>
      </x:c>
      <x:c r="F154" s="10" t="str">
        <x:v>Milo McBride; Pauline Gerard</x:v>
      </x:c>
      <x:c r="G154" s="10" t="str">
        <x:v>manual-verified scholarly/policy source</x:v>
      </x:c>
      <x:c r="H154" s="10" t="str">
        <x:v>Tier 3 specialist</x:v>
      </x:c>
      <x:c r="I154" s="10" t="str">
        <x:v>direct</x:v>
      </x:c>
      <x:c r="J154" s="10" t="str"/>
      <x:c r="K154" s="10" t="str"/>
      <x:c r="L154" s="10" t="str"/>
      <x:c r="M154" s="10" t="str">
        <x:v>Europe has strong clean-tech niches but severe dependencies in critical materials and components.</x:v>
      </x:c>
      <x:c r="N154" s="10" t="str">
        <x:v>Direct EU/European relevance verified in the underlying source; substantive R&amp;I mechanism and geopolitical/economic-security bridge verified by manual source review.</x:v>
      </x:c>
      <x:c r="O154" s="10" t="str"/>
      <x:c r="P154" s="10" t="str"/>
      <x:c r="Q154" s="10" t="str">
        <x:v>manual</x:v>
      </x:c>
      <x:c r="R154" s="10" t="n">
        <x:v>46261.277083333334</x:v>
      </x:c>
      <x:c r="S154" s="10" t="str">
        <x:v>https://carnegieendowment.org/research/2026/06/a-grand-strategy-for-europes-clean-industrial-future</x:v>
      </x:c>
    </x:row>
    <x:row r="155">
      <x:c r="A155" s="10" t="n">
        <x:f>'Ranked sources'!B155</x:f>
        <x:v>87</x:v>
      </x:c>
      <x:c r="B155" s="10" t="str">
        <x:v>Europe’s ungoverned space: Military AI and the autonomy that cannot be bought</x:v>
      </x:c>
      <x:c r="C155" s="10" t="str">
        <x:v>2026-06-22</x:v>
      </x:c>
      <x:c r="D155" s="10" t="str">
        <x:v>A</x:v>
      </x:c>
      <x:c r="E155" s="10" t="str">
        <x:v>VoxEU/CEPR</x:v>
      </x:c>
      <x:c r="F155" s="10" t="str">
        <x:v>Marco Perugini</x:v>
      </x:c>
      <x:c r="G155" s="10" t="str">
        <x:v>manual-verified scholarly/policy source</x:v>
      </x:c>
      <x:c r="H155" s="10" t="str">
        <x:v>Tier 2</x:v>
      </x:c>
      <x:c r="I155" s="10" t="str">
        <x:v>direct</x:v>
      </x:c>
      <x:c r="J155" s="10" t="str"/>
      <x:c r="K155" s="10" t="str"/>
      <x:c r="L155" s="10" t="str"/>
      <x:c r="M155" s="10" t="str">
        <x:v>the source estimates a 10–15 year capability gap before Europe can negotiate.</x:v>
      </x:c>
      <x:c r="N155"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55" s="10" t="str">
        <x:v>infrastructure-C</x:v>
      </x:c>
      <x:c r="P155" s="10" t="str"/>
      <x:c r="Q155" s="10" t="str">
        <x:v>manual</x:v>
      </x:c>
      <x:c r="R155" s="10" t="str">
        <x:v>2026-08-25T13:00Z</x:v>
      </x:c>
      <x:c r="S155" s="10" t="str">
        <x:v>https://cepr.org/voxeu/columns/europes-ungoverned-space-military-ai-and-autonomy-cannot-be-bought</x:v>
      </x:c>
    </x:row>
    <x:row r="156">
      <x:c r="A156" s="10" t="n">
        <x:f>'Ranked sources'!B156</x:f>
        <x:v>87</x:v>
      </x:c>
      <x:c r="B156" s="10" t="str">
        <x:v>Paradigm Shift in Principle, Paper Tiger in Practice? How to Make the Industrial Accelerator Act Count</x:v>
      </x:c>
      <x:c r="C156" s="10" t="str">
        <x:v>2026-06-22</x:v>
      </x:c>
      <x:c r="D156" s="10" t="str">
        <x:v>A</x:v>
      </x:c>
      <x:c r="E156" s="10" t="str">
        <x:v>Jacques Delors Centre</x:v>
      </x:c>
      <x:c r="F156" s="10" t="str">
        <x:v>Philipp Jäger; Nils Redeker</x:v>
      </x:c>
      <x:c r="G156" s="10" t="str">
        <x:v>manual-verified scholarly/policy source</x:v>
      </x:c>
      <x:c r="H156" s="10" t="str">
        <x:v>Tier 2 comparable</x:v>
      </x:c>
      <x:c r="I156" s="10" t="str">
        <x:v>direct</x:v>
      </x:c>
      <x:c r="J156" s="10" t="str"/>
      <x:c r="K156" s="10" t="str"/>
      <x:c r="L156" s="10" t="str"/>
      <x:c r="M156" s="10" t="str">
        <x:v>The IAA introduces EU-wide local-content requirements.</x:v>
      </x:c>
      <x:c r="N156" s="10" t="str">
        <x:v>Direct EU/European relevance verified in the underlying source; substantive R&amp;I mechanism and geopolitical/economic-security bridge verified by manual source review.</x:v>
      </x:c>
      <x:c r="O156" s="10" t="str">
        <x:v>rules-D</x:v>
      </x:c>
      <x:c r="P156" s="10" t="str"/>
      <x:c r="Q156" s="10" t="str">
        <x:v>manual</x:v>
      </x:c>
      <x:c r="R156" s="10" t="n">
        <x:v>46261.277083333334</x:v>
      </x:c>
      <x:c r="S156" s="10" t="str">
        <x:v>https://www.delorscentre.eu/en/publications/detail/publication/how-to-make-the-industrial-accelerator-act-count</x:v>
      </x:c>
    </x:row>
    <x:row r="157">
      <x:c r="A157" s="10" t="n">
        <x:f>'Ranked sources'!B157</x:f>
        <x:v>87</x:v>
      </x:c>
      <x:c r="B157" s="10" t="str">
        <x:v>Shared gains, secure links: rethinking EU-Asia digital cooperation – CEPS</x:v>
      </x:c>
      <x:c r="C157" s="10" t="str">
        <x:v>2026-06-19</x:v>
      </x:c>
      <x:c r="D157" s="10" t="str">
        <x:v>A</x:v>
      </x:c>
      <x:c r="E157" s="10" t="str">
        <x:v>CEPS</x:v>
      </x:c>
      <x:c r="F157" s="10" t="str">
        <x:v>CEPS</x:v>
      </x:c>
      <x:c r="G157" s="10" t="str">
        <x:v>institutional report</x:v>
      </x:c>
      <x:c r="H157" s="10" t="str">
        <x:v>Tier 1</x:v>
      </x:c>
      <x:c r="I157" s="10" t="str">
        <x:v>direct</x:v>
      </x:c>
      <x:c r="J157" s="10" t="str">
        <x:v>EU</x:v>
      </x:c>
      <x:c r="K157" s="10" t="str">
        <x:v>research and innovation; horizon europe; semiconductor + competitiveness</x:v>
      </x:c>
      <x:c r="L157" s="10" t="str">
        <x:v>geoeconomic; strategic autonomy; open strategic autonomy</x:v>
      </x:c>
      <x:c r="M157" s="10" t="str">
        <x:v>Shared gains, secure links: rethinking EU-Asia digital cooperation – CEPS.</x:v>
      </x:c>
      <x:c r="N157" s="10" t="str">
        <x:v>Direct European/EU relevance (EU); R&amp;I evidence: research and innovation, horizon europe; strategic evidence: geoeconomic, strategic autonomy, open strategic autonomy; bridge: title/abstract.</x:v>
      </x:c>
      <x:c r="O157" s="10" t="str">
        <x:v>knowledge-B</x:v>
      </x:c>
      <x:c r="P157" s="10" t="str"/>
      <x:c r="Q157" s="10" t="str"/>
      <x:c r="R157" s="10" t="str">
        <x:v>2026-08-18T09:48Z</x:v>
      </x:c>
      <x:c r="S157" s="10" t="str">
        <x:v>https://cdn.ceps.eu/2026/06/2026-08-FPU-EU-Asia-digital-cooperation.pdf</x:v>
      </x:c>
    </x:row>
    <x:row r="158">
      <x:c r="A158" s="10" t="n">
        <x:f>'Ranked sources'!B158</x:f>
        <x:v>87</x:v>
      </x:c>
      <x:c r="B158" s="10" t="str">
        <x:v>From Trade Dependence to Geopolitical Leverage: The EU in an Era of Weaponized Interdependence</x:v>
      </x:c>
      <x:c r="C158" s="10" t="str">
        <x:v>2026-06-15</x:v>
      </x:c>
      <x:c r="D158" s="10" t="str">
        <x:v>A</x:v>
      </x:c>
      <x:c r="E158" s="10" t="str">
        <x:v>Carnegie Europe</x:v>
      </x:c>
      <x:c r="F158" s="10" t="str">
        <x:v>Sinan Ülgen</x:v>
      </x:c>
      <x:c r="G158" s="10" t="str">
        <x:v>manual-verified scholarly/policy source</x:v>
      </x:c>
      <x:c r="H158" s="10" t="str">
        <x:v>Tier 3 specialist</x:v>
      </x:c>
      <x:c r="I158" s="10" t="str">
        <x:v>direct</x:v>
      </x:c>
      <x:c r="J158" s="10" t="str"/>
      <x:c r="K158" s="10" t="str"/>
      <x:c r="L158" s="10" t="str"/>
      <x:c r="M158" s="10" t="str">
        <x:v>From Trade Dependence to Geopolitical Leverage: The EU in an Era of Weaponized Interdependence.</x:v>
      </x:c>
      <x:c r="N158" s="10" t="str">
        <x:v>Direct EU/European relevance verified in the underlying source; substantive R&amp;I mechanism and geopolitical/economic-security bridge verified by manual source review.</x:v>
      </x:c>
      <x:c r="O158" s="10" t="str"/>
      <x:c r="P158" s="10" t="str"/>
      <x:c r="Q158" s="10" t="str">
        <x:v>manual</x:v>
      </x:c>
      <x:c r="R158" s="10" t="n">
        <x:v>46261.277083333334</x:v>
      </x:c>
      <x:c r="S158" s="10" t="str">
        <x:v>https://carnegieendowment.org/research/2026/06/from-trade-dependence-to-geopolitical-leverage-the-eu-in-an-era-of-weaponized-interdependence</x:v>
      </x:c>
    </x:row>
    <x:row r="159">
      <x:c r="A159" s="10" t="n">
        <x:f>'Ranked sources'!B159</x:f>
        <x:v>87</x:v>
      </x:c>
      <x:c r="B159" s="10" t="str">
        <x:v>Health under the Global Gateway: achievements and future prospects – CEPS</x:v>
      </x:c>
      <x:c r="C159" s="10" t="str">
        <x:v>2026-06-15</x:v>
      </x:c>
      <x:c r="D159" s="10" t="str">
        <x:v>A</x:v>
      </x:c>
      <x:c r="E159" s="10" t="str">
        <x:v>CEPS</x:v>
      </x:c>
      <x:c r="F159" s="10" t="str">
        <x:v>CEPS</x:v>
      </x:c>
      <x:c r="G159" s="10" t="str">
        <x:v>institutional report</x:v>
      </x:c>
      <x:c r="H159" s="10" t="str">
        <x:v>Tier 1</x:v>
      </x:c>
      <x:c r="I159" s="10" t="str">
        <x:v>direct</x:v>
      </x:c>
      <x:c r="J159" s="10" t="str">
        <x:v>european union; european commission; european parliament; horizon europe</x:v>
      </x:c>
      <x:c r="K159" s="10" t="str">
        <x:v>r&amp;i</x:v>
      </x:c>
      <x:c r="L159" s="10" t="str">
        <x:v>geopolit</x:v>
      </x:c>
      <x:c r="M159" s="10" t="str">
        <x:v>Investments are also concentrated in sub-Saharan Africa and Latin America.</x:v>
      </x:c>
      <x:c r="N159" s="10" t="str">
        <x:v>Direct European/EU relevance (european union, european commission); R&amp;I evidence: r&amp;i; strategic evidence: geopolit; bridge: title/abstract.</x:v>
      </x:c>
      <x:c r="O159" s="10" t="str"/>
      <x:c r="P159" s="10" t="str"/>
      <x:c r="Q159" s="10" t="str"/>
      <x:c r="R159" s="10" t="str">
        <x:v>2026-08-18T09:48Z</x:v>
      </x:c>
      <x:c r="S159" s="10" t="str">
        <x:v>https://cdn.ceps.eu/2026/06/A1.3.3-Health-under-the-Global-Gateway-formatted.pdf</x:v>
      </x:c>
    </x:row>
    <x:row r="160">
      <x:c r="A160" s="10" t="n">
        <x:f>'Ranked sources'!B160</x:f>
        <x:v>87</x:v>
      </x:c>
      <x:c r="B160" s="10" t="str">
        <x:v>Mitigate, deter, escalate: Europe’s options against US economic coercion</x:v>
      </x:c>
      <x:c r="C160" s="10" t="str">
        <x:v>2026-06-11</x:v>
      </x:c>
      <x:c r="D160" s="10" t="str">
        <x:v>A</x:v>
      </x:c>
      <x:c r="E160" s="10" t="str">
        <x:v>European Council on Foreign Relations (ECFR)</x:v>
      </x:c>
      <x:c r="F160" s="10" t="str">
        <x:v>Agathe Demarais; Tobias Gehrke; José Ignacio Torreblanca</x:v>
      </x:c>
      <x:c r="G160" s="10" t="str">
        <x:v>manual-verified scholarly/policy source</x:v>
      </x:c>
      <x:c r="H160" s="10" t="str">
        <x:v>Tier 1</x:v>
      </x:c>
      <x:c r="I160" s="10" t="str">
        <x:v>direct</x:v>
      </x:c>
      <x:c r="J160" s="10" t="str"/>
      <x:c r="K160" s="10" t="str"/>
      <x:c r="L160" s="10" t="str"/>
      <x:c r="M160" s="10" t="str">
        <x:v>Including acute European dependence on American digital firms that can be used to pressure EU regulation.</x:v>
      </x:c>
      <x:c r="N160" s="10" t="str">
        <x:v>Direct EU/European relevance verified in the underlying source; substantive R&amp;I mechanism and geopolitical/economic-security bridge verified by manual source review.</x:v>
      </x:c>
      <x:c r="O160" s="10" t="str">
        <x:v>rules-C</x:v>
      </x:c>
      <x:c r="P160" s="10" t="str"/>
      <x:c r="Q160" s="10" t="str">
        <x:v>manual</x:v>
      </x:c>
      <x:c r="R160" s="10" t="n">
        <x:v>46261.277083333334</x:v>
      </x:c>
      <x:c r="S160" s="10" t="str">
        <x:v>https://ecfr.eu/publication/mitigate-deter-escalate-europes-options-against-us-economic-coercion/</x:v>
      </x:c>
    </x:row>
    <x:row r="161">
      <x:c r="A161" s="10" t="n">
        <x:f>'Ranked sources'!B161</x:f>
        <x:v>87</x:v>
      </x:c>
      <x:c r="B161" s="10" t="str">
        <x:v>To achieve tech sovereignty, Europe must not mimic its rivals</x:v>
      </x:c>
      <x:c r="C161" s="10" t="str">
        <x:v>2026-06-11</x:v>
      </x:c>
      <x:c r="D161" s="10" t="str">
        <x:v>A</x:v>
      </x:c>
      <x:c r="E161" s="10" t="str">
        <x:v>Bruegel</x:v>
      </x:c>
      <x:c r="F161" s="10" t="str">
        <x:v>Mario Mariniello</x:v>
      </x:c>
      <x:c r="G161" s="10" t="str">
        <x:v>manual-verified scholarly/policy source</x:v>
      </x:c>
      <x:c r="H161" s="10" t="str">
        <x:v>Tier 1</x:v>
      </x:c>
      <x:c r="I161" s="10" t="str">
        <x:v>direct</x:v>
      </x:c>
      <x:c r="J161" s="10" t="str"/>
      <x:c r="K161" s="10" t="str"/>
      <x:c r="L161" s="10" t="str"/>
      <x:c r="M161" s="10" t="str">
        <x:v>Protectionist tech-sovereignty rules can raise European costs and invite retaliation.</x:v>
      </x:c>
      <x:c r="N161"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61" s="10" t="str">
        <x:v>rules-B</x:v>
      </x:c>
      <x:c r="P161" s="10" t="str"/>
      <x:c r="Q161" s="10" t="str">
        <x:v>manual</x:v>
      </x:c>
      <x:c r="R161" s="10" t="str">
        <x:v>2026-08-25T09:39Z</x:v>
      </x:c>
      <x:c r="S161" s="10" t="str">
        <x:v>https://www.bruegel.org/first-glance/achieve-tech-sovereignty-europe-must-not-mimic-its-rivals</x:v>
      </x:c>
    </x:row>
    <x:row r="162">
      <x:c r="A162" s="10" t="n">
        <x:f>'Ranked sources'!B162</x:f>
        <x:v>87</x:v>
      </x:c>
      <x:c r="B162" s="10" t="str">
        <x:v>Building One Europe, One Market – CEPS</x:v>
      </x:c>
      <x:c r="C162" s="10" t="str">
        <x:v>2026-06-10</x:v>
      </x:c>
      <x:c r="D162" s="10" t="str">
        <x:v>A</x:v>
      </x:c>
      <x:c r="E162" s="10" t="str">
        <x:v>CEPS</x:v>
      </x:c>
      <x:c r="F162" s="10" t="str">
        <x:v>CEPS</x:v>
      </x:c>
      <x:c r="G162" s="10" t="str">
        <x:v>institutional report</x:v>
      </x:c>
      <x:c r="H162" s="10" t="str">
        <x:v>Tier 1</x:v>
      </x:c>
      <x:c r="I162" s="10" t="str">
        <x:v>direct</x:v>
      </x:c>
      <x:c r="J162" s="10" t="str">
        <x:v>europe</x:v>
      </x:c>
      <x:c r="K162" s="10" t="str">
        <x:v>innovation ecosystem; digital infrastructure + innovation</x:v>
      </x:c>
      <x:c r="L162" s="10" t="str">
        <x:v>strategic autonomy</x:v>
      </x:c>
      <x:c r="M162" s="10" t="str">
        <x:v>Building One Europe, One Market – CEPS.</x:v>
      </x:c>
      <x:c r="N162" s="10" t="str">
        <x:v>Direct European/EU relevance (europe); R&amp;I evidence: innovation ecosystem, digital infrastructure + innovation; strategic evidence: strategic autonomy; bridge: title/abstract.</x:v>
      </x:c>
      <x:c r="O162" s="10" t="str">
        <x:v>conversion-B</x:v>
      </x:c>
      <x:c r="P162" s="10" t="str"/>
      <x:c r="Q162" s="10" t="str"/>
      <x:c r="R162" s="10" t="str">
        <x:v>2026-08-29T16:45Z</x:v>
      </x:c>
      <x:c r="S162" s="10" t="str">
        <x:v>https://cdn.ceps.eu/2026/06/CEPS-Sitra-Building-One-Europe-One-Market.pdf</x:v>
      </x:c>
    </x:row>
    <x:row r="163">
      <x:c r="A163" s="10" t="n">
        <x:f>'Ranked sources'!B163</x:f>
        <x:v>87</x:v>
      </x:c>
      <x:c r="B163" s="10" t="str">
        <x:v>Beyond the European Chips Act: EU Supply Chain Dependencies on China, Taiwan and the United States</x:v>
      </x:c>
      <x:c r="C163" s="10" t="str">
        <x:v>2026-06-04</x:v>
      </x:c>
      <x:c r="D163" s="10" t="str">
        <x:v>A</x:v>
      </x:c>
      <x:c r="E163" s="10" t="str">
        <x:v>Istituto Affari Internazionali (IAI)</x:v>
      </x:c>
      <x:c r="F163" s="10" t="str">
        <x:v>Istituto Affari Internazionali</x:v>
      </x:c>
      <x:c r="G163" s="10" t="str">
        <x:v>manual-verified scholarly/policy source</x:v>
      </x:c>
      <x:c r="H163" s="10" t="str">
        <x:v>Tier 2</x:v>
      </x:c>
      <x:c r="I163" s="10" t="str">
        <x:v>direct</x:v>
      </x:c>
      <x:c r="J163" s="10" t="str"/>
      <x:c r="K163" s="10" t="str"/>
      <x:c r="L163" s="10" t="str"/>
      <x:c r="M163" s="10" t="str">
        <x:v>Beyond the European Chips Act: EU Supply Chain Dependencies on China, Taiwan and the US.</x:v>
      </x:c>
      <x:c r="N163"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63" s="10" t="str">
        <x:v>infrastructure-D</x:v>
      </x:c>
      <x:c r="P163" s="10" t="str"/>
      <x:c r="Q163" s="10" t="str">
        <x:v>manual</x:v>
      </x:c>
      <x:c r="R163" s="10" t="str">
        <x:v>2026-08-26T09:42Z</x:v>
      </x:c>
      <x:c r="S163" s="10" t="str">
        <x:v>https://www.iai.it/en/publications/c41/beyond-european-chips-act-eu-supply-chain-dependencies-china-taiwan-and-united</x:v>
      </x:c>
    </x:row>
    <x:row r="164">
      <x:c r="A164" s="10" t="n">
        <x:f>'Ranked sources'!B164</x:f>
        <x:v>87</x:v>
      </x:c>
      <x:c r="B164" s="10" t="str">
        <x:v>Europe’s Geo-Industrial Deal: A path to securing Europe’s competitiveness abroad</x:v>
      </x:c>
      <x:c r="C164" s="10" t="str">
        <x:v>2026-06-03</x:v>
      </x:c>
      <x:c r="D164" s="10" t="str">
        <x:v>A</x:v>
      </x:c>
      <x:c r="E164" s="10" t="str">
        <x:v>European Policy Centre</x:v>
      </x:c>
      <x:c r="F164" s="10" t="str">
        <x:v>Varg Folkman</x:v>
      </x:c>
      <x:c r="G164" s="10" t="str">
        <x:v>manual-verified scholarly/policy source</x:v>
      </x:c>
      <x:c r="H164" s="10" t="str">
        <x:v>Tier 1</x:v>
      </x:c>
      <x:c r="I164" s="10" t="str">
        <x:v>direct</x:v>
      </x:c>
      <x:c r="J164" s="10" t="str"/>
      <x:c r="K164" s="10" t="str"/>
      <x:c r="L164" s="10" t="str"/>
      <x:c r="M164" s="10" t="str">
        <x:v>The paper argues that mercantilist competition now rewards states that secure markets for domestic industry and proposes an EU geo-industrial deal coordinating finance, trade and industrial tools.</x:v>
      </x:c>
      <x:c r="N164" s="10" t="str">
        <x:v>Direct EU/European relevance verified in the underlying source; substantive R&amp;I mechanism and geopolitical/economic-security bridge verified by manual source review.</x:v>
      </x:c>
      <x:c r="O164" s="10" t="str">
        <x:v>conversion-A</x:v>
      </x:c>
      <x:c r="P164" s="10" t="str"/>
      <x:c r="Q164" s="10" t="str">
        <x:v>manual</x:v>
      </x:c>
      <x:c r="R164" s="10" t="n">
        <x:v>46261.277083333334</x:v>
      </x:c>
      <x:c r="S164" s="10" t="str">
        <x:v>https://www.epc.eu/publication/europes-geo-industrial-deal-a-path-to-securing-europes-competitiveness-abroad/</x:v>
      </x:c>
    </x:row>
    <x:row r="165">
      <x:c r="A165" s="10" t="n">
        <x:f>'Ranked sources'!B165</x:f>
        <x:v>87</x:v>
      </x:c>
      <x:c r="B165" s="10" t="str">
        <x:v>Mapping of technology specialisation, complexity and relatedness of the EU and selected global partners – CEPS</x:v>
      </x:c>
      <x:c r="C165" s="10" t="str">
        <x:v>2026-06-02</x:v>
      </x:c>
      <x:c r="D165" s="10" t="str">
        <x:v>A</x:v>
      </x:c>
      <x:c r="E165" s="10" t="str">
        <x:v>CEPS</x:v>
      </x:c>
      <x:c r="F165" s="10" t="str">
        <x:v>CEPS</x:v>
      </x:c>
      <x:c r="G165" s="10" t="str">
        <x:v>institutional report</x:v>
      </x:c>
      <x:c r="H165" s="10" t="str">
        <x:v>Tier 1</x:v>
      </x:c>
      <x:c r="I165" s="10" t="str">
        <x:v>direct</x:v>
      </x:c>
      <x:c r="J165" s="10" t="str">
        <x:v>EU</x:v>
      </x:c>
      <x:c r="K165" s="10" t="str">
        <x:v>innovation system; research capacity; strategic technologies + competitiveness; ai + innovation</x:v>
      </x:c>
      <x:c r="L165" s="10" t="str">
        <x:v>geopolit; technological sovereignty</x:v>
      </x:c>
      <x:c r="M165" s="10" t="str">
        <x:v>Patents, papers and venture capital show where the EU and global partners specialise.</x:v>
      </x:c>
      <x:c r="N165" s="10" t="str">
        <x:v>Direct EU relevance (EU); R&amp;I evidence: innovation system, research capacity; strategic evidence: geopolit, technological sovereignty; bridge: sentence.</x:v>
      </x:c>
      <x:c r="O165" s="10" t="str">
        <x:v>conversion-A</x:v>
      </x:c>
      <x:c r="P165" s="10" t="str"/>
      <x:c r="Q165" s="10" t="str"/>
      <x:c r="R165" s="10" t="str">
        <x:v>2026-08-20T07:43Z</x:v>
      </x:c>
      <x:c r="S165" s="10" t="str">
        <x:v>https://cdn.ceps.eu/2026/06/2026-06-GRID-CNECT-TTD.pdf</x:v>
      </x:c>
    </x:row>
    <x:row r="166">
      <x:c r="A166" s="10" t="n">
        <x:f>'Ranked sources'!B166</x:f>
        <x:v>87</x:v>
      </x:c>
      <x:c r="B166" s="10" t="str">
        <x:v>The EU’s need for a new growth model: Innovation under strategic capitalism</x:v>
      </x:c>
      <x:c r="C166" s="10" t="str">
        <x:v>2026-06-01</x:v>
      </x:c>
      <x:c r="D166" s="10" t="str">
        <x:v>A</x:v>
      </x:c>
      <x:c r="E166" s="10" t="str">
        <x:v>Finnish Institute of International Affairs (FIIA)</x:v>
      </x:c>
      <x:c r="F166" s="10" t="str">
        <x:v>Mikael Wigell; Sinikukka Saari</x:v>
      </x:c>
      <x:c r="G166" s="10" t="str">
        <x:v>manual-verified scholarly/policy source</x:v>
      </x:c>
      <x:c r="H166" s="10" t="str">
        <x:v>Tier 1</x:v>
      </x:c>
      <x:c r="I166" s="10" t="str">
        <x:v>direct</x:v>
      </x:c>
      <x:c r="J166" s="10" t="str"/>
      <x:c r="K166" s="10" t="str"/>
      <x:c r="L166" s="10" t="str"/>
      <x:c r="M166" s="10" t="str">
        <x:v>External technology and infrastructure dependence makes the EU growth model vulnerable to geoeconomic competition.</x:v>
      </x:c>
      <x:c r="N166" s="10" t="str">
        <x:v>Direct EU/European relevance verified in the underlying source; substantive R&amp;I mechanism and geopolitical/economic-security bridge verified by manual source review.</x:v>
      </x:c>
      <x:c r="O166" s="10" t="str">
        <x:v>infrastructure-C</x:v>
      </x:c>
      <x:c r="P166" s="10" t="str"/>
      <x:c r="Q166" s="10" t="str">
        <x:v>manual</x:v>
      </x:c>
      <x:c r="R166" s="10" t="n">
        <x:v>46261.277083333334</x:v>
      </x:c>
      <x:c r="S166" s="10" t="str">
        <x:v>https://fiia.fi/julkaisu/the-eus-need-for-a-new-growth-model</x:v>
      </x:c>
    </x:row>
    <x:row r="167">
      <x:c r="A167" s="10" t="n">
        <x:f>'Ranked sources'!B167</x:f>
        <x:v>87</x:v>
      </x:c>
      <x:c r="B167" s="10" t="str">
        <x:v>From openness to deterrence: Europe’s doctrine of reactive assertiveness</x:v>
      </x:c>
      <x:c r="C167" s="10" t="str">
        <x:v>2026-05-31</x:v>
      </x:c>
      <x:c r="D167" s="10" t="str">
        <x:v>A</x:v>
      </x:c>
      <x:c r="E167" s="10" t="str">
        <x:v>European Policy Centre</x:v>
      </x:c>
      <x:c r="F167" s="10" t="str">
        <x:v>Georg Riekeles; Varg Folkman</x:v>
      </x:c>
      <x:c r="G167" s="10" t="str">
        <x:v>manual-verified scholarly/policy source</x:v>
      </x:c>
      <x:c r="H167" s="10" t="str">
        <x:v>Tier 1</x:v>
      </x:c>
      <x:c r="I167" s="10" t="str">
        <x:v>direct</x:v>
      </x:c>
      <x:c r="J167" s="10" t="str"/>
      <x:c r="K167" s="10" t="str"/>
      <x:c r="L167" s="10" t="str"/>
      <x:c r="M167" s="10" t="str">
        <x:v>From openness to deterrence: Europe’s doctrine of reactive assertiveness.</x:v>
      </x:c>
      <x:c r="N167" s="10" t="str">
        <x:v>Direct EU/European relevance verified in the underlying source; substantive R&amp;I mechanism and geopolitical/economic-security bridge verified by manual source review.</x:v>
      </x:c>
      <x:c r="O167" s="10" t="str">
        <x:v>rules-B</x:v>
      </x:c>
      <x:c r="P167" s="10" t="str"/>
      <x:c r="Q167" s="10" t="str">
        <x:v>manual</x:v>
      </x:c>
      <x:c r="R167" s="10" t="n">
        <x:v>46261.277083333334</x:v>
      </x:c>
      <x:c r="S167" s="10" t="str">
        <x:v>https://epc.eu/publication/from-openness-to-deterrence-europes-doctrine-of-reactive-assertiveness/</x:v>
      </x:c>
    </x:row>
    <x:row r="168">
      <x:c r="A168" s="10" t="n">
        <x:f>'Ranked sources'!B168</x:f>
        <x:v>87</x:v>
      </x:c>
      <x:c r="B168" s="10" t="str">
        <x:v>Driving Defence: The automotive sector’s role as a potential enabler of Europe’s defence surge</x:v>
      </x:c>
      <x:c r="C168" s="10" t="str">
        <x:v>2026-05-29</x:v>
      </x:c>
      <x:c r="D168" s="10" t="str">
        <x:v>A</x:v>
      </x:c>
      <x:c r="E168" s="10" t="str">
        <x:v>European Policy Centre</x:v>
      </x:c>
      <x:c r="F168" s="10" t="str">
        <x:v>Paul Taylor</x:v>
      </x:c>
      <x:c r="G168" s="10" t="str">
        <x:v>manual-verified scholarly/policy source</x:v>
      </x:c>
      <x:c r="H168" s="10" t="str">
        <x:v>Tier 1</x:v>
      </x:c>
      <x:c r="I168" s="10" t="str">
        <x:v>direct</x:v>
      </x:c>
      <x:c r="J168" s="10" t="str"/>
      <x:c r="K168" s="10" t="str"/>
      <x:c r="L168" s="10" t="str"/>
      <x:c r="M168" s="10" t="str">
        <x:v>as Russia’s war and uncertainty over US commitments drive a European defence surge.</x:v>
      </x:c>
      <x:c r="N168" s="10" t="str">
        <x:v>Direct EU/European relevance verified in the underlying source; substantive R&amp;I mechanism and geopolitical/economic-security bridge verified by manual source review.</x:v>
      </x:c>
      <x:c r="O168" s="10" t="str">
        <x:v>conversion-A</x:v>
      </x:c>
      <x:c r="P168" s="10" t="str"/>
      <x:c r="Q168" s="10" t="str">
        <x:v>manual</x:v>
      </x:c>
      <x:c r="R168" s="10" t="n">
        <x:v>46261.277083333334</x:v>
      </x:c>
      <x:c r="S168" s="10" t="str">
        <x:v>https://epc.eu/publication/driving-defence-the-automotive-sectors-role-as-a-potential-enabler-of-europes-defence-surge/</x:v>
      </x:c>
    </x:row>
    <x:row r="169">
      <x:c r="A169" s="10" t="n">
        <x:f>'Ranked sources'!B169</x:f>
        <x:v>87</x:v>
      </x:c>
      <x:c r="B169" s="10" t="str">
        <x:v>The critical in critical technologies</x:v>
      </x:c>
      <x:c r="C169" s="10" t="str">
        <x:v>2026-05-28</x:v>
      </x:c>
      <x:c r="D169" s="10" t="str">
        <x:v>A</x:v>
      </x:c>
      <x:c r="E169" s="10" t="str">
        <x:v>European Policy Centre</x:v>
      </x:c>
      <x:c r="F169" s="10" t="str">
        <x:v>Bart Hogeveen</x:v>
      </x:c>
      <x:c r="G169" s="10" t="str">
        <x:v>manual-verified scholarly/policy source</x:v>
      </x:c>
      <x:c r="H169" s="10" t="str">
        <x:v>Tier 1</x:v>
      </x:c>
      <x:c r="I169" s="10" t="str">
        <x:v>direct</x:v>
      </x:c>
      <x:c r="J169" s="10" t="str"/>
      <x:c r="K169" s="10" t="str"/>
      <x:c r="L169" s="10" t="str"/>
      <x:c r="M169" s="10" t="str">
        <x:v>AI, quantum, biotech, advanced communications and robotics are increasingly treated.</x:v>
      </x:c>
      <x:c r="N169" s="10" t="str">
        <x:v>Direct EU/European relevance verified in the underlying source; substantive R&amp;I mechanism and geopolitical/economic-security bridge verified by manual source review.</x:v>
      </x:c>
      <x:c r="O169" s="10" t="str"/>
      <x:c r="P169" s="10" t="str"/>
      <x:c r="Q169" s="10" t="str">
        <x:v>manual</x:v>
      </x:c>
      <x:c r="R169" s="10" t="n">
        <x:v>46261.277083333334</x:v>
      </x:c>
      <x:c r="S169" s="10" t="str">
        <x:v>https://epc.eu/publication/the-critical-in-critical-technologies/</x:v>
      </x:c>
    </x:row>
    <x:row r="170">
      <x:c r="A170" s="10" t="n">
        <x:f>'Ranked sources'!B170</x:f>
        <x:v>87</x:v>
      </x:c>
      <x:c r="B170" s="10" t="str">
        <x:v>The Rise of Collective Actions and the Risk to Portugal’s Economy</x:v>
      </x:c>
      <x:c r="C170" s="10" t="str">
        <x:v>2026-05-26</x:v>
      </x:c>
      <x:c r="D170" s="10" t="str">
        <x:v>A</x:v>
      </x:c>
      <x:c r="E170" s="10" t="str">
        <x:v>ECIPE</x:v>
      </x:c>
      <x:c r="F170" s="10" t="str">
        <x:v>ECIPE</x:v>
      </x:c>
      <x:c r="G170" s="10" t="str">
        <x:v>institutional report</x:v>
      </x:c>
      <x:c r="H170" s="10" t="str">
        <x:v>Tier 1</x:v>
      </x:c>
      <x:c r="I170" s="10" t="str">
        <x:v>direct</x:v>
      </x:c>
      <x:c r="J170" s="10" t="str">
        <x:v>portugal</x:v>
      </x:c>
      <x:c r="K170" s="10" t="str">
        <x:v>research and development; r&amp;d</x:v>
      </x:c>
      <x:c r="L170" s="10" t="str">
        <x:v>decoupling</x:v>
      </x:c>
      <x:c r="M170" s="10" t="str">
        <x:v>as the second most open regime in the EU.</x:v>
      </x:c>
      <x:c r="N170" s="10" t="str">
        <x:v>Direct European/EU relevance (portugal); R&amp;I evidence: research and development, r&amp;d; strategic evidence: decoupling; bridge: title/abstract.</x:v>
      </x:c>
      <x:c r="O170" s="10" t="str"/>
      <x:c r="P170" s="10" t="str"/>
      <x:c r="Q170" s="10" t="str"/>
      <x:c r="R170" s="10" t="str">
        <x:v>2026-09-01T15:01Z</x:v>
      </x:c>
      <x:c r="S170" s="10" t="str">
        <x:v>https://ecipe.org/publications/collective-actions-in-portugal/</x:v>
      </x:c>
    </x:row>
    <x:row r="171">
      <x:c r="A171" s="10" t="n">
        <x:f>'Ranked sources'!B171</x:f>
        <x:v>87</x:v>
      </x:c>
      <x:c r="B171" s="10" t="str">
        <x:v>The Copyright Trap</x:v>
      </x:c>
      <x:c r="C171" s="10" t="str">
        <x:v>2026-05-21</x:v>
      </x:c>
      <x:c r="D171" s="10" t="str">
        <x:v>A</x:v>
      </x:c>
      <x:c r="E171" s="10" t="str">
        <x:v>ECIPE</x:v>
      </x:c>
      <x:c r="F171" s="10" t="str">
        <x:v>ECIPE</x:v>
      </x:c>
      <x:c r="G171" s="10" t="str">
        <x:v>institutional report</x:v>
      </x:c>
      <x:c r="H171" s="10" t="str">
        <x:v>Tier 1</x:v>
      </x:c>
      <x:c r="I171" s="10" t="str">
        <x:v>direct</x:v>
      </x:c>
      <x:c r="J171" s="10" t="str">
        <x:v>european commission; european parliament; horizon europe; european union</x:v>
      </x:c>
      <x:c r="K171" s="10" t="str">
        <x:v>ai + start-up; ai + innovation</x:v>
      </x:c>
      <x:c r="L171" s="10" t="str">
        <x:v>strategic autonomy</x:v>
      </x:c>
      <x:c r="M171" s="10" t="str">
        <x:v>as data, undermining the development and deployment of AI in the EU.</x:v>
      </x:c>
      <x:c r="N171" s="10" t="str">
        <x:v>Direct EU relevance (european commission, european parliament); R&amp;I evidence: ai + start-up, ai + innovation; strategic evidence: strategic autonomy; bridge: title/abstract.</x:v>
      </x:c>
      <x:c r="O171" s="10" t="str">
        <x:v>conversion-A</x:v>
      </x:c>
      <x:c r="P171" s="10" t="str"/>
      <x:c r="Q171" s="10" t="str"/>
      <x:c r="R171" s="10" t="str">
        <x:v>2026-08-29T10:39Z</x:v>
      </x:c>
      <x:c r="S171" s="10" t="str">
        <x:v>https://ecipe.org/publications/copyright-trap/</x:v>
      </x:c>
    </x:row>
    <x:row r="172">
      <x:c r="A172" s="10" t="n">
        <x:f>'Ranked sources'!B172</x:f>
        <x:v>87</x:v>
      </x:c>
      <x:c r="B172" s="10" t="str">
        <x:v>The flaws in the European Union’s proposed Industrial Accelerator Act and how to fix them</x:v>
      </x:c>
      <x:c r="C172" s="10" t="str">
        <x:v>2026-05-21</x:v>
      </x:c>
      <x:c r="D172" s="10" t="str">
        <x:v>A</x:v>
      </x:c>
      <x:c r="E172" s="10" t="str">
        <x:v>Bruegel</x:v>
      </x:c>
      <x:c r="F172" s="10" t="str">
        <x:v>Ignacio García Bercero; Antoine Mathieu Collin; Ben McWilliams; Simone Tagliapietra</x:v>
      </x:c>
      <x:c r="G172" s="10" t="str">
        <x:v>manual-verified scholarly/policy source</x:v>
      </x:c>
      <x:c r="H172" s="10" t="str">
        <x:v>Tier 1</x:v>
      </x:c>
      <x:c r="I172" s="10" t="str">
        <x:v>direct</x:v>
      </x:c>
      <x:c r="J172" s="10" t="str"/>
      <x:c r="K172" s="10" t="str"/>
      <x:c r="L172" s="10" t="str"/>
      <x:c r="M172" s="10" t="str">
        <x:v>The proposed Industrial Accelerator Act uses European-preference and local-content tools for economic security.</x:v>
      </x:c>
      <x:c r="N172" s="10" t="str">
        <x:v>Direct EU/European relevance verified in the underlying source; substantive R&amp;I mechanism and geopolitical/economic-security bridge verified by manual source review.</x:v>
      </x:c>
      <x:c r="O172" s="10" t="str">
        <x:v>conversion-B</x:v>
      </x:c>
      <x:c r="P172" s="10" t="str"/>
      <x:c r="Q172" s="10" t="str">
        <x:v>manual</x:v>
      </x:c>
      <x:c r="R172" s="10" t="n">
        <x:v>46261.277083333334</x:v>
      </x:c>
      <x:c r="S172" s="10" t="str">
        <x:v>https://www.bruegel.org/policy-brief/flaws-european-unions-proposed-industrial-accelerator-act-and-how-fix-them</x:v>
      </x:c>
    </x:row>
    <x:row r="173">
      <x:c r="A173" s="10" t="n">
        <x:f>'Ranked sources'!B173</x:f>
        <x:v>87</x:v>
      </x:c>
      <x:c r="B173" s="10" t="str">
        <x:v>The growth of dual-use by design research in Europe: Export control risks and challenges</x:v>
      </x:c>
      <x:c r="C173" s="10" t="str">
        <x:v>2026-05-21</x:v>
      </x:c>
      <x:c r="D173" s="10" t="str">
        <x:v>A</x:v>
      </x:c>
      <x:c r="E173" s="10" t="str">
        <x:v>Stockholm International Peace Research Institute</x:v>
      </x:c>
      <x:c r="F173" s="10" t="str">
        <x:v>Lauriane Héau</x:v>
      </x:c>
      <x:c r="G173" s="10" t="str">
        <x:v>manual-verified scholarly/policy source</x:v>
      </x:c>
      <x:c r="H173" s="10" t="str">
        <x:v>Tier 2</x:v>
      </x:c>
      <x:c r="I173" s="10" t="str">
        <x:v>direct</x:v>
      </x:c>
      <x:c r="J173" s="10" t="str"/>
      <x:c r="K173" s="10" t="str"/>
      <x:c r="L173" s="10" t="str"/>
      <x:c r="M173" s="10" t="str">
        <x:v>Expanding dual-use-by-design research pulls European universities further into defence production and increases export-control, research-security and open-science compliance costs.</x:v>
      </x:c>
      <x:c r="N173"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73" s="10" t="str">
        <x:v>conversion-B</x:v>
      </x:c>
      <x:c r="P173" s="10" t="str"/>
      <x:c r="Q173" s="10" t="str">
        <x:v>manual</x:v>
      </x:c>
      <x:c r="R173" s="10" t="str">
        <x:v>2026-08-25T09:39Z</x:v>
      </x:c>
      <x:c r="S173" s="10" t="str">
        <x:v>https://www.sipri.org/commentary/topical-backgrounder/2026/growth-dual-use-design-research-europe-export-control-risks-and-challenges</x:v>
      </x:c>
    </x:row>
    <x:row r="174">
      <x:c r="A174" s="10" t="n">
        <x:f>'Ranked sources'!B174</x:f>
        <x:v>87</x:v>
      </x:c>
      <x:c r="B174" s="10" t="str">
        <x:v>Dual-use and Defence Research in Europe</x:v>
      </x:c>
      <x:c r="C174" s="10" t="str">
        <x:v>2026-05-20</x:v>
      </x:c>
      <x:c r="D174" s="10" t="str">
        <x:v>A</x:v>
      </x:c>
      <x:c r="E174" s="10" t="str">
        <x:v>Center for Security Studies, ETH Zurich</x:v>
      </x:c>
      <x:c r="F174" s="10" t="str">
        <x:v>Leo Eigner</x:v>
      </x:c>
      <x:c r="G174" s="10" t="str">
        <x:v>manual-verified scholarly/policy source</x:v>
      </x:c>
      <x:c r="H174" s="10" t="str">
        <x:v>Tier 2</x:v>
      </x:c>
      <x:c r="I174" s="10" t="str">
        <x:v>direct</x:v>
      </x:c>
      <x:c r="J174" s="10" t="str"/>
      <x:c r="K174" s="10" t="str"/>
      <x:c r="L174" s="10" t="str"/>
      <x:c r="M174" s="10" t="str">
        <x:v>Europe’s shift toward dual-use and defence R&amp;D can strengthen indigenous capability.</x:v>
      </x:c>
      <x:c r="N174"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74" s="10" t="str">
        <x:v>conversion-B</x:v>
      </x:c>
      <x:c r="P174" s="10" t="str"/>
      <x:c r="Q174" s="10" t="str">
        <x:v>manual</x:v>
      </x:c>
      <x:c r="R174" s="10" t="str">
        <x:v>2026-08-25T09:39Z</x:v>
      </x:c>
      <x:c r="S174" s="10" t="str">
        <x:v>https://css.ethz.ch/en/center/CSS-news/2026/05/dual-use-and-defence-research-in-europe.html</x:v>
      </x:c>
    </x:row>
    <x:row r="175">
      <x:c r="A175" s="10" t="n">
        <x:f>'Ranked sources'!B175</x:f>
        <x:v>87</x:v>
      </x:c>
      <x:c r="B175" s="10" t="str">
        <x:v>Europe needs a strategy to close the artificial intelligence compute gap</x:v>
      </x:c>
      <x:c r="C175" s="10" t="str">
        <x:v>2026-05-19</x:v>
      </x:c>
      <x:c r="D175" s="10" t="str">
        <x:v>A</x:v>
      </x:c>
      <x:c r="E175" s="10" t="str">
        <x:v>Bruegel</x:v>
      </x:c>
      <x:c r="F175" s="10" t="str">
        <x:v>Alicia García-Herrero; Bertin Martens</x:v>
      </x:c>
      <x:c r="G175" s="10" t="str">
        <x:v>manual-verified scholarly/policy source</x:v>
      </x:c>
      <x:c r="H175" s="10" t="str">
        <x:v>Tier 1</x:v>
      </x:c>
      <x:c r="I175" s="10" t="str">
        <x:v>direct</x:v>
      </x:c>
      <x:c r="J175" s="10" t="str"/>
      <x:c r="K175" s="10" t="str"/>
      <x:c r="L175" s="10" t="str"/>
      <x:c r="M175" s="10" t="str">
        <x:v>Europe should keep buying frontier US compute while building capacity around European chokepoints.</x:v>
      </x:c>
      <x:c r="N175"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75" s="10" t="str">
        <x:v>infrastructure-B</x:v>
      </x:c>
      <x:c r="P175" s="10" t="str"/>
      <x:c r="Q175" s="10" t="str">
        <x:v>manual</x:v>
      </x:c>
      <x:c r="R175" s="10" t="str">
        <x:v>2026-08-25T09:39Z</x:v>
      </x:c>
      <x:c r="S175" s="10" t="str">
        <x:v>https://www.bruegel.org/analysis/europe-needs-strategy-close-artificial-intelligence-compute-gap</x:v>
      </x:c>
    </x:row>
    <x:row r="176">
      <x:c r="A176" s="10" t="n">
        <x:f>'Ranked sources'!B176</x:f>
        <x:v>87</x:v>
      </x:c>
      <x:c r="B176" s="10" t="str">
        <x:v>Beyond borders: how HERA can unlock global health as a true public good through data and knowledge sharing – CEPS</x:v>
      </x:c>
      <x:c r="C176" s="10" t="str">
        <x:v>2026-05-15</x:v>
      </x:c>
      <x:c r="D176" s="10" t="str">
        <x:v>A</x:v>
      </x:c>
      <x:c r="E176" s="10" t="str">
        <x:v>CEPS</x:v>
      </x:c>
      <x:c r="F176" s="10" t="str">
        <x:v>CEPS</x:v>
      </x:c>
      <x:c r="G176" s="10" t="str">
        <x:v>institutional report</x:v>
      </x:c>
      <x:c r="H176" s="10" t="str">
        <x:v>Tier 1</x:v>
      </x:c>
      <x:c r="I176" s="10" t="str">
        <x:v>direct</x:v>
      </x:c>
      <x:c r="J176" s="10" t="str">
        <x:v>european commission; horizon europe; joint research centre; jrc</x:v>
      </x:c>
      <x:c r="K176" s="10" t="str">
        <x:v>research and innovation; r&amp;i; research and development; r&amp;d; technology transfer</x:v>
      </x:c>
      <x:c r="L176" s="10" t="str">
        <x:v>geopolit</x:v>
      </x:c>
      <x:c r="M176" s="10" t="str">
        <x:v>Beyond borders: how HERA can unlock global health as a true public good through data and knowledge sharing – CEPS.</x:v>
      </x:c>
      <x:c r="N176" s="10" t="str">
        <x:v>Direct European/EU relevance (european commission, horizon europe); R&amp;I evidence: research and innovation, r&amp;i; strategic evidence: geopolit; bridge: title/abstract.</x:v>
      </x:c>
      <x:c r="O176" s="10" t="str"/>
      <x:c r="P176" s="10" t="str"/>
      <x:c r="Q176" s="10" t="str"/>
      <x:c r="R176" s="10" t="str">
        <x:v>2026-08-29T19:04Z</x:v>
      </x:c>
      <x:c r="S176" s="10" t="str">
        <x:v>https://cdn.ceps.eu/2026/05/HERA-strengthening-health-as-a-global-public-good_formatted1.pdf</x:v>
      </x:c>
    </x:row>
    <x:row r="177">
      <x:c r="A177" s="10" t="n">
        <x:f>'Ranked sources'!B177</x:f>
        <x:v>87</x:v>
      </x:c>
      <x:c r="B177" s="10" t="str">
        <x:v>Revamping Europe’s chips strategy: indispensability, not self-sufficiency</x:v>
      </x:c>
      <x:c r="C177" s="10" t="str">
        <x:v>2026-05-13</x:v>
      </x:c>
      <x:c r="D177" s="10" t="str">
        <x:v>A</x:v>
      </x:c>
      <x:c r="E177" s="10" t="str">
        <x:v>Bruegel</x:v>
      </x:c>
      <x:c r="F177" s="10" t="str">
        <x:v>Niclas Poitiers; Tillman Schenk</x:v>
      </x:c>
      <x:c r="G177" s="10" t="str">
        <x:v>manual-verified scholarly/policy source</x:v>
      </x:c>
      <x:c r="H177" s="10" t="str">
        <x:v>Tier 1</x:v>
      </x:c>
      <x:c r="I177" s="10" t="str">
        <x:v>direct</x:v>
      </x:c>
      <x:c r="J177" s="10" t="str"/>
      <x:c r="K177" s="10" t="str"/>
      <x:c r="L177" s="10" t="str"/>
      <x:c r="M177" s="10" t="str">
        <x:v>Europe can gain semiconductor leverage more efficiently by strengthening irreplaceable chokepoints and research capabilities than by trying to reproduce the entire chip supply chain at home.</x:v>
      </x:c>
      <x:c r="N177"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177" s="10" t="str">
        <x:v>infrastructure-A</x:v>
      </x:c>
      <x:c r="P177" s="10" t="str"/>
      <x:c r="Q177" s="10" t="str">
        <x:v>manual</x:v>
      </x:c>
      <x:c r="R177" s="10" t="str">
        <x:v>2026-08-25T09:39Z</x:v>
      </x:c>
      <x:c r="S177" s="10" t="str">
        <x:v>https://www.bruegel.org/sites/default/files/2026-05/revamping-europe%E2%80%99s-chips-strategy%3A-indispensability%2C-not-self-sufficiency-12183_2.pdf</x:v>
      </x:c>
    </x:row>
    <x:row r="178">
      <x:c r="A178" s="10" t="n">
        <x:f>'Ranked sources'!B178</x:f>
        <x:v>87</x:v>
      </x:c>
      <x:c r="B178" s="10" t="str">
        <x:v>Selective Conditionality: The EU’s Emerging Approach to Foreign Investment</x:v>
      </x:c>
      <x:c r="C178" s="10" t="str">
        <x:v>2026-05-11</x:v>
      </x:c>
      <x:c r="D178" s="10" t="str">
        <x:v>A</x:v>
      </x:c>
      <x:c r="E178" s="10" t="str">
        <x:v>Jacques Delors Centre</x:v>
      </x:c>
      <x:c r="F178" s="10" t="str">
        <x:v>Jannik Jansen; Arthur Leichthammer</x:v>
      </x:c>
      <x:c r="G178" s="10" t="str">
        <x:v>manual-verified scholarly/policy source</x:v>
      </x:c>
      <x:c r="H178" s="10" t="str">
        <x:v>Tier 2 comparable</x:v>
      </x:c>
      <x:c r="I178" s="10" t="str">
        <x:v>direct</x:v>
      </x:c>
      <x:c r="J178" s="10" t="str"/>
      <x:c r="K178" s="10" t="str"/>
      <x:c r="L178" s="10" t="str"/>
      <x:c r="M178" s="10" t="str">
        <x:v>EU foreign-investment conditionality targets strategic Chinese EV and battery investment.</x:v>
      </x:c>
      <x:c r="N178" s="10" t="str">
        <x:v>Direct EU/European relevance verified in the underlying source; substantive R&amp;I mechanism and geopolitical/economic-security bridge verified by manual source review.</x:v>
      </x:c>
      <x:c r="O178" s="10" t="str">
        <x:v>conversion-C</x:v>
      </x:c>
      <x:c r="P178" s="10" t="str"/>
      <x:c r="Q178" s="10" t="str">
        <x:v>manual</x:v>
      </x:c>
      <x:c r="R178" s="10" t="n">
        <x:v>46261.277083333334</x:v>
      </x:c>
      <x:c r="S178" s="10" t="str">
        <x:v>https://www.delorscentre.eu/en/publications/detail/publication/selective-conditionality</x:v>
      </x:c>
    </x:row>
    <x:row r="179">
      <x:c r="A179" s="10" t="n">
        <x:f>'Ranked sources'!B179</x:f>
        <x:v>87</x:v>
      </x:c>
      <x:c r="B179" s="10" t="str">
        <x:v>Who controls the defence industry?</x:v>
      </x:c>
      <x:c r="C179" s="10" t="str">
        <x:v>2026-05-07</x:v>
      </x:c>
      <x:c r="D179" s="10" t="str">
        <x:v>A</x:v>
      </x:c>
      <x:c r="E179" s="10" t="str">
        <x:v>Bruegel</x:v>
      </x:c>
      <x:c r="F179" s="10" t="str">
        <x:v>Marco Becht; Juan Mejino-López; Guntram B. Wolff</x:v>
      </x:c>
      <x:c r="G179" s="10" t="str">
        <x:v>manual-verified scholarly/policy source</x:v>
      </x:c>
      <x:c r="H179" s="10" t="str">
        <x:v>Tier 1</x:v>
      </x:c>
      <x:c r="I179" s="10" t="str">
        <x:v>direct</x:v>
      </x:c>
      <x:c r="J179" s="10" t="str"/>
      <x:c r="K179" s="10" t="str"/>
      <x:c r="L179" s="10" t="str"/>
      <x:c r="M179" s="10" t="str">
        <x:v>European states use ownership and board rights to control strategically important defence firms.</x:v>
      </x:c>
      <x:c r="N179" s="10" t="str">
        <x:v>Direct EU/European relevance verified in the underlying source; substantive R&amp;I mechanism and geopolitical/economic-security bridge verified by manual source review.</x:v>
      </x:c>
      <x:c r="O179" s="10" t="str"/>
      <x:c r="P179" s="10" t="str"/>
      <x:c r="Q179" s="10" t="str">
        <x:v>manual</x:v>
      </x:c>
      <x:c r="R179" s="10" t="n">
        <x:v>46261.277083333334</x:v>
      </x:c>
      <x:c r="S179" s="10" t="str">
        <x:v>https://www.bruegel.org/working-paper/who-controls-defence-industry</x:v>
      </x:c>
    </x:row>
    <x:row r="180">
      <x:c r="A180" s="10" t="n">
        <x:f>'Ranked sources'!B180</x:f>
        <x:v>87</x:v>
      </x:c>
      <x:c r="B180" s="10" t="str">
        <x:v>Made in China, Powered by Europe: Mapping the EU’s Strategic Leverage Over the People’s Republic of China</x:v>
      </x:c>
      <x:c r="C180" s="10" t="str">
        <x:v>2026-05-06</x:v>
      </x:c>
      <x:c r="D180" s="10" t="str">
        <x:v>A</x:v>
      </x:c>
      <x:c r="E180" s="10" t="str">
        <x:v>Wilfried Martens Centre for European Studies</x:v>
      </x:c>
      <x:c r="F180" s="10" t="str">
        <x:v>Sam Goodman; Dimitar Lilkov</x:v>
      </x:c>
      <x:c r="G180" s="10" t="str">
        <x:v>manual-verified scholarly/policy source</x:v>
      </x:c>
      <x:c r="H180" s="10" t="str">
        <x:v>Tier 2 comparable</x:v>
      </x:c>
      <x:c r="I180" s="10" t="str">
        <x:v>direct</x:v>
      </x:c>
      <x:c r="J180" s="10" t="str"/>
      <x:c r="K180" s="10" t="str"/>
      <x:c r="L180" s="10" t="str"/>
      <x:c r="M180" s="10" t="str">
        <x:v>giving the EU time-limited economic-security leverage.</x:v>
      </x:c>
      <x:c r="N180" s="10" t="str">
        <x:v>Direct EU/European relevance verified in the underlying source; substantive R&amp;I mechanism and geopolitical/economic-security bridge verified by manual source review.</x:v>
      </x:c>
      <x:c r="O180" s="10" t="str">
        <x:v>infrastructure-A</x:v>
      </x:c>
      <x:c r="P180" s="10" t="str"/>
      <x:c r="Q180" s="10" t="str">
        <x:v>manual</x:v>
      </x:c>
      <x:c r="R180" s="10" t="n">
        <x:v>46261.277083333334</x:v>
      </x:c>
      <x:c r="S180" s="10" t="str">
        <x:v>https://www.martenscentre.eu/publication/made-in-china-powered-by-europe-mapping-the-eus-strategic-leverage-over-the-peoples-republic-of-china/</x:v>
      </x:c>
    </x:row>
    <x:row r="181">
      <x:c r="A181" s="10" t="n">
        <x:f>'Ranked sources'!B181</x:f>
        <x:v>87</x:v>
      </x:c>
      <x:c r="B181" s="10" t="str">
        <x:v>A Tale of Three Industries: The Rise, Decline and Rise Again of the Swedish Life Sciences Sector</x:v>
      </x:c>
      <x:c r="C181" s="10" t="str">
        <x:v>2026-05-05</x:v>
      </x:c>
      <x:c r="D181" s="10" t="str">
        <x:v>A</x:v>
      </x:c>
      <x:c r="E181" s="10" t="str">
        <x:v>ECIPE</x:v>
      </x:c>
      <x:c r="F181" s="10" t="str">
        <x:v>ECIPE</x:v>
      </x:c>
      <x:c r="G181" s="10" t="str">
        <x:v>institutional report</x:v>
      </x:c>
      <x:c r="H181" s="10" t="str">
        <x:v>Tier 1</x:v>
      </x:c>
      <x:c r="I181" s="10" t="str">
        <x:v>direct</x:v>
      </x:c>
      <x:c r="J181" s="10" t="str">
        <x:v>swedish</x:v>
      </x:c>
      <x:c r="K181" s="10" t="str">
        <x:v>research and development; r&amp;d; research-intensive</x:v>
      </x:c>
      <x:c r="L181" s="10" t="str"/>
      <x:c r="M181" s="10" t="str">
        <x:v>We identify three distinct phases of the development in the last three decades – rise, decline, and rise again.</x:v>
      </x:c>
      <x:c r="N181" s="10" t="str">
        <x:v>Direct European/EU relevance (swedish); R&amp;I evidence: research and development, r&amp;d; strategic significance is not explicit in the source and should be assessed as a possible longer-run implication.</x:v>
      </x:c>
      <x:c r="O181" s="10" t="str"/>
      <x:c r="P181" s="10" t="str"/>
      <x:c r="Q181" s="10" t="str"/>
      <x:c r="R181" s="10" t="str">
        <x:v>2026-09-01T12:05Z</x:v>
      </x:c>
      <x:c r="S181" s="10" t="str">
        <x:v>https://ecipe.org/publications/swedish-life-sciences-sector/</x:v>
      </x:c>
    </x:row>
    <x:row r="182">
      <x:c r="A182" s="10" t="n">
        <x:f>'Ranked sources'!B182</x:f>
        <x:v>87</x:v>
      </x:c>
      <x:c r="B182" s="10" t="str">
        <x:v>Cyber (Dis)armament in Practice: The EU’s Role in Governing Software Vulnerabilities in a Fragmented International Order</x:v>
      </x:c>
      <x:c r="C182" s="10" t="str">
        <x:v>2026-05-01</x:v>
      </x:c>
      <x:c r="D182" s="10" t="str">
        <x:v>A</x:v>
      </x:c>
      <x:c r="E182" s="10" t="str">
        <x:v>Stockholm International Peace Research Institute (SIPRI)</x:v>
      </x:c>
      <x:c r="F182" s="10" t="str">
        <x:v>Eugenio Benincasa</x:v>
      </x:c>
      <x:c r="G182" s="10" t="str">
        <x:v>manual-verified scholarly/policy source</x:v>
      </x:c>
      <x:c r="H182" s="10" t="str">
        <x:v>Tier 1</x:v>
      </x:c>
      <x:c r="I182" s="10" t="str">
        <x:v>direct</x:v>
      </x:c>
      <x:c r="J182" s="10" t="str"/>
      <x:c r="K182" s="10" t="str"/>
      <x:c r="L182" s="10" t="str"/>
      <x:c r="M182" s="10" t="str">
        <x:v>Software-vulnerability governance links cybersecurity, technical innovation and strategic risk.</x:v>
      </x:c>
      <x:c r="N182" s="10" t="str">
        <x:v>Direct EU/European relevance verified in the underlying source; substantive R&amp;I mechanism and geopolitical/economic-security bridge verified by manual source review.</x:v>
      </x:c>
      <x:c r="O182" s="10" t="str">
        <x:v>rules-B</x:v>
      </x:c>
      <x:c r="P182" s="10" t="str"/>
      <x:c r="Q182" s="10" t="str">
        <x:v>manual</x:v>
      </x:c>
      <x:c r="R182" s="10" t="n">
        <x:v>46261.277083333334</x:v>
      </x:c>
      <x:c r="S182" s="10" t="str">
        <x:v>https://www.sipri.org/publications/2026/eu-non-proliferation-and-disarmament-papers/cyber-disarmament-practice-eus-role-governing-software-vulnerabilities-fragmented-international</x:v>
      </x:c>
    </x:row>
    <x:row r="183">
      <x:c r="A183" s="10" t="n">
        <x:f>'Ranked sources'!B183</x:f>
        <x:v>87</x:v>
      </x:c>
      <x:c r="B183" s="10" t="str">
        <x:v>The EU’s geoeconomic gap: Why policy potential misses the mark</x:v>
      </x:c>
      <x:c r="C183" s="10" t="str">
        <x:v>2026-05-01</x:v>
      </x:c>
      <x:c r="D183" s="10" t="str">
        <x:v>A</x:v>
      </x:c>
      <x:c r="E183" s="10" t="str">
        <x:v>Finnish Institute of International Affairs (FIIA)</x:v>
      </x:c>
      <x:c r="F183" s="10" t="str">
        <x:v>Tomi Kristeri; Cordelia Buchanan Ponczek</x:v>
      </x:c>
      <x:c r="G183" s="10" t="str">
        <x:v>manual-verified scholarly/policy source</x:v>
      </x:c>
      <x:c r="H183" s="10" t="str">
        <x:v>Tier 1</x:v>
      </x:c>
      <x:c r="I183" s="10" t="str">
        <x:v>direct</x:v>
      </x:c>
      <x:c r="J183" s="10" t="str"/>
      <x:c r="K183" s="10" t="str"/>
      <x:c r="L183" s="10" t="str"/>
      <x:c r="M183" s="10" t="str">
        <x:v>EU geoeconomic tools are constrained by external integration, member-state divergence and institutional procedures.</x:v>
      </x:c>
      <x:c r="N183" s="10" t="str">
        <x:v>Direct EU/European relevance verified in the underlying source; substantive R&amp;I mechanism and geopolitical/economic-security bridge verified by manual source review.</x:v>
      </x:c>
      <x:c r="O183" s="10" t="str"/>
      <x:c r="P183" s="10" t="str"/>
      <x:c r="Q183" s="10" t="str">
        <x:v>manual</x:v>
      </x:c>
      <x:c r="R183" s="10" t="n">
        <x:v>46261.277083333334</x:v>
      </x:c>
      <x:c r="S183" s="10" t="str">
        <x:v>https://fiia.fi/en/publication/the-eus-geoeconomic-gap</x:v>
      </x:c>
    </x:row>
    <x:row r="184">
      <x:c r="A184" s="10" t="n">
        <x:f>'Ranked sources'!B184</x:f>
        <x:v>86</x:v>
      </x:c>
      <x:c r="B184" s="10" t="str">
        <x:v>The future is fermented: How Europe can succeed in the next industrial race – European Council on Foreign Relations</x:v>
      </x:c>
      <x:c r="C184" s="10" t="str">
        <x:v>2026-07-03</x:v>
      </x:c>
      <x:c r="D184" s="10" t="str">
        <x:v>A</x:v>
      </x:c>
      <x:c r="E184" s="10" t="str">
        <x:v>European Council on Foreign Relations</x:v>
      </x:c>
      <x:c r="F184" s="10" t="str">
        <x:v>European Council on Foreign Relations</x:v>
      </x:c>
      <x:c r="G184" s="10" t="str">
        <x:v>institutional report</x:v>
      </x:c>
      <x:c r="H184" s="10" t="str">
        <x:v>Tier 1</x:v>
      </x:c>
      <x:c r="I184" s="10" t="str">
        <x:v>direct</x:v>
      </x:c>
      <x:c r="J184" s="10" t="str">
        <x:v>european council; europe; european</x:v>
      </x:c>
      <x:c r="K184" s="10" t="str">
        <x:v>research and development; r&amp;d; ai + competitiveness; biotechnology + r&amp;d</x:v>
      </x:c>
      <x:c r="L184" s="10" t="str">
        <x:v>geopolit; us-china; us–china</x:v>
      </x:c>
      <x:c r="M184" s="10" t="str">
        <x:v>Europe still has the science to compete but must act qui.</x:v>
      </x:c>
      <x:c r="N184" s="10" t="str">
        <x:v>Direct EU relevance (european council, europe); R&amp;I evidence: research and development, r&amp;d; strategic evidence: geopolit, us-china; bridge: sentence.</x:v>
      </x:c>
      <x:c r="O184" s="10" t="str"/>
      <x:c r="P184" s="10" t="str"/>
      <x:c r="Q184" s="10" t="str"/>
      <x:c r="R184" s="10" t="str">
        <x:v>2026-08-31T14:28Z</x:v>
      </x:c>
      <x:c r="S184" s="10" t="str">
        <x:v>https://ecfr.eu/publication/the-future-is-fermented-how-europe-can-succeed-in-the-next-industrial-race/</x:v>
      </x:c>
    </x:row>
    <x:row r="185">
      <x:c r="A185" s="10" t="n">
        <x:f>'Ranked sources'!B185</x:f>
        <x:v>86</x:v>
      </x:c>
      <x:c r="B185" s="10" t="str">
        <x:v>EU: Shepherded by Brussels, Europe awakens to Chinese technology</x:v>
      </x:c>
      <x:c r="C185" s="10" t="str">
        <x:v>2026-06-30</x:v>
      </x:c>
      <x:c r="D185" s="10" t="str">
        <x:v>A</x:v>
      </x:c>
      <x:c r="E185" s="10" t="str">
        <x:v>MERICS</x:v>
      </x:c>
      <x:c r="F185" s="10" t="str">
        <x:v>MERICS</x:v>
      </x:c>
      <x:c r="G185" s="10" t="str">
        <x:v>research/policy paper</x:v>
      </x:c>
      <x:c r="H185" s="10" t="str">
        <x:v>Tier 1</x:v>
      </x:c>
      <x:c r="I185" s="10" t="str">
        <x:v>direct</x:v>
      </x:c>
      <x:c r="J185" s="10" t="str">
        <x:v>EU; europe</x:v>
      </x:c>
      <x:c r="K185" s="10" t="str">
        <x:v>horizon europe; semiconductor + innovation</x:v>
      </x:c>
      <x:c r="L185" s="10" t="str">
        <x:v>geopolit; economic security; de-risk; strategic dependencies; economic coercion</x:v>
      </x:c>
      <x:c r="M185" s="10" t="str">
        <x:v>By Rebecca Arcesati EU-China innovation relations have turned more difficult in recent years.</x:v>
      </x:c>
      <x:c r="N185" s="10" t="str">
        <x:v>Direct EU relevance (EU, europe); R&amp;I evidence: horizon europe, semiconductor + innovation; strategic evidence: geopolit, economic security; bridge: sentence.</x:v>
      </x:c>
      <x:c r="O185" s="10" t="str">
        <x:v>rules-D</x:v>
      </x:c>
      <x:c r="P185" s="10" t="str"/>
      <x:c r="Q185" s="10" t="str"/>
      <x:c r="R185" s="10" t="str">
        <x:v>2026-08-27T18:34Z</x:v>
      </x:c>
      <x:c r="S185" s="10" t="str">
        <x:v>https://merics.org/en/report/eu-shepherded-brussels-europe-awakens-chinese-technology</x:v>
      </x:c>
    </x:row>
    <x:row r="186">
      <x:c r="A186" s="10" t="n">
        <x:f>'Ranked sources'!B186</x:f>
        <x:v>86</x:v>
      </x:c>
      <x:c r="B186" s="10" t="str">
        <x:v>Germany: From mutual benefit to existential competition with China</x:v>
      </x:c>
      <x:c r="C186" s="10" t="str">
        <x:v>2026-06-30</x:v>
      </x:c>
      <x:c r="D186" s="10" t="str">
        <x:v>A</x:v>
      </x:c>
      <x:c r="E186" s="10" t="str">
        <x:v>MERICS</x:v>
      </x:c>
      <x:c r="F186" s="10" t="str">
        <x:v>MERICS</x:v>
      </x:c>
      <x:c r="G186" s="10" t="str">
        <x:v>research/policy paper</x:v>
      </x:c>
      <x:c r="H186" s="10" t="str">
        <x:v>Tier 1</x:v>
      </x:c>
      <x:c r="I186" s="10" t="str">
        <x:v>direct</x:v>
      </x:c>
      <x:c r="J186" s="10" t="str">
        <x:v>germany</x:v>
      </x:c>
      <x:c r="K186" s="10" t="str">
        <x:v>research security; research collaboration; r&amp;d</x:v>
      </x:c>
      <x:c r="L186" s="10" t="str">
        <x:v>geoeconomic; economic security; de-risk; research security</x:v>
      </x:c>
      <x:c r="M186" s="10" t="str">
        <x:v>After decades of highly lucrative technology cooperation with China, Germany finds itself in an existential crisis.</x:v>
      </x:c>
      <x:c r="N186" s="10" t="str">
        <x:v>Direct EU relevance (germany); R&amp;I evidence: research security, research collaboration; strategic evidence: geoeconomic, economic security; bridge: sentence.</x:v>
      </x:c>
      <x:c r="O186" s="10" t="str">
        <x:v>knowledge-B</x:v>
      </x:c>
      <x:c r="P186" s="10" t="str"/>
      <x:c r="Q186" s="10" t="str"/>
      <x:c r="R186" s="10" t="str">
        <x:v>2026-08-29T11:09Z</x:v>
      </x:c>
      <x:c r="S186" s="10" t="str">
        <x:v>https://merics.org/en/report/germany-mutual-benefit-existential-competition-china</x:v>
      </x:c>
    </x:row>
    <x:row r="187">
      <x:c r="A187" s="10" t="n">
        <x:f>'Ranked sources'!B187</x:f>
        <x:v>86</x:v>
      </x:c>
      <x:c r="B187" s="10" t="str">
        <x:v>Ireland: Interlocking factors shape the approach to China in science-tech innovation</x:v>
      </x:c>
      <x:c r="C187" s="10" t="str">
        <x:v>2026-06-30</x:v>
      </x:c>
      <x:c r="D187" s="10" t="str">
        <x:v>A</x:v>
      </x:c>
      <x:c r="E187" s="10" t="str">
        <x:v>MERICS</x:v>
      </x:c>
      <x:c r="F187" s="10" t="str">
        <x:v>MERICS</x:v>
      </x:c>
      <x:c r="G187" s="10" t="str">
        <x:v>research/policy paper</x:v>
      </x:c>
      <x:c r="H187" s="10" t="str">
        <x:v>Tier 1</x:v>
      </x:c>
      <x:c r="I187" s="10" t="str">
        <x:v>direct</x:v>
      </x:c>
      <x:c r="J187" s="10" t="str">
        <x:v>ireland</x:v>
      </x:c>
      <x:c r="K187" s="10" t="str">
        <x:v>r&amp;d; artificial intelligence + science; ai + science; ai + commercialisation; biotech + research</x:v>
      </x:c>
      <x:c r="L187" s="10" t="str">
        <x:v>geopolit; us-china; us–china</x:v>
      </x:c>
      <x:c r="M187" s="10" t="str">
        <x:v>US–China tensions and US uncertainty are narrowing Ireland's room for science-tech cooperation with China.</x:v>
      </x:c>
      <x:c r="N187" s="10" t="str">
        <x:v>Direct EU relevance (ireland); R&amp;I evidence: r&amp;d, artificial intelligence + science; strategic evidence: geopolit, us-china; bridge: title/abstract.</x:v>
      </x:c>
      <x:c r="O187" s="10" t="str"/>
      <x:c r="P187" s="10" t="str"/>
      <x:c r="Q187" s="10" t="str"/>
      <x:c r="R187" s="10" t="str">
        <x:v>2026-08-27T18:34Z</x:v>
      </x:c>
      <x:c r="S187" s="10" t="str">
        <x:v>https://merics.org/en/report/ireland-interlocking-factors-shape-approach-china-science-tech-innovation</x:v>
      </x:c>
    </x:row>
    <x:row r="188">
      <x:c r="A188" s="10" t="n">
        <x:f>'Ranked sources'!B188</x:f>
        <x:v>86</x:v>
      </x:c>
      <x:c r="B188" s="10" t="str">
        <x:v>The Fifth Freedom in the European Research Area – Short Report - ECAS</x:v>
      </x:c>
      <x:c r="C188" s="10" t="str">
        <x:v>2026-06-11</x:v>
      </x:c>
      <x:c r="D188" s="10" t="str">
        <x:v>A</x:v>
      </x:c>
      <x:c r="E188" s="10" t="str">
        <x:v>European Citizen Action Service</x:v>
      </x:c>
      <x:c r="F188" s="10" t="str">
        <x:v>European Citizen Action Service</x:v>
      </x:c>
      <x:c r="G188" s="10" t="str">
        <x:v>research/policy paper</x:v>
      </x:c>
      <x:c r="H188" s="10" t="str">
        <x:v>Tier 2</x:v>
      </x:c>
      <x:c r="I188" s="10" t="str">
        <x:v>direct</x:v>
      </x:c>
      <x:c r="J188" s="10" t="str">
        <x:v>european research area; europe; european</x:v>
      </x:c>
      <x:c r="K188" s="10" t="str">
        <x:v>research and innovation; research funding; fp10; european research area; r&amp;d</x:v>
      </x:c>
      <x:c r="L188" s="10" t="str"/>
      <x:c r="M188" s="10" t="str">
        <x:v>The Fifth Freedom in the European Research Area – Short Report - ECAS. .</x:v>
      </x:c>
      <x:c r="N188" s="10" t="str">
        <x:v>Direct EU relevance (european research area, europe); R&amp;I evidence: research and innovation, research funding; strategic evidence: substantive strategic evidence; bridge: title/abstract.</x:v>
      </x:c>
      <x:c r="O188" s="10" t="str">
        <x:v>knowledge-A</x:v>
      </x:c>
      <x:c r="P188" s="10" t="str"/>
      <x:c r="Q188" s="10" t="str"/>
      <x:c r="R188" s="10" t="str">
        <x:v>2026-08-28T20:50Z</x:v>
      </x:c>
      <x:c r="S188" s="10" t="str">
        <x:v>https://ecas.org/wp-content/uploads/2026/06/The-Fifth-Freedom-in-the-European-Research-Area-Short-Report.pdf</x:v>
      </x:c>
    </x:row>
    <x:row r="189">
      <x:c r="A189" s="10" t="n">
        <x:f>'Ranked sources'!B189</x:f>
        <x:v>86</x:v>
      </x:c>
      <x:c r="B189" s="10" t="str">
        <x:v>How can citizen participation truly include those most affected by inequality? - ECAS</x:v>
      </x:c>
      <x:c r="C189" s="10" t="str">
        <x:v>2026-06-08</x:v>
      </x:c>
      <x:c r="D189" s="10" t="str">
        <x:v>A</x:v>
      </x:c>
      <x:c r="E189" s="10" t="str">
        <x:v>European Citizen Action Service</x:v>
      </x:c>
      <x:c r="F189" s="10" t="str">
        <x:v>European Citizen Action Service</x:v>
      </x:c>
      <x:c r="G189" s="10" t="str">
        <x:v>research/policy paper</x:v>
      </x:c>
      <x:c r="H189" s="10" t="str">
        <x:v>Tier 2</x:v>
      </x:c>
      <x:c r="I189" s="10" t="str">
        <x:v>direct</x:v>
      </x:c>
      <x:c r="J189" s="10" t="str">
        <x:v>european commission; horizon europe; european union; member state</x:v>
      </x:c>
      <x:c r="K189" s="10" t="str">
        <x:v>horizon europe</x:v>
      </x:c>
      <x:c r="L189" s="10" t="str"/>
      <x:c r="M189" s="10" t="str">
        <x:v>How can citizen participation truly include those most affected by inequality? - ECAS.</x:v>
      </x:c>
      <x:c r="N189" s="10" t="str">
        <x:v>Direct European/EU relevance (european commission, horizon europe); R&amp;I evidence: horizon europe; strategic significance is not explicit in the source and should be assessed as a possible longer-run implication.</x:v>
      </x:c>
      <x:c r="O189" s="10" t="str"/>
      <x:c r="P189" s="10" t="str"/>
      <x:c r="Q189" s="10" t="str"/>
      <x:c r="R189" s="10" t="str">
        <x:v>2026-09-01T15:59Z</x:v>
      </x:c>
      <x:c r="S189" s="10" t="str">
        <x:v>https://ecas.org/wp-content/uploads/2026/06/Policy-brief_Integrating-intersectionality-in-citizen-participation_5-June-2026.pdf</x:v>
      </x:c>
    </x:row>
    <x:row r="190">
      <x:c r="A190" s="10" t="n">
        <x:f>'Ranked sources'!B190</x:f>
        <x:v>86</x:v>
      </x:c>
      <x:c r="B190" s="10" t="str">
        <x:v>After the Draghi Report: The Role of Central Europe in Strengthening EU Competitiveness</x:v>
      </x:c>
      <x:c r="C190" s="10" t="str">
        <x:v>2026-05-07</x:v>
      </x:c>
      <x:c r="D190" s="10" t="str">
        <x:v>A</x:v>
      </x:c>
      <x:c r="E190" s="10" t="str">
        <x:v>EUROPEUM Institute for European Policy</x:v>
      </x:c>
      <x:c r="F190" s="10" t="str">
        <x:v>EUROPEUM Institute for European Policy</x:v>
      </x:c>
      <x:c r="G190" s="10" t="str">
        <x:v>manual-verified scholarly/policy source</x:v>
      </x:c>
      <x:c r="H190" s="10" t="str">
        <x:v>Tier 2 comparable</x:v>
      </x:c>
      <x:c r="I190" s="10" t="str">
        <x:v>direct</x:v>
      </x:c>
      <x:c r="J190" s="10" t="str"/>
      <x:c r="K190" s="10" t="str"/>
      <x:c r="L190" s="10" t="str"/>
      <x:c r="M190" s="10" t="str">
        <x:v>After the Draghi Report: The Role of Central Europe in Strengthening EU Competitiveness.</x:v>
      </x:c>
      <x:c r="N190" s="10" t="str">
        <x:v>Direct EU/European relevance verified in the underlying source; substantive R&amp;I mechanism and geopolitical/economic-security bridge verified by manual source review.</x:v>
      </x:c>
      <x:c r="O190" s="10" t="str">
        <x:v>conversion-A</x:v>
      </x:c>
      <x:c r="P190" s="10" t="str"/>
      <x:c r="Q190" s="10" t="str">
        <x:v>manual</x:v>
      </x:c>
      <x:c r="R190" s="10" t="n">
        <x:v>46261.277083333334</x:v>
      </x:c>
      <x:c r="S190" s="10" t="str">
        <x:v>https://www.europeum.org/en/articles-and-publications/report-after-the-draghi-report-the-role-of-central-europe-in-strengthening-eu-competitiveness/</x:v>
      </x:c>
    </x:row>
    <x:row r="191">
      <x:c r="A191" s="10" t="n">
        <x:f>'Ranked sources'!B191</x:f>
        <x:v>84</x:v>
      </x:c>
      <x:c r="B191" s="10" t="str">
        <x:v>Collaborating for Affordable Patient Access to Medicines: Review of the First Decade of the Beneluxa Initiative in Pharmaceutical Policy</x:v>
      </x:c>
      <x:c r="C191" s="10" t="str">
        <x:v>2026-07-25</x:v>
      </x:c>
      <x:c r="D191" s="10" t="str">
        <x:v>B</x:v>
      </x:c>
      <x:c r="E191" s="10" t="str">
        <x:v>Applied Health Economics and Health Policy</x:v>
      </x:c>
      <x:c r="F191" s="10" t="str">
        <x:v>Sabine Vogler, Verena Knoll, Anja Sonemann, Annemie Quanten, Róisín Adams, Tim de Jager, Marc Van de Casteele, L. Timmers</x:v>
      </x:c>
      <x:c r="G191" s="10" t="str">
        <x:v>peer-reviewed article</x:v>
      </x:c>
      <x:c r="H191" s="10" t="str">
        <x:v>Tier 2 broad journal</x:v>
      </x:c>
      <x:c r="I191" s="10" t="str">
        <x:v>derived</x:v>
      </x:c>
      <x:c r="J191" s="10" t="str"/>
      <x:c r="K191" s="10" t="str"/>
      <x:c r="L191" s="10" t="str"/>
      <x:c r="M191" s="10" t="str">
        <x:v>And the Netherlands) and had ten years of experience in several joint collaborative activities.</x:v>
      </x:c>
      <x:c r="N191" s="10" t="str">
        <x:v>Method contribution for understanding the future of Strand A (horizon scanning); suitable context: technology, policy.</x:v>
      </x:c>
      <x:c r="O191" s="10" t="str"/>
      <x:c r="P191" s="10" t="str"/>
      <x:c r="Q191" s="10" t="str"/>
      <x:c r="R191" s="10" t="str">
        <x:v>2026-08-23T21:11Z</x:v>
      </x:c>
      <x:c r="S191" s="10" t="str">
        <x:v>https://doi.org/10.1007/s40258-026-01057-z</x:v>
      </x:c>
    </x:row>
    <x:row r="192">
      <x:c r="A192" s="10" t="n">
        <x:f>'Ranked sources'!B192</x:f>
        <x:v>84</x:v>
      </x:c>
      <x:c r="B192" s="10" t="str">
        <x:v>Scenario Planning and Organizational Sustainability: A Literature Review and Conceptual Model</x:v>
      </x:c>
      <x:c r="C192" s="10" t="str">
        <x:v>2026-07-08</x:v>
      </x:c>
      <x:c r="D192" s="10" t="str">
        <x:v>B</x:v>
      </x:c>
      <x:c r="E192" s="10" t="str">
        <x:v>Business Strategy and the Environment</x:v>
      </x:c>
      <x:c r="F192" s="10" t="str">
        <x:v>Shiny Mathew, Anshu Rani</x:v>
      </x:c>
      <x:c r="G192" s="10" t="str">
        <x:v>peer-reviewed article</x:v>
      </x:c>
      <x:c r="H192" s="10" t="str">
        <x:v>Tier 2 broad journal</x:v>
      </x:c>
      <x:c r="I192" s="10" t="str">
        <x:v>derived</x:v>
      </x:c>
      <x:c r="J192" s="10" t="str"/>
      <x:c r="K192" s="10" t="str"/>
      <x:c r="L192" s="10" t="str"/>
      <x:c r="M192" s="10" t="str">
        <x:v>Scenario Planning and Organizational Sustainability: A Literature Review and Conceptual Model.</x:v>
      </x:c>
      <x:c r="N192" s="10" t="str">
        <x:v>Method contribution for understanding the future of Strand A (scenario planning); suitable context: research, uncertainty.</x:v>
      </x:c>
      <x:c r="O192" s="10" t="str"/>
      <x:c r="P192" s="10" t="str"/>
      <x:c r="Q192" s="10" t="str"/>
      <x:c r="R192" s="10" t="str">
        <x:v>2026-08-23T21:11Z</x:v>
      </x:c>
      <x:c r="S192" s="10" t="str">
        <x:v>https://doi.org/10.1002/bse.71191</x:v>
      </x:c>
    </x:row>
    <x:row r="193">
      <x:c r="A193" s="10" t="n">
        <x:f>'Ranked sources'!B193</x:f>
        <x:v>84</x:v>
      </x:c>
      <x:c r="B193" s="10" t="str">
        <x:v>Stochastic resonance: advanced theories, novel methodologies, and cutting-edge applications in weak signal detection</x:v>
      </x:c>
      <x:c r="C193" s="10" t="str">
        <x:v>2026-07-01</x:v>
      </x:c>
      <x:c r="D193" s="10" t="str">
        <x:v>B</x:v>
      </x:c>
      <x:c r="E193" s="10" t="str">
        <x:v>Nonlinear Dynamics</x:v>
      </x:c>
      <x:c r="F193" s="10" t="str">
        <x:v>Xiaoxiao Huang, Gang Zhang, Lianbing Xu, Lin He</x:v>
      </x:c>
      <x:c r="G193" s="10" t="str">
        <x:v>peer-reviewed article</x:v>
      </x:c>
      <x:c r="H193" s="10" t="str">
        <x:v>Tier 2 broad journal</x:v>
      </x:c>
      <x:c r="I193" s="10" t="str">
        <x:v>derived</x:v>
      </x:c>
      <x:c r="J193" s="10" t="str"/>
      <x:c r="K193" s="10" t="str"/>
      <x:c r="L193" s="10" t="str"/>
      <x:c r="M193" s="10" t="str">
        <x:v>Stochastic resonance methods are advanced for weak-signal detection.</x:v>
      </x:c>
      <x:c r="N193" s="10" t="str">
        <x:v>Method contribution for understanding the future of Strand A (weak signal detection); suitable context: strategic/public-policy futures.</x:v>
      </x:c>
      <x:c r="O193" s="10" t="str"/>
      <x:c r="P193" s="10" t="str"/>
      <x:c r="Q193" s="10" t="str"/>
      <x:c r="R193" s="10" t="str">
        <x:v>2026-08-23T18:12Z</x:v>
      </x:c>
      <x:c r="S193" s="10" t="str">
        <x:v>https://doi.org/10.1007/s11071-026-12746-8</x:v>
      </x:c>
    </x:row>
    <x:row r="194">
      <x:c r="A194" s="10" t="n">
        <x:f>'Ranked sources'!B194</x:f>
        <x:v>84</x:v>
      </x:c>
      <x:c r="B194" s="10" t="str">
        <x:v>Horizon Scanning for Medical Technologies: Methodological Framework Development Study of the Medical Innovation Scanning Techniques (MIST) Framework</x:v>
      </x:c>
      <x:c r="C194" s="10" t="str">
        <x:v>2026-05-21</x:v>
      </x:c>
      <x:c r="D194" s="10" t="str">
        <x:v>B</x:v>
      </x:c>
      <x:c r="E194" s="10" t="str">
        <x:v>Journal of Medical Internet Research</x:v>
      </x:c>
      <x:c r="F194" s="10" t="str">
        <x:v>Sonia Garcia Gonzalez-Moral, Andrew Mkwashi, Fiona R Beyer, Dawn Craig</x:v>
      </x:c>
      <x:c r="G194" s="10" t="str">
        <x:v>peer-reviewed article</x:v>
      </x:c>
      <x:c r="H194" s="10" t="str">
        <x:v>Tier 2 broad journal</x:v>
      </x:c>
      <x:c r="I194" s="10" t="str">
        <x:v>derived</x:v>
      </x:c>
      <x:c r="J194" s="10" t="str"/>
      <x:c r="K194" s="10" t="str"/>
      <x:c r="L194" s="10" t="str"/>
      <x:c r="M194" s="10" t="str">
        <x:v>And the MedTech innovation pathway, enabling systematic weak signal detection across 3 time horizons.</x:v>
      </x:c>
      <x:c r="N194" s="10" t="str">
        <x:v>Method contribution for understanding the future of Strand A (strategic foresight, foresight method); suitable context: research, innovation.</x:v>
      </x:c>
      <x:c r="O194" s="10" t="str"/>
      <x:c r="P194" s="10" t="str"/>
      <x:c r="Q194" s="10" t="str"/>
      <x:c r="R194" s="10" t="str">
        <x:v>2026-08-23T11:30Z</x:v>
      </x:c>
      <x:c r="S194" s="10" t="str">
        <x:v>https://doi.org/10.2196/93166</x:v>
      </x:c>
    </x:row>
    <x:row r="195">
      <x:c r="A195" s="10" t="n">
        <x:f>'Ranked sources'!B195</x:f>
        <x:v>84</x:v>
      </x:c>
      <x:c r="B195" s="10" t="str">
        <x:v>Designing strategic scenarios for the digital transition</x:v>
      </x:c>
      <x:c r="C195" s="10" t="str">
        <x:v>2026-05-14</x:v>
      </x:c>
      <x:c r="D195" s="10" t="str">
        <x:v>B</x:v>
      </x:c>
      <x:c r="E195" s="10" t="str">
        <x:v>Scientific Reports</x:v>
      </x:c>
      <x:c r="F195" s="10" t="str">
        <x:v>Vítor Alcácer, Alexandra Tenera, Francisco Araujo, Helena Carvalho, Virgílio Cruz-Machado</x:v>
      </x:c>
      <x:c r="G195" s="10" t="str">
        <x:v>peer-reviewed article</x:v>
      </x:c>
      <x:c r="H195" s="10" t="str">
        <x:v>Tier 2 broad journal</x:v>
      </x:c>
      <x:c r="I195" s="10" t="str">
        <x:v>derived</x:v>
      </x:c>
      <x:c r="J195" s="10" t="str"/>
      <x:c r="K195" s="10" t="str"/>
      <x:c r="L195" s="10" t="str"/>
      <x:c r="M195" s="10" t="str">
        <x:v>Strategic scenarios support decision-making under uncertainty.</x:v>
      </x:c>
      <x:c r="N195" s="10" t="str">
        <x:v>Method contribution for understanding the future of Strand A (scenario planning, scenario development); suitable context: research, science.</x:v>
      </x:c>
      <x:c r="O195" s="10" t="str"/>
      <x:c r="P195" s="10" t="str"/>
      <x:c r="Q195" s="10" t="str"/>
      <x:c r="R195" s="10" t="str">
        <x:v>2026-08-23T10:57Z</x:v>
      </x:c>
      <x:c r="S195" s="10" t="str">
        <x:v>https://doi.org/10.1038/s41598-026-52549-w</x:v>
      </x:c>
    </x:row>
    <x:row r="196">
      <x:c r="A196" s="10" t="n">
        <x:f>'Ranked sources'!B196</x:f>
        <x:v>83</x:v>
      </x:c>
      <x:c r="B196" s="10" t="str">
        <x:v>China’s dual circulation strategy and its impact on European industry: the case of the electric vehicle</x:v>
      </x:c>
      <x:c r="C196" s="10" t="str">
        <x:v>2026-08-26</x:v>
      </x:c>
      <x:c r="D196" s="10" t="str">
        <x:v>A</x:v>
      </x:c>
      <x:c r="E196" s="10" t="str">
        <x:v>Asia Europe Journal</x:v>
      </x:c>
      <x:c r="F196" s="10" t="str">
        <x:v>Miguel Otero‐Iglesias, Federico Steinberg, Agustín González-Agote</x:v>
      </x:c>
      <x:c r="G196" s="10" t="str">
        <x:v>peer-reviewed article</x:v>
      </x:c>
      <x:c r="H196" s="10" t="str">
        <x:v>Tier 2 broad journal</x:v>
      </x:c>
      <x:c r="I196" s="10" t="str">
        <x:v>direct</x:v>
      </x:c>
      <x:c r="J196" s="10" t="str"/>
      <x:c r="K196" s="10" t="str"/>
      <x:c r="L196" s="10" t="str"/>
      <x:c r="M196" s="10" t="str">
        <x:v>China's dual-circulation strategy is increasing competitive pressure on Europe's EV industry.</x:v>
      </x:c>
      <x:c r="N196" s="10" t="str">
        <x:v>Direct EU relevance (europe, european); R&amp;I evidence: technology transfer; strategic evidence: geopolit, economic security; bridge: title/abstract.</x:v>
      </x:c>
      <x:c r="O196" s="10" t="str"/>
      <x:c r="P196" s="10" t="str"/>
      <x:c r="Q196" s="10" t="str"/>
      <x:c r="R196" s="10" t="str">
        <x:v>2026-08-27T17:46Z</x:v>
      </x:c>
      <x:c r="S196" s="10" t="str">
        <x:v>https://doi.org/10.1007/s10308-026-00785-0</x:v>
      </x:c>
    </x:row>
    <x:row r="197">
      <x:c r="A197" s="10" t="n">
        <x:f>'Ranked sources'!B197</x:f>
        <x:v>83</x:v>
      </x:c>
      <x:c r="B197" s="10" t="str">
        <x:v>Hybrid foresight: integrating artificial intelligence and expert judgement to address strategic challenges in UK Forest resilience</x:v>
      </x:c>
      <x:c r="C197" s="10" t="str">
        <x:v>2026-08-26</x:v>
      </x:c>
      <x:c r="D197" s="10" t="str">
        <x:v>B</x:v>
      </x:c>
      <x:c r="E197" s="10" t="str">
        <x:v>Forestry: An International Journal of Forest Research</x:v>
      </x:c>
      <x:c r="F197" s="10" t="str">
        <x:v>Gabriel Hemery, Gillian Petrokofsky</x:v>
      </x:c>
      <x:c r="G197" s="10" t="str">
        <x:v>peer-reviewed article</x:v>
      </x:c>
      <x:c r="H197" s="10" t="str">
        <x:v>Tier 2 trusted-publisher journal</x:v>
      </x:c>
      <x:c r="I197" s="10" t="str">
        <x:v>direct</x:v>
      </x:c>
      <x:c r="J197" s="10" t="str">
        <x:v>europe</x:v>
      </x:c>
      <x:c r="K197" s="10" t="str">
        <x:v>research and innovation; ai + research</x:v>
      </x:c>
      <x:c r="L197" s="10" t="str"/>
      <x:c r="M197" s="10" t="str">
        <x:v>Hybrid foresight: integrating AI and expert judgement to address strategic challenges in UK Forest resilience.</x:v>
      </x:c>
      <x:c r="N197" s="10" t="str">
        <x:v>Method contribution for understanding the future of Strand A (horizon scanning); suitable context: research, innovation.</x:v>
      </x:c>
      <x:c r="O197" s="10" t="str"/>
      <x:c r="P197" s="10" t="str"/>
      <x:c r="Q197" s="10" t="str"/>
      <x:c r="R197" s="10" t="str">
        <x:v>2026-08-27T10:32Z</x:v>
      </x:c>
      <x:c r="S197" s="10" t="str">
        <x:v>https://doi.org/10.1093/forestry/cpag066</x:v>
      </x:c>
    </x:row>
    <x:row r="198">
      <x:c r="A198" s="10" t="n">
        <x:f>'Ranked sources'!B198</x:f>
        <x:v>83</x:v>
      </x:c>
      <x:c r="B198" s="10" t="str">
        <x:v>A Copernican revolution? Geopolitical tensions, Polish universities and the (dis)continuities of neo-nationalism</x:v>
      </x:c>
      <x:c r="C198" s="10" t="str">
        <x:v>2026-08-16</x:v>
      </x:c>
      <x:c r="D198" s="10" t="str">
        <x:v>A</x:v>
      </x:c>
      <x:c r="E198" s="10" t="str">
        <x:v>Education Inquiry</x:v>
      </x:c>
      <x:c r="F198" s="10" t="str">
        <x:v>Rasmus Harsbo</x:v>
      </x:c>
      <x:c r="G198" s="10" t="str">
        <x:v>peer-reviewed article</x:v>
      </x:c>
      <x:c r="H198" s="10" t="str">
        <x:v>Tier 2 broad journal</x:v>
      </x:c>
      <x:c r="I198" s="10" t="str">
        <x:v>direct</x:v>
      </x:c>
      <x:c r="J198" s="10" t="str"/>
      <x:c r="K198" s="10" t="str"/>
      <x:c r="L198" s="10" t="str"/>
      <x:c r="M198" s="10" t="str">
        <x:v>Polish research policy has been pulled into geopolitical and neo-nationalist projects.</x:v>
      </x:c>
      <x:c r="N198" s="10" t="str">
        <x:v>Direct EU relevance (polish); R&amp;I evidence: research policy; strategic evidence: geopolit; bridge: title/abstract.</x:v>
      </x:c>
      <x:c r="O198" s="10" t="str"/>
      <x:c r="P198" s="10" t="str"/>
      <x:c r="Q198" s="10" t="str"/>
      <x:c r="R198" s="10" t="str">
        <x:v>2026-08-20T06:55Z</x:v>
      </x:c>
      <x:c r="S198" s="10" t="str">
        <x:v>https://doi.org/10.1080/20004508.2026.2716435</x:v>
      </x:c>
    </x:row>
    <x:row r="199">
      <x:c r="A199" s="10" t="n">
        <x:f>'Ranked sources'!B199</x:f>
        <x:v>83</x:v>
      </x:c>
      <x:c r="B199" s="10" t="str">
        <x:v>Bi-national academic funding and collaboration dynamics: the case of the German-Israeli foundation</x:v>
      </x:c>
      <x:c r="C199" s="10" t="str">
        <x:v>2026-08-14</x:v>
      </x:c>
      <x:c r="D199" s="10" t="str">
        <x:v>A</x:v>
      </x:c>
      <x:c r="E199" s="10" t="str">
        <x:v>Scientometrics</x:v>
      </x:c>
      <x:c r="F199" s="10" t="str">
        <x:v>Amit Bengiat, Teddy Lazebnik, Philipp Mayr, Ariel Rosenfeld</x:v>
      </x:c>
      <x:c r="G199" s="10" t="str">
        <x:v>peer-reviewed article</x:v>
      </x:c>
      <x:c r="H199" s="10" t="str">
        <x:v>Tier 2 comparable</x:v>
      </x:c>
      <x:c r="I199" s="10" t="str">
        <x:v>direct</x:v>
      </x:c>
      <x:c r="J199" s="10" t="str">
        <x:v>german</x:v>
      </x:c>
      <x:c r="K199" s="10" t="str">
        <x:v>research collaboration</x:v>
      </x:c>
      <x:c r="L199" s="10" t="str"/>
      <x:c r="M199" s="10" t="str">
        <x:v>Bi-national academic funding and collaboration dynamics: the case of the German-Israeli foundation.</x:v>
      </x:c>
      <x:c r="N199" s="10" t="str">
        <x:v>Direct European/EU relevance (german); R&amp;I evidence: research collaboration; strategic significance is not explicit in the source and should be assessed as a possible longer-run implication.</x:v>
      </x:c>
      <x:c r="O199" s="10" t="str">
        <x:v>knowledge-C</x:v>
      </x:c>
      <x:c r="P199" s="10" t="str"/>
      <x:c r="Q199" s="10" t="str"/>
      <x:c r="R199" s="10" t="str">
        <x:v>2026-09-01T09:39Z</x:v>
      </x:c>
      <x:c r="S199" s="10" t="str">
        <x:v>https://doi.org/10.1007/s11192-026-05769-w</x:v>
      </x:c>
    </x:row>
    <x:row r="200">
      <x:c r="A200" s="10" t="n">
        <x:f>'Ranked sources'!B200</x:f>
        <x:v>83</x:v>
      </x:c>
      <x:c r="B200" s="10" t="str">
        <x:v>Smart Innovations and Sustainability in EU Waste Material Trading: Evidence of Quantile Decomposition in EU Circular Economy Transitions</x:v>
      </x:c>
      <x:c r="C200" s="10" t="str">
        <x:v>2026-08-12</x:v>
      </x:c>
      <x:c r="D200" s="10" t="str">
        <x:v>A</x:v>
      </x:c>
      <x:c r="E200" s="10" t="str">
        <x:v>Circular Economy and Sustainability</x:v>
      </x:c>
      <x:c r="F200" s="10" t="str">
        <x:v>Eszter Lukács, Peter Németh, Md. Rashed, Mohammad Fakhrul Islam</x:v>
      </x:c>
      <x:c r="G200" s="10" t="str">
        <x:v>peer-reviewed article</x:v>
      </x:c>
      <x:c r="H200" s="10" t="str">
        <x:v>Tier 2 broad journal</x:v>
      </x:c>
      <x:c r="I200" s="10" t="str">
        <x:v>direct</x:v>
      </x:c>
      <x:c r="J200" s="10" t="str"/>
      <x:c r="K200" s="10" t="str"/>
      <x:c r="L200" s="10" t="str"/>
      <x:c r="M200" s="10" t="str">
        <x:v>EU waste-trade evidence links stronger R&amp;D intensity to better circular-economy performance.</x:v>
      </x:c>
      <x:c r="N200" s="10" t="str">
        <x:v>Direct EU relevance (EU); R&amp;I evidence: r&amp;d, technological capabilities; strategic evidence: substantive strategic evidence; bridge: title/abstract.</x:v>
      </x:c>
      <x:c r="O200" s="10" t="str">
        <x:v>conversion-A</x:v>
      </x:c>
      <x:c r="P200" s="10" t="str"/>
      <x:c r="Q200" s="10" t="str"/>
      <x:c r="R200" s="10" t="str">
        <x:v>2026-08-23T18:51Z</x:v>
      </x:c>
      <x:c r="S200" s="10" t="str">
        <x:v>https://doi.org/10.1007/s43615-026-01115-7</x:v>
      </x:c>
    </x:row>
    <x:row r="201">
      <x:c r="A201" s="10" t="n">
        <x:f>'Ranked sources'!B201</x:f>
        <x:v>83</x:v>
      </x:c>
      <x:c r="B201" s="10" t="str">
        <x:v>Mission‐Led and Place‐Based Policy Outcomes in European Regions</x:v>
      </x:c>
      <x:c r="C201" s="10" t="str">
        <x:v>2026-08-09</x:v>
      </x:c>
      <x:c r="D201" s="10" t="str">
        <x:v>A</x:v>
      </x:c>
      <x:c r="E201" s="10" t="str">
        <x:v>JCMS: Journal of Common Market Studies</x:v>
      </x:c>
      <x:c r="F201" s="10" t="str">
        <x:v>Pablo Casas, Tryfonas Christou, Abián García‐Rodríguez, Nicholas Joseph Lazarou, Patrizio Lecca, Philippe Monfort, Simone Salotti</x:v>
      </x:c>
      <x:c r="G201" s="10" t="str">
        <x:v>peer-reviewed article</x:v>
      </x:c>
      <x:c r="H201" s="10" t="str">
        <x:v>Tier 2 comparable</x:v>
      </x:c>
      <x:c r="I201" s="10" t="str">
        <x:v>direct</x:v>
      </x:c>
      <x:c r="J201" s="10" t="str">
        <x:v>europe; european</x:v>
      </x:c>
      <x:c r="K201" s="10" t="str">
        <x:v>research and innovation</x:v>
      </x:c>
      <x:c r="L201" s="10" t="str"/>
      <x:c r="M201" s="10" t="str">
        <x:v>which directs investment towards less developed regions to reduce territorial disparities.</x:v>
      </x:c>
      <x:c r="N201" s="10" t="str">
        <x:v>Direct European/EU relevance (europe, european); R&amp;I evidence: research and innovation; strategic significance is not explicit in the source and should be assessed as a possible longer-run implication.</x:v>
      </x:c>
      <x:c r="O201" s="10" t="str">
        <x:v>conversion-A</x:v>
      </x:c>
      <x:c r="P201" s="10" t="str"/>
      <x:c r="Q201" s="10" t="str"/>
      <x:c r="R201" s="10" t="str">
        <x:v>2026-09-01T09:39Z</x:v>
      </x:c>
      <x:c r="S201" s="10" t="str">
        <x:v>https://doi.org/10.1111/jcms.70149</x:v>
      </x:c>
    </x:row>
    <x:row r="202">
      <x:c r="A202" s="10" t="n">
        <x:f>'Ranked sources'!B202</x:f>
        <x:v>83</x:v>
      </x:c>
      <x:c r="B202" s="10" t="str">
        <x:v>Adoption of circular economy innovations: the role of Artificial Intelligence</x:v>
      </x:c>
      <x:c r="C202" s="10" t="str">
        <x:v>2026-08-05</x:v>
      </x:c>
      <x:c r="D202" s="10" t="str">
        <x:v>A</x:v>
      </x:c>
      <x:c r="E202" s="10" t="str">
        <x:v>Industry and Innovation</x:v>
      </x:c>
      <x:c r="F202" s="10" t="str">
        <x:v>Dirk Czarnitzki, Robin Lepers, Maikel Pellens</x:v>
      </x:c>
      <x:c r="G202" s="10" t="str">
        <x:v>peer-reviewed article</x:v>
      </x:c>
      <x:c r="H202" s="10" t="str">
        <x:v>Tier 2 comparable</x:v>
      </x:c>
      <x:c r="I202" s="10" t="str">
        <x:v>direct</x:v>
      </x:c>
      <x:c r="J202" s="10" t="str">
        <x:v>german</x:v>
      </x:c>
      <x:c r="K202" s="10" t="str">
        <x:v>artificial intelligence + innovation</x:v>
      </x:c>
      <x:c r="L202" s="10" t="str"/>
      <x:c r="M202" s="10" t="str">
        <x:v>Adoption of circular economy innovations: the role of AI.</x:v>
      </x:c>
      <x:c r="N202" s="10" t="str">
        <x:v>Direct European/EU relevance (german); R&amp;I evidence: artificial intelligence + innovation; strategic significance is not explicit in the source and should be assessed as a possible longer-run implication.</x:v>
      </x:c>
      <x:c r="O202" s="10" t="str"/>
      <x:c r="P202" s="10" t="str"/>
      <x:c r="Q202" s="10" t="str"/>
      <x:c r="R202" s="10" t="str">
        <x:v>2026-09-02T11:55Z</x:v>
      </x:c>
      <x:c r="S202" s="10" t="str">
        <x:v>https://doi.org/10.1080/13662716.2026.2713753</x:v>
      </x:c>
    </x:row>
    <x:row r="203">
      <x:c r="A203" s="10" t="n">
        <x:f>'Ranked sources'!B203</x:f>
        <x:v>83</x:v>
      </x:c>
      <x:c r="B203" s="10" t="str">
        <x:v>Are we ready to handle PV waste? A review of PV recycling regulations in Europe, the United States, China, and India</x:v>
      </x:c>
      <x:c r="C203" s="10" t="str">
        <x:v>2026-08-05</x:v>
      </x:c>
      <x:c r="D203" s="10" t="str">
        <x:v>A</x:v>
      </x:c>
      <x:c r="E203" s="10" t="str">
        <x:v>Energy Sustainability and Society</x:v>
      </x:c>
      <x:c r="F203" s="10" t="str">
        <x:v>Umer Shahzad, Cristina Irene Mihai, Ian Marius Peters</x:v>
      </x:c>
      <x:c r="G203" s="10" t="str">
        <x:v>peer-reviewed article</x:v>
      </x:c>
      <x:c r="H203" s="10" t="str">
        <x:v>Tier 2 broad journal</x:v>
      </x:c>
      <x:c r="I203" s="10" t="str">
        <x:v>direct</x:v>
      </x:c>
      <x:c r="J203" s="10" t="str"/>
      <x:c r="K203" s="10" t="str"/>
      <x:c r="L203" s="10" t="str"/>
      <x:c r="M203" s="10" t="str">
        <x:v>Europe, the US, China and India need stronger PV recycling capacity and more aligned rules.</x:v>
      </x:c>
      <x:c r="N203" s="10" t="str">
        <x:v>Direct EU relevance (europe); R&amp;I evidence: technological innovation; strategic evidence: substantive strategic evidence; bridge: title/abstract.</x:v>
      </x:c>
      <x:c r="O203" s="10" t="str">
        <x:v>rules-C</x:v>
      </x:c>
      <x:c r="P203" s="10" t="str"/>
      <x:c r="Q203" s="10" t="str"/>
      <x:c r="R203" s="10" t="str">
        <x:v>2026-08-23T19:53Z</x:v>
      </x:c>
      <x:c r="S203" s="10" t="str">
        <x:v>https://doi.org/10.1186/s13705-026-00595-7</x:v>
      </x:c>
    </x:row>
    <x:row r="204">
      <x:c r="A204" s="10" t="n">
        <x:f>'Ranked sources'!B204</x:f>
        <x:v>83</x:v>
      </x:c>
      <x:c r="B204" s="10" t="str">
        <x:v>Sustainable agricultural performance in the European Union in the context of ecological transition, economic fairness, and support policies</x:v>
      </x:c>
      <x:c r="C204" s="10" t="str">
        <x:v>2026-07-31</x:v>
      </x:c>
      <x:c r="D204" s="10" t="str">
        <x:v>A</x:v>
      </x:c>
      <x:c r="E204" s="10" t="str">
        <x:v>Agricultural Economics (Zemědělská ekonomika)</x:v>
      </x:c>
      <x:c r="F204" s="10" t="str">
        <x:v>Valentin Marian Antohi, Jean Vasile Andrei, Costinela Forțea, Dumitru Nancu</x:v>
      </x:c>
      <x:c r="G204" s="10" t="str">
        <x:v>peer-reviewed article</x:v>
      </x:c>
      <x:c r="H204" s="10" t="str">
        <x:v>Tier 2 broad journal</x:v>
      </x:c>
      <x:c r="I204" s="10" t="str">
        <x:v>direct</x:v>
      </x:c>
      <x:c r="J204" s="10" t="str">
        <x:v>european union; europe; european</x:v>
      </x:c>
      <x:c r="K204" s="10" t="str">
        <x:v>research and innovation; research and development</x:v>
      </x:c>
      <x:c r="L204" s="10" t="str"/>
      <x:c r="M204" s="10" t="str">
        <x:v>Sustainable agricultural performance in the EU in the context of ecological transition, economic fairness.</x:v>
      </x:c>
      <x:c r="N204" s="10" t="str">
        <x:v>Direct EU relevance (european union, europe); R&amp;I evidence: research and innovation, research and development; strategic evidence: substantive strategic evidence; bridge: title/abstract.</x:v>
      </x:c>
      <x:c r="O204" s="10" t="str"/>
      <x:c r="P204" s="10" t="str"/>
      <x:c r="Q204" s="10" t="str"/>
      <x:c r="R204" s="10" t="str">
        <x:v>2026-08-28T20:15Z</x:v>
      </x:c>
      <x:c r="S204" s="10" t="str">
        <x:v>https://doi.org/10.17221/329/2025-agricecon</x:v>
      </x:c>
    </x:row>
    <x:row r="205">
      <x:c r="A205" s="10" t="n">
        <x:f>'Ranked sources'!B205</x:f>
        <x:v>83</x:v>
      </x:c>
      <x:c r="B205" s="10" t="str">
        <x:v>Digital infrastructure, innovation capacity, and AI technology adoption in EU manufacturing</x:v>
      </x:c>
      <x:c r="C205" s="10" t="str">
        <x:v>2026-07-29</x:v>
      </x:c>
      <x:c r="D205" s="10" t="str">
        <x:v>A</x:v>
      </x:c>
      <x:c r="E205" s="10" t="str">
        <x:v>Economics of Innovation and New Technology</x:v>
      </x:c>
      <x:c r="F205" s="10" t="str">
        <x:v>Ruxandra Boghian</x:v>
      </x:c>
      <x:c r="G205" s="10" t="str">
        <x:v>peer-reviewed article</x:v>
      </x:c>
      <x:c r="H205" s="10" t="str">
        <x:v>Tier 2 comparable</x:v>
      </x:c>
      <x:c r="I205" s="10" t="str">
        <x:v>direct</x:v>
      </x:c>
      <x:c r="J205" s="10" t="str">
        <x:v>EU</x:v>
      </x:c>
      <x:c r="K205" s="10" t="str">
        <x:v>innovation capacity; ai + innovation; ai + industrial policy</x:v>
      </x:c>
      <x:c r="L205" s="10" t="str"/>
      <x:c r="M205" s="10" t="str">
        <x:v>Digital infrastructure, innovation capacity, and AI technology adoption in EU manufacturing.</x:v>
      </x:c>
      <x:c r="N205" s="10" t="str">
        <x:v>Direct European/EU relevance (EU); R&amp;I evidence: innovation capacity, ai + innovation; strategic significance is not explicit in the source and should be assessed as a possible longer-run implication.</x:v>
      </x:c>
      <x:c r="O205" s="10" t="str">
        <x:v>infrastructure-A</x:v>
      </x:c>
      <x:c r="P205" s="10" t="str"/>
      <x:c r="Q205" s="10" t="str"/>
      <x:c r="R205" s="10" t="str">
        <x:v>2026-09-02T09:06Z</x:v>
      </x:c>
      <x:c r="S205" s="10" t="str">
        <x:v>https://doi.org/10.1080/10438599.2026.2710994</x:v>
      </x:c>
    </x:row>
    <x:row r="206">
      <x:c r="A206" s="10" t="n">
        <x:f>'Ranked sources'!B206</x:f>
        <x:v>83</x:v>
      </x:c>
      <x:c r="B206" s="10" t="str">
        <x:v>Preserving balance in the EU digital single market: How Like Company could reframe copyright and innovation in the generative AI era</x:v>
      </x:c>
      <x:c r="C206" s="10" t="str">
        <x:v>2026-07-27</x:v>
      </x:c>
      <x:c r="D206" s="10" t="str">
        <x:v>A</x:v>
      </x:c>
      <x:c r="E206" s="10" t="str">
        <x:v>The Journal of World Intellectual Property</x:v>
      </x:c>
      <x:c r="F206" s="10" t="str">
        <x:v>Enrico Bonadio, Giancarlo Frosio, Christophe Geiger, Andrés Guadamuz, Stavroula Karapapa, Irini Stamatoudi</x:v>
      </x:c>
      <x:c r="G206" s="10" t="str">
        <x:v>peer-reviewed article</x:v>
      </x:c>
      <x:c r="H206" s="10" t="str">
        <x:v>Tier 2 broad journal</x:v>
      </x:c>
      <x:c r="I206" s="10" t="str">
        <x:v>direct</x:v>
      </x:c>
      <x:c r="J206" s="10" t="str"/>
      <x:c r="K206" s="10" t="str"/>
      <x:c r="L206" s="10" t="str"/>
      <x:c r="M206" s="10" t="str">
        <x:v>Preserving balance in the EU digital single market: How Like Company could reframe copyright and innovation in the generative AI era. Regarding liability, the study concludes that individual users, not platform providers, bear responsibility for outputs generated through their models' learned parameters and retrieval mechanisms. Abstract This study analyses the Court of Justice of the European Union's first referral on generative AI and copyright, that is, Case C‐250/25 Like Company v.</x:v>
      </x:c>
      <x:c r="N206" s="10" t="str">
        <x:v>Direct EU relevance (EU); R&amp;I evidence: ai + innovation; strategic evidence: dual use; bridge: title/abstract.</x:v>
      </x:c>
      <x:c r="O206" s="10" t="str"/>
      <x:c r="P206" s="10" t="str"/>
      <x:c r="Q206" s="10" t="str"/>
      <x:c r="R206" s="10" t="str">
        <x:v>2026-08-23T21:32Z</x:v>
      </x:c>
      <x:c r="S206" s="10" t="str">
        <x:v>https://doi.org/10.1111/jwip.70032</x:v>
      </x:c>
    </x:row>
    <x:row r="207">
      <x:c r="A207" s="10" t="n">
        <x:f>'Ranked sources'!B207</x:f>
        <x:v>83</x:v>
      </x:c>
      <x:c r="B207" s="10" t="str">
        <x:v>From green thesis to green invention: tracing the contribution of PhDs to green technology transfer of german universities</x:v>
      </x:c>
      <x:c r="C207" s="10" t="str">
        <x:v>2026-07-21</x:v>
      </x:c>
      <x:c r="D207" s="10" t="str">
        <x:v>A</x:v>
      </x:c>
      <x:c r="E207" s="10" t="str">
        <x:v>Scientometrics</x:v>
      </x:c>
      <x:c r="F207" s="10" t="str">
        <x:v>Guido Buenstorf, Alana Hindiyeh, Johannes Koenig, Liam Paul Neumann, Burcu Ozgun</x:v>
      </x:c>
      <x:c r="G207" s="10" t="str">
        <x:v>peer-reviewed article</x:v>
      </x:c>
      <x:c r="H207" s="10" t="str">
        <x:v>Tier 2 comparable</x:v>
      </x:c>
      <x:c r="I207" s="10" t="str">
        <x:v>direct</x:v>
      </x:c>
      <x:c r="J207" s="10" t="str">
        <x:v>german</x:v>
      </x:c>
      <x:c r="K207" s="10" t="str">
        <x:v>technology transfer; university research; academic research</x:v>
      </x:c>
      <x:c r="L207" s="10" t="str"/>
      <x:c r="M207" s="10" t="str">
        <x:v>As a driver of innovation, university research plays an important role in the transition to a more sustainable future.</x:v>
      </x:c>
      <x:c r="N207" s="10" t="str">
        <x:v>Direct European/EU relevance (german); R&amp;I evidence: technology transfer, university research; strategic significance is not explicit in the source and should be assessed as a possible longer-run implication.</x:v>
      </x:c>
      <x:c r="O207" s="10" t="str"/>
      <x:c r="P207" s="10" t="str"/>
      <x:c r="Q207" s="10" t="str"/>
      <x:c r="R207" s="10" t="str">
        <x:v>2026-09-01T09:39Z</x:v>
      </x:c>
      <x:c r="S207" s="10" t="str">
        <x:v>https://doi.org/10.1007/s11192-026-05736-5</x:v>
      </x:c>
    </x:row>
    <x:row r="208">
      <x:c r="A208" s="10" t="n">
        <x:f>'Ranked sources'!B208</x:f>
        <x:v>83</x:v>
      </x:c>
      <x:c r="B208" s="10" t="str">
        <x:v>Guatemala scientific and professional diaspora in Spain: an initial characterization</x:v>
      </x:c>
      <x:c r="C208" s="10" t="str">
        <x:v>2026-07-16</x:v>
      </x:c>
      <x:c r="D208" s="10" t="str">
        <x:v>A</x:v>
      </x:c>
      <x:c r="E208" s="10" t="str">
        <x:v>Frontiers in Research Metrics and Analytics</x:v>
      </x:c>
      <x:c r="F208" s="10" t="str">
        <x:v>Kleinsy Bonilla, Claudia S. Romero-Oliva, Susana Arrechea, Juan Manuel Castillo-Zamora, Marie André Destarac</x:v>
      </x:c>
      <x:c r="G208" s="10" t="str">
        <x:v>peer-reviewed article</x:v>
      </x:c>
      <x:c r="H208" s="10" t="str">
        <x:v>Tier 2 broad journal</x:v>
      </x:c>
      <x:c r="I208" s="10" t="str">
        <x:v>direct</x:v>
      </x:c>
      <x:c r="J208" s="10" t="str"/>
      <x:c r="K208" s="10" t="str"/>
      <x:c r="L208" s="10" t="str"/>
      <x:c r="M208" s="10" t="str">
        <x:v>Scientific and professional diasporas can strengthen science, technology.</x:v>
      </x:c>
      <x:c r="N208" s="10" t="str">
        <x:v>Direct EU relevance (spain); R&amp;I evidence: science diplomacy, innovation system; strategic evidence: science diplomacy; bridge: sentence.</x:v>
      </x:c>
      <x:c r="O208" s="10" t="str"/>
      <x:c r="P208" s="10" t="str"/>
      <x:c r="Q208" s="10" t="str"/>
      <x:c r="R208" s="10" t="str">
        <x:v>2026-08-21T16:30Z</x:v>
      </x:c>
      <x:c r="S208" s="10" t="str">
        <x:v>https://doi.org/10.3389/frma.2026.1860284</x:v>
      </x:c>
    </x:row>
    <x:row r="209">
      <x:c r="A209" s="10" t="n">
        <x:f>'Ranked sources'!B209</x:f>
        <x:v>83</x:v>
      </x:c>
      <x:c r="B209" s="10" t="str">
        <x:v>After the pandemic: Optimal fiscal policies for Slovenia</x:v>
      </x:c>
      <x:c r="C209" s="10" t="str">
        <x:v>2026-07-11</x:v>
      </x:c>
      <x:c r="D209" s="10" t="str">
        <x:v>A</x:v>
      </x:c>
      <x:c r="E209" s="10" t="str">
        <x:v>Empirica</x:v>
      </x:c>
      <x:c r="F209" s="10" t="str">
        <x:v>Reinhard Neck, Dmitri Blueschke, Klaus Weyerstraß, Miroslav Verbič</x:v>
      </x:c>
      <x:c r="G209" s="10" t="str">
        <x:v>peer-reviewed article</x:v>
      </x:c>
      <x:c r="H209" s="10" t="str">
        <x:v>Tier 2 trusted-publisher journal</x:v>
      </x:c>
      <x:c r="I209" s="10" t="str">
        <x:v>direct</x:v>
      </x:c>
      <x:c r="J209" s="10" t="str">
        <x:v>slovenia</x:v>
      </x:c>
      <x:c r="K209" s="10" t="str">
        <x:v>r&amp;d</x:v>
      </x:c>
      <x:c r="L209" s="10" t="str"/>
      <x:c r="M209" s="10" t="str">
        <x:v>Across scenarios, instruments that influence both the demand side and potential output, most notably direct taxes and public investment in physical and human capital (including R&amp;D-related spending), are optimal for cyclical stabilization while instruments with predominantly demand-side or budgetary effects, such as VAT, government consumption, and residual revenues, primarily assigned to budgetary consolidation. After the pandemic: Optimal fiscal policies for Slovenia. Abstract This paper derives implementable medium-run fiscal instrument paths for Slovenia, a small Euro-Area economy, in response to plausible transitory external shocks.</x:v>
      </x:c>
      <x:c r="N209" s="10" t="str">
        <x:v>Direct European/EU relevance (slovenia); R&amp;I evidence: r&amp;d; strategic significance is not explicit in the source and should be assessed as a possible longer-run implication.</x:v>
      </x:c>
      <x:c r="O209" s="10" t="str"/>
      <x:c r="P209" s="10" t="str"/>
      <x:c r="Q209" s="10" t="str"/>
      <x:c r="R209" s="10" t="str">
        <x:v>2026-09-01T18:22Z</x:v>
      </x:c>
      <x:c r="S209" s="10" t="str">
        <x:v>https://doi.org/10.1007/s10663-026-09691-5</x:v>
      </x:c>
    </x:row>
    <x:row r="210">
      <x:c r="A210" s="10" t="n">
        <x:f>'Ranked sources'!B210</x:f>
        <x:v>83</x:v>
      </x:c>
      <x:c r="B210" s="10" t="str">
        <x:v>Governance logics and foresight functions: European strategic foresight in contrastive perspective</x:v>
      </x:c>
      <x:c r="C210" s="10" t="str">
        <x:v>2026-07-09</x:v>
      </x:c>
      <x:c r="D210" s="10" t="str">
        <x:v>B</x:v>
      </x:c>
      <x:c r="E210" s="10" t="str">
        <x:v>European Journal of Futures Research</x:v>
      </x:c>
      <x:c r="F210" s="10" t="str">
        <x:v>Natalia Veselitskaya, Dina Malekova</x:v>
      </x:c>
      <x:c r="G210" s="10" t="str">
        <x:v>peer-reviewed article</x:v>
      </x:c>
      <x:c r="H210" s="10" t="str">
        <x:v>Tier 2 comparable</x:v>
      </x:c>
      <x:c r="I210" s="10" t="str">
        <x:v>direct</x:v>
      </x:c>
      <x:c r="J210" s="10" t="str">
        <x:v>europe; european</x:v>
      </x:c>
      <x:c r="K210" s="10" t="str"/>
      <x:c r="L210" s="10" t="str">
        <x:v>strategic autonomy; open strategic autonomy</x:v>
      </x:c>
      <x:c r="M210" s="10" t="str">
        <x:v>as transferable tools whose selection depends mainly on the object of analysis, the time horizon or the available data.</x:v>
      </x:c>
      <x:c r="N210" s="10" t="str">
        <x:v>Method contribution for understanding the future of Strand A (strategic foresight, foresight method); suitable context: research, policy.</x:v>
      </x:c>
      <x:c r="O210" s="10" t="str"/>
      <x:c r="P210" s="10" t="str"/>
      <x:c r="Q210" s="10" t="str"/>
      <x:c r="R210" s="10" t="str">
        <x:v>2026-08-23T18:22Z</x:v>
      </x:c>
      <x:c r="S210" s="10" t="str">
        <x:v>https://doi.org/10.1186/s40309-026-00278-8</x:v>
      </x:c>
    </x:row>
    <x:row r="211">
      <x:c r="A211" s="10" t="n">
        <x:f>'Ranked sources'!B211</x:f>
        <x:v>83</x:v>
      </x:c>
      <x:c r="B211" s="10" t="str">
        <x:v>Mapping Strategic Innovation Capacity and Sustainable Development in the European Union: Evidence from Grey Clustering</x:v>
      </x:c>
      <x:c r="C211" s="10" t="str">
        <x:v>2026-07-07</x:v>
      </x:c>
      <x:c r="D211" s="10" t="str">
        <x:v>A</x:v>
      </x:c>
      <x:c r="E211" s="10" t="str">
        <x:v>Sustainability</x:v>
      </x:c>
      <x:c r="F211" s="10" t="str">
        <x:v>Corina Ioanăș, Bianca-Raluca Cibu, Paul Diaconu, Florinel-Marian Sgărdea, Camelia Delcea</x:v>
      </x:c>
      <x:c r="G211" s="10" t="str">
        <x:v>peer-reviewed article</x:v>
      </x:c>
      <x:c r="H211" s="10" t="str">
        <x:v>Tier 2 broad journal</x:v>
      </x:c>
      <x:c r="I211" s="10" t="str">
        <x:v>direct</x:v>
      </x:c>
      <x:c r="J211" s="10" t="str">
        <x:v>european union; europe; european</x:v>
      </x:c>
      <x:c r="K211" s="10" t="str">
        <x:v>research and development; innovation capacity</x:v>
      </x:c>
      <x:c r="L211" s="10" t="str"/>
      <x:c r="M211" s="10" t="str">
        <x:v>Mapping Strategic Innovation Capacity and Sustainable Development in the EU: Evidence from Grey Clustering.</x:v>
      </x:c>
      <x:c r="N211" s="10" t="str">
        <x:v>Direct EU relevance (european union, europe); R&amp;I evidence: research and development, innovation capacity; strategic evidence: substantive strategic evidence; bridge: title/abstract.</x:v>
      </x:c>
      <x:c r="O211" s="10" t="str">
        <x:v>knowledge-A</x:v>
      </x:c>
      <x:c r="P211" s="10" t="str"/>
      <x:c r="Q211" s="10" t="str"/>
      <x:c r="R211" s="10" t="str">
        <x:v>2026-08-28T13:43Z</x:v>
      </x:c>
      <x:c r="S211" s="10" t="str">
        <x:v>https://doi.org/10.3390/su18136912</x:v>
      </x:c>
    </x:row>
    <x:row r="212">
      <x:c r="A212" s="10" t="n">
        <x:f>'Ranked sources'!B212</x:f>
        <x:v>83</x:v>
      </x:c>
      <x:c r="B212" s="10" t="str">
        <x:v>Balancing Doctor Mobility and Public Health Delivery: Human Resources for Health in Latvia</x:v>
      </x:c>
      <x:c r="C212" s="10" t="str">
        <x:v>2026-07-01</x:v>
      </x:c>
      <x:c r="D212" s="10" t="str">
        <x:v>A</x:v>
      </x:c>
      <x:c r="E212" s="10" t="str">
        <x:v>Social Inclusion</x:v>
      </x:c>
      <x:c r="F212" s="10" t="str">
        <x:v>Girts Jirgensons, Karina Palkova</x:v>
      </x:c>
      <x:c r="G212" s="10" t="str">
        <x:v>peer-reviewed article</x:v>
      </x:c>
      <x:c r="H212" s="10" t="str">
        <x:v>Tier 2 broad journal</x:v>
      </x:c>
      <x:c r="I212" s="10" t="str">
        <x:v>direct</x:v>
      </x:c>
      <x:c r="J212" s="10" t="str"/>
      <x:c r="K212" s="10" t="str"/>
      <x:c r="L212" s="10" t="str"/>
      <x:c r="M212" s="10" t="str">
        <x:v>As a potential means of mitigating doctor shortages and expanding access to care.</x:v>
      </x:c>
      <x:c r="N212" s="10" t="str">
        <x:v>Direct EU relevance (latvia); R&amp;I evidence: technological innovation; strategic evidence: substantive strategic evidence; bridge: title/abstract.</x:v>
      </x:c>
      <x:c r="O212" s="10" t="str"/>
      <x:c r="P212" s="10" t="str"/>
      <x:c r="Q212" s="10" t="str"/>
      <x:c r="R212" s="10" t="str">
        <x:v>2026-08-23T18:51Z</x:v>
      </x:c>
      <x:c r="S212" s="10" t="str">
        <x:v>https://doi.org/10.17645/si.12073</x:v>
      </x:c>
    </x:row>
    <x:row r="213">
      <x:c r="A213" s="10" t="n">
        <x:f>'Ranked sources'!B213</x:f>
        <x:v>83</x:v>
      </x:c>
      <x:c r="B213" s="10" t="str">
        <x:v>Beyond ethics washing: evaluating the responsiveness of US, EU, and UN AI governance to expert warnings</x:v>
      </x:c>
      <x:c r="C213" s="10" t="str">
        <x:v>2026-07-01</x:v>
      </x:c>
      <x:c r="D213" s="10" t="str">
        <x:v>A</x:v>
      </x:c>
      <x:c r="E213" s="10" t="str">
        <x:v>AI and Ethics</x:v>
      </x:c>
      <x:c r="F213" s="10" t="str">
        <x:v>Mir Hasib, Lyombe Eko</x:v>
      </x:c>
      <x:c r="G213" s="10" t="str">
        <x:v>peer-reviewed article</x:v>
      </x:c>
      <x:c r="H213" s="10" t="str">
        <x:v>Tier 2 broad journal</x:v>
      </x:c>
      <x:c r="I213" s="10" t="str">
        <x:v>direct</x:v>
      </x:c>
      <x:c r="J213" s="10" t="str"/>
      <x:c r="K213" s="10" t="str"/>
      <x:c r="L213" s="10" t="str"/>
      <x:c r="M213" s="10" t="str">
        <x:v>Beyond ethics washing: evaluating the responsiveness of US, EU, and UN AI governance to expert warnings.</x:v>
      </x:c>
      <x:c r="N213" s="10" t="str">
        <x:v>Direct EU relevance (EU); R&amp;I evidence: ai + research; strategic evidence: geopolit; bridge: title/abstract.</x:v>
      </x:c>
      <x:c r="O213" s="10" t="str"/>
      <x:c r="P213" s="10" t="str"/>
      <x:c r="Q213" s="10" t="str"/>
      <x:c r="R213" s="10" t="str">
        <x:v>2026-08-23T13:04Z</x:v>
      </x:c>
      <x:c r="S213" s="10" t="str">
        <x:v>https://doi.org/10.1007/s43681-026-01219-8</x:v>
      </x:c>
    </x:row>
    <x:row r="214">
      <x:c r="A214" s="10" t="n">
        <x:f>'Ranked sources'!B214</x:f>
        <x:v>83</x:v>
      </x:c>
      <x:c r="B214" s="10" t="str">
        <x:v>Innovation in Sparse Environments: The Geographical Innovation Dilemma of The Swedish Food Industry</x:v>
      </x:c>
      <x:c r="C214" s="10" t="str">
        <x:v>2026-06-30</x:v>
      </x:c>
      <x:c r="D214" s="10" t="str">
        <x:v>A</x:v>
      </x:c>
      <x:c r="E214" s="10" t="str">
        <x:v>European Countryside</x:v>
      </x:c>
      <x:c r="F214" s="10" t="str">
        <x:v>Thomas Blom, Svante Karlsson</x:v>
      </x:c>
      <x:c r="G214" s="10" t="str">
        <x:v>peer-reviewed article</x:v>
      </x:c>
      <x:c r="H214" s="10" t="str">
        <x:v>Tier 2 broad journal</x:v>
      </x:c>
      <x:c r="I214" s="10" t="str">
        <x:v>direct</x:v>
      </x:c>
      <x:c r="J214" s="10" t="str">
        <x:v>swedish</x:v>
      </x:c>
      <x:c r="K214" s="10" t="str">
        <x:v>innovation capacity</x:v>
      </x:c>
      <x:c r="L214" s="10" t="str"/>
      <x:c r="M214" s="10" t="str">
        <x:v>Abstract This article discusses how spatial organization can influence innovation capacity within the Swedish food industry. Innovation in Sparse Environments: The Geographical Innovation Dilemma of The Swedish Food Industry. Although the sector is economically significant, it is characterized by relatively low levels of innovation and international competitiveness.</x:v>
      </x:c>
      <x:c r="N214" s="10" t="str">
        <x:v>Direct EU relevance (swedish); R&amp;I evidence: innovation capacity; strategic evidence: substantive strategic evidence; bridge: title/abstract.</x:v>
      </x:c>
      <x:c r="O214" s="10" t="str"/>
      <x:c r="P214" s="10" t="str"/>
      <x:c r="Q214" s="10" t="str"/>
      <x:c r="R214" s="10" t="str">
        <x:v>2026-08-28T20:15Z</x:v>
      </x:c>
      <x:c r="S214" s="10" t="str">
        <x:v>https://doi.org/10.2478/euco-2026-0015</x:v>
      </x:c>
    </x:row>
    <x:row r="215">
      <x:c r="A215" s="10" t="n">
        <x:f>'Ranked sources'!B215</x:f>
        <x:v>83</x:v>
      </x:c>
      <x:c r="B215" s="10" t="str">
        <x:v>Rethinking technological complexity and investment: a sectoral analysis in the EU 1995–2020</x:v>
      </x:c>
      <x:c r="C215" s="10" t="str">
        <x:v>2026-06-18</x:v>
      </x:c>
      <x:c r="D215" s="10" t="str">
        <x:v>A</x:v>
      </x:c>
      <x:c r="E215" s="10" t="str">
        <x:v>Review of Evolutionary Political Economy</x:v>
      </x:c>
      <x:c r="F215" s="10" t="str">
        <x:v>Giannis Vrettos, Theofanis Papageorgiou</x:v>
      </x:c>
      <x:c r="G215" s="10" t="str">
        <x:v>peer-reviewed article</x:v>
      </x:c>
      <x:c r="H215" s="10" t="str">
        <x:v>Tier 2 broad journal</x:v>
      </x:c>
      <x:c r="I215" s="10" t="str">
        <x:v>direct</x:v>
      </x:c>
      <x:c r="J215" s="10" t="str"/>
      <x:c r="K215" s="10" t="str"/>
      <x:c r="L215" s="10" t="str"/>
      <x:c r="M215" s="10" t="str">
        <x:v>Rethinking technological complexity and investment: a sectoral analysis in the EU 1995–2020. Abstract The recent commercial “war” between developed economies calls for analysis of the factors that drive investment, exports, and technological capabilities. This study tries to explain the widening of technological and productive disparities in the European Union, analyzing sectoral investments, and revealing that the sectoral composition of peripheral economies has not shifted towards more technologically complex activities, highlighting the urgent need for the formulation of a new industrial policy.</x:v>
      </x:c>
      <x:c r="N215" s="10" t="str">
        <x:v>Direct EU relevance (EU); R&amp;I evidence: technological capabilities; strategic evidence: substantive strategic evidence; bridge: title/abstract.</x:v>
      </x:c>
      <x:c r="O215" s="10" t="str"/>
      <x:c r="P215" s="10" t="str"/>
      <x:c r="Q215" s="10" t="str"/>
      <x:c r="R215" s="10" t="str">
        <x:v>2026-08-24T09:50Z</x:v>
      </x:c>
      <x:c r="S215" s="10" t="str">
        <x:v>https://doi.org/10.1007/s43253-026-00186-4</x:v>
      </x:c>
    </x:row>
    <x:row r="216">
      <x:c r="A216" s="10" t="n">
        <x:f>'Ranked sources'!B216</x:f>
        <x:v>83</x:v>
      </x:c>
      <x:c r="B216" s="10" t="str">
        <x:v>Making Soils into Carbon Sinks: A Sociology of Soil Carbon Quantification Through a French Model</x:v>
      </x:c>
      <x:c r="C216" s="10" t="str">
        <x:v>2026-06-12</x:v>
      </x:c>
      <x:c r="D216" s="10" t="str">
        <x:v>A</x:v>
      </x:c>
      <x:c r="E216" s="10" t="str">
        <x:v>Science, Technology, &amp; Human Values</x:v>
      </x:c>
      <x:c r="F216" s="10" t="str">
        <x:v>Céline Granjou, Hélène Guillemot, Laure Manach, Robin Leclerc, Antoine Doré, Léo Magnin, Stéphanie Barral</x:v>
      </x:c>
      <x:c r="G216" s="10" t="str">
        <x:v>peer-reviewed article</x:v>
      </x:c>
      <x:c r="H216" s="10" t="str">
        <x:v>Tier 2 comparable</x:v>
      </x:c>
      <x:c r="I216" s="10" t="str">
        <x:v>direct</x:v>
      </x:c>
      <x:c r="J216" s="10" t="str">
        <x:v>french</x:v>
      </x:c>
      <x:c r="K216" s="10" t="str">
        <x:v>academic research</x:v>
      </x:c>
      <x:c r="L216" s="10" t="str"/>
      <x:c r="M216" s="10" t="str">
        <x:v>including soils, to help sequester carbon away from the atmosphere.</x:v>
      </x:c>
      <x:c r="N216" s="10" t="str">
        <x:v>Direct European/EU relevance (french); R&amp;I evidence: academic research; strategic significance is not explicit in the source and should be assessed as a possible longer-run implication.</x:v>
      </x:c>
      <x:c r="O216" s="10" t="str"/>
      <x:c r="P216" s="10" t="str"/>
      <x:c r="Q216" s="10" t="str"/>
      <x:c r="R216" s="10" t="str">
        <x:v>2026-09-02T10:10Z</x:v>
      </x:c>
      <x:c r="S216" s="10" t="str">
        <x:v>https://doi.org/10.1177/01622439261454869</x:v>
      </x:c>
    </x:row>
    <x:row r="217">
      <x:c r="A217" s="10" t="n">
        <x:f>'Ranked sources'!B217</x:f>
        <x:v>83</x:v>
      </x:c>
      <x:c r="B217" s="10" t="str">
        <x:v>Bayesian dynamic analysis on innovation adjustment to SME human capital capacity in EU regions</x:v>
      </x:c>
      <x:c r="C217" s="10" t="str">
        <x:v>2026-06-06</x:v>
      </x:c>
      <x:c r="D217" s="10" t="str">
        <x:v>A</x:v>
      </x:c>
      <x:c r="E217" s="10" t="str">
        <x:v>The Journal of Technology Transfer</x:v>
      </x:c>
      <x:c r="F217" s="10" t="str">
        <x:v>Emmanuel Mamatzakis, Christos Staikouras, Constantinos Tsamadias</x:v>
      </x:c>
      <x:c r="G217" s="10" t="str">
        <x:v>peer-reviewed article</x:v>
      </x:c>
      <x:c r="H217" s="10" t="str">
        <x:v>Tier 2 comparable</x:v>
      </x:c>
      <x:c r="I217" s="10" t="str">
        <x:v>direct</x:v>
      </x:c>
      <x:c r="J217" s="10" t="str">
        <x:v>EU</x:v>
      </x:c>
      <x:c r="K217" s="10" t="str">
        <x:v>r&amp;d; innovation performance; technology transfer</x:v>
      </x:c>
      <x:c r="L217" s="10" t="str"/>
      <x:c r="M217" s="10" t="str">
        <x:v>path dependence in regional innovation and support a threshold interpretation.</x:v>
      </x:c>
      <x:c r="N217" s="10" t="str">
        <x:v>Direct European/EU relevance (EU); R&amp;I evidence: r&amp;d, innovation performance; strategic significance is not explicit in the source and should be assessed as a possible longer-run implication.</x:v>
      </x:c>
      <x:c r="O217" s="10" t="str"/>
      <x:c r="P217" s="10" t="str"/>
      <x:c r="Q217" s="10" t="str"/>
      <x:c r="R217" s="10" t="str">
        <x:v>2026-09-01T17:38Z</x:v>
      </x:c>
      <x:c r="S217" s="10" t="str">
        <x:v>https://doi.org/10.1007/s10961-026-10348-5</x:v>
      </x:c>
    </x:row>
    <x:row r="218">
      <x:c r="A218" s="10" t="n">
        <x:f>'Ranked sources'!B218</x:f>
        <x:v>83</x:v>
      </x:c>
      <x:c r="B218" s="10" t="str">
        <x:v>Economic polarization in the European Union: development models in the race for the best location</x:v>
      </x:c>
      <x:c r="C218" s="10" t="str">
        <x:v>2026-06-06</x:v>
      </x:c>
      <x:c r="D218" s="10" t="str">
        <x:v>A</x:v>
      </x:c>
      <x:c r="E218" s="10" t="str">
        <x:v>Review of Evolutionary Political Economy</x:v>
      </x:c>
      <x:c r="F218" s="10" t="str">
        <x:v>Jonas Dominy, Claudius Gräbner-Radkowitsch, Philipp Heimberger, Jakob Kapeller</x:v>
      </x:c>
      <x:c r="G218" s="10" t="str">
        <x:v>peer-reviewed article</x:v>
      </x:c>
      <x:c r="H218" s="10" t="str">
        <x:v>Tier 2 trusted-publisher journal</x:v>
      </x:c>
      <x:c r="I218" s="10" t="str">
        <x:v>direct</x:v>
      </x:c>
      <x:c r="J218" s="10" t="str">
        <x:v>european union; europe; european</x:v>
      </x:c>
      <x:c r="K218" s="10" t="str">
        <x:v>technological capabilities</x:v>
      </x:c>
      <x:c r="L218" s="10" t="str"/>
      <x:c r="M218" s="10" t="str">
        <x:v>Economic polarization in the EU: development models in the race for the best location.</x:v>
      </x:c>
      <x:c r="N218" s="10" t="str">
        <x:v>Direct European/EU relevance (european union, europe); R&amp;I evidence: technological capabilities; strategic significance is not explicit in the source and should be assessed as a possible longer-run implication.</x:v>
      </x:c>
      <x:c r="O218" s="10" t="str"/>
      <x:c r="P218" s="10" t="str"/>
      <x:c r="Q218" s="10" t="str"/>
      <x:c r="R218" s="10" t="str">
        <x:v>2026-09-01T09:39Z</x:v>
      </x:c>
      <x:c r="S218" s="10" t="str">
        <x:v>https://doi.org/10.1007/s43253-026-00180-w</x:v>
      </x:c>
    </x:row>
    <x:row r="219">
      <x:c r="A219" s="10" t="n">
        <x:f>'Ranked sources'!B219</x:f>
        <x:v>83</x:v>
      </x:c>
      <x:c r="B219" s="10" t="str">
        <x:v>Influence of Environmental Research and Development (R&amp;D) on the Sustainability Performance of Listed Non-Financial Firms on the Frankfurt Stock Exchange, Germany</x:v>
      </x:c>
      <x:c r="C219" s="10" t="str">
        <x:v>2026-06-01</x:v>
      </x:c>
      <x:c r="D219" s="10" t="str">
        <x:v>A</x:v>
      </x:c>
      <x:c r="E219" s="10" t="str">
        <x:v>Sustainability</x:v>
      </x:c>
      <x:c r="F219" s="10" t="str">
        <x:v>Abduala A. Ali Almaryoul, Opeoluwa Seun Ojekemi</x:v>
      </x:c>
      <x:c r="G219" s="10" t="str">
        <x:v>peer-reviewed article</x:v>
      </x:c>
      <x:c r="H219" s="10" t="str">
        <x:v>Tier 2 broad journal</x:v>
      </x:c>
      <x:c r="I219" s="10" t="str">
        <x:v>direct</x:v>
      </x:c>
      <x:c r="J219" s="10" t="str">
        <x:v>germany</x:v>
      </x:c>
      <x:c r="K219" s="10" t="str">
        <x:v>research and development; r&amp;d</x:v>
      </x:c>
      <x:c r="L219" s="10" t="str"/>
      <x:c r="M219" s="10" t="str">
        <x:v>and helping firms meet sustainability goals and regulatory standards.</x:v>
      </x:c>
      <x:c r="N219" s="10" t="str">
        <x:v>Direct EU relevance (germany); R&amp;I evidence: research and development, r&amp;d; strategic evidence: substantive strategic evidence; bridge: title/abstract.</x:v>
      </x:c>
      <x:c r="O219" s="10" t="str"/>
      <x:c r="P219" s="10" t="str"/>
      <x:c r="Q219" s="10" t="str"/>
      <x:c r="R219" s="10" t="str">
        <x:v>2026-08-28T20:15Z</x:v>
      </x:c>
      <x:c r="S219" s="10" t="str">
        <x:v>https://doi.org/10.3390/su18115572</x:v>
      </x:c>
    </x:row>
    <x:row r="220">
      <x:c r="A220" s="10" t="n">
        <x:f>'Ranked sources'!B220</x:f>
        <x:v>83</x:v>
      </x:c>
      <x:c r="B220" s="10" t="str">
        <x:v>Triangle of inequalities: gender, research funding and open access in Spain</x:v>
      </x:c>
      <x:c r="C220" s="10" t="str">
        <x:v>2026-05-29</x:v>
      </x:c>
      <x:c r="D220" s="10" t="str">
        <x:v>A</x:v>
      </x:c>
      <x:c r="E220" s="10" t="str">
        <x:v>Scientometrics</x:v>
      </x:c>
      <x:c r="F220" s="10" t="str">
        <x:v>Elvira González-Salmón, Zaida Chinchilla-Rodríguez</x:v>
      </x:c>
      <x:c r="G220" s="10" t="str">
        <x:v>peer-reviewed article</x:v>
      </x:c>
      <x:c r="H220" s="10" t="str">
        <x:v>Tier 2 comparable</x:v>
      </x:c>
      <x:c r="I220" s="10" t="str">
        <x:v>direct</x:v>
      </x:c>
      <x:c r="J220" s="10" t="str">
        <x:v>spain</x:v>
      </x:c>
      <x:c r="K220" s="10" t="str">
        <x:v>research funding</x:v>
      </x:c>
      <x:c r="L220" s="10" t="str"/>
      <x:c r="M220" s="10" t="str">
        <x:v>Triangle of inequalities: gender, research funding and open access in Spain.</x:v>
      </x:c>
      <x:c r="N220" s="10" t="str">
        <x:v>Direct European/EU relevance (spain); R&amp;I evidence: research funding; strategic significance is not explicit in the source and should be assessed as a possible longer-run implication.</x:v>
      </x:c>
      <x:c r="O220" s="10" t="str"/>
      <x:c r="P220" s="10" t="str"/>
      <x:c r="Q220" s="10" t="str"/>
      <x:c r="R220" s="10" t="str">
        <x:v>2026-09-01T12:17Z</x:v>
      </x:c>
      <x:c r="S220" s="10" t="str">
        <x:v>https://doi.org/10.1007/s11192-026-05629-7</x:v>
      </x:c>
    </x:row>
    <x:row r="221">
      <x:c r="A221" s="10" t="n">
        <x:f>'Ranked sources'!B221</x:f>
        <x:v>83</x:v>
      </x:c>
      <x:c r="B221" s="10" t="str">
        <x:v>International collaboration in research: insights from pharmaceutical multinationals</x:v>
      </x:c>
      <x:c r="C221" s="10" t="str">
        <x:v>2026-05-20</x:v>
      </x:c>
      <x:c r="D221" s="10" t="str">
        <x:v>A</x:v>
      </x:c>
      <x:c r="E221" s="10" t="str">
        <x:v>The Journal of Technology Transfer</x:v>
      </x:c>
      <x:c r="F221" s="10" t="str">
        <x:v>Marzenna Anna Weresa, Artur Franciszek Tomeczek, Scott William Hegerty</x:v>
      </x:c>
      <x:c r="G221" s="10" t="str">
        <x:v>peer-reviewed article</x:v>
      </x:c>
      <x:c r="H221" s="10" t="str">
        <x:v>Tier 2 comparable</x:v>
      </x:c>
      <x:c r="I221" s="10" t="str">
        <x:v>direct</x:v>
      </x:c>
      <x:c r="J221" s="10" t="str">
        <x:v>swedish</x:v>
      </x:c>
      <x:c r="K221" s="10" t="str">
        <x:v>research collaboration; research and development; r&amp;d</x:v>
      </x:c>
      <x:c r="L221" s="10" t="str"/>
      <x:c r="M221" s="10" t="str">
        <x:v>as a proxy for their joint collaborative R&amp;D efforts.</x:v>
      </x:c>
      <x:c r="N221" s="10" t="str">
        <x:v>Direct European/EU relevance (swedish); R&amp;I evidence: research collaboration, research and development; strategic significance is not explicit in the source and should be assessed as a possible longer-run implication.</x:v>
      </x:c>
      <x:c r="O221" s="10" t="str"/>
      <x:c r="P221" s="10" t="str"/>
      <x:c r="Q221" s="10" t="str"/>
      <x:c r="R221" s="10" t="str">
        <x:v>2026-09-01T09:39Z</x:v>
      </x:c>
      <x:c r="S221" s="10" t="str">
        <x:v>https://doi.org/10.1007/s10961-026-10330-1</x:v>
      </x:c>
    </x:row>
    <x:row r="222">
      <x:c r="A222" s="10" t="n">
        <x:f>'Ranked sources'!B222</x:f>
        <x:v>83</x:v>
      </x:c>
      <x:c r="B222" s="10" t="str">
        <x:v>Wires, Patents and Growth: An Explainable Machine Learning Approach for What Drives Digital Competitiveness in the European Union</x:v>
      </x:c>
      <x:c r="C222" s="10" t="str">
        <x:v>2026-05-19</x:v>
      </x:c>
      <x:c r="D222" s="10" t="str">
        <x:v>A</x:v>
      </x:c>
      <x:c r="E222" s="10" t="str">
        <x:v>Electronics</x:v>
      </x:c>
      <x:c r="F222" s="10" t="str">
        <x:v>Rareș Mihai Nițu, Raluca Iuliana Georgescu, Dumitru Alexandru Bodislav, Loredana Maria Popescu, Cristina Voicu, Andrei Josan</x:v>
      </x:c>
      <x:c r="G222" s="10" t="str">
        <x:v>peer-reviewed article</x:v>
      </x:c>
      <x:c r="H222" s="10" t="str">
        <x:v>Tier 2 broad journal</x:v>
      </x:c>
      <x:c r="I222" s="10" t="str">
        <x:v>direct</x:v>
      </x:c>
      <x:c r="J222" s="10" t="str">
        <x:v>european union; europe; european</x:v>
      </x:c>
      <x:c r="K222" s="10" t="str">
        <x:v>r&amp;d</x:v>
      </x:c>
      <x:c r="L222" s="10" t="str"/>
      <x:c r="M222" s="10" t="str">
        <x:v>Wires, Patents and Growth: An Explainable Machine Learning Approach for What Drives Digital Competitiveness in the EU.</x:v>
      </x:c>
      <x:c r="N222" s="10" t="str">
        <x:v>Direct EU relevance (european union, europe); R&amp;I evidence: r&amp;d; strategic evidence: substantive strategic evidence; bridge: title/abstract.</x:v>
      </x:c>
      <x:c r="O222" s="10" t="str"/>
      <x:c r="P222" s="10" t="str"/>
      <x:c r="Q222" s="10" t="str"/>
      <x:c r="R222" s="10" t="str">
        <x:v>2026-08-28T20:50Z</x:v>
      </x:c>
      <x:c r="S222" s="10" t="str">
        <x:v>https://doi.org/10.3390/electronics15102190</x:v>
      </x:c>
    </x:row>
    <x:row r="223">
      <x:c r="A223" s="10" t="n">
        <x:f>'Ranked sources'!B223</x:f>
        <x:v>83</x:v>
      </x:c>
      <x:c r="B223" s="10" t="str">
        <x:v>Responsible Artificial Intelligence for Earth observation: human rights and the EU AI act</x:v>
      </x:c>
      <x:c r="C223" s="10" t="str">
        <x:v>2026-05-15</x:v>
      </x:c>
      <x:c r="D223" s="10" t="str">
        <x:v>A</x:v>
      </x:c>
      <x:c r="E223" s="10" t="str">
        <x:v>AI and Ethics</x:v>
      </x:c>
      <x:c r="F223" s="10" t="str">
        <x:v>Caroline Margaux Gevaert, Sanja Šćepanović, Nadia Bernaz, Hannes Taubenböck, Mrinalini Kochupillai</x:v>
      </x:c>
      <x:c r="G223" s="10" t="str">
        <x:v>peer-reviewed article</x:v>
      </x:c>
      <x:c r="H223" s="10" t="str">
        <x:v>Tier 2 broad journal</x:v>
      </x:c>
      <x:c r="I223" s="10" t="str">
        <x:v>direct</x:v>
      </x:c>
      <x:c r="J223" s="10" t="str">
        <x:v>EU</x:v>
      </x:c>
      <x:c r="K223" s="10" t="str">
        <x:v>research and innovation; artificial intelligence + research; ai + research; ai + innovation</x:v>
      </x:c>
      <x:c r="L223" s="10" t="str"/>
      <x:c r="M223" s="10" t="str">
        <x:v>The EU AI Act creates a risk-based governance framework for AI systems.</x:v>
      </x:c>
      <x:c r="N223" s="10" t="str">
        <x:v>Direct EU relevance (EU); R&amp;I evidence: research and innovation, artificial intelligence + research; strategic evidence: substantive strategic evidence; bridge: title/abstract.</x:v>
      </x:c>
      <x:c r="O223" s="10" t="str"/>
      <x:c r="P223" s="10" t="str"/>
      <x:c r="Q223" s="10" t="str"/>
      <x:c r="R223" s="10" t="str">
        <x:v>2026-08-28T13:43Z</x:v>
      </x:c>
      <x:c r="S223" s="10" t="str">
        <x:v>https://doi.org/10.1007/s43681-026-01149-5</x:v>
      </x:c>
    </x:row>
    <x:row r="224">
      <x:c r="A224" s="10" t="n">
        <x:f>'Ranked sources'!B224</x:f>
        <x:v>83</x:v>
      </x:c>
      <x:c r="B224" s="10" t="str">
        <x:v>Path-dependent energy innovation under carbon pricing and subsidy policies: challenges for Europe’s net-zero transition</x:v>
      </x:c>
      <x:c r="C224" s="10" t="str">
        <x:v>2026-05-14</x:v>
      </x:c>
      <x:c r="D224" s="10" t="str">
        <x:v>A</x:v>
      </x:c>
      <x:c r="E224" s="10" t="str">
        <x:v>Empirica</x:v>
      </x:c>
      <x:c r="F224" s="10" t="str">
        <x:v>Bilal Çayır, Onur Yeni</x:v>
      </x:c>
      <x:c r="G224" s="10" t="str">
        <x:v>peer-reviewed article</x:v>
      </x:c>
      <x:c r="H224" s="10" t="str">
        <x:v>Tier 2 broad journal</x:v>
      </x:c>
      <x:c r="I224" s="10" t="str">
        <x:v>direct</x:v>
      </x:c>
      <x:c r="J224" s="10" t="str">
        <x:v>europe</x:v>
      </x:c>
      <x:c r="K224" s="10" t="str">
        <x:v>r&amp;d; technological capabilities</x:v>
      </x:c>
      <x:c r="L224" s="10" t="str"/>
      <x:c r="M224" s="10" t="str">
        <x:v>Path-dependent energy innovation under carbon pricing and subsidy policies: challenges for Europe’s net-zero transition.</x:v>
      </x:c>
      <x:c r="N224" s="10" t="str">
        <x:v>Direct EU relevance (europe); R&amp;I evidence: r&amp;d, technological capabilities; strategic evidence: substantive strategic evidence; bridge: title/abstract.</x:v>
      </x:c>
      <x:c r="O224" s="10" t="str"/>
      <x:c r="P224" s="10" t="str"/>
      <x:c r="Q224" s="10" t="str"/>
      <x:c r="R224" s="10" t="str">
        <x:v>2026-08-28T20:15Z</x:v>
      </x:c>
      <x:c r="S224" s="10" t="str">
        <x:v>https://doi.org/10.1007/s10663-026-09683-5</x:v>
      </x:c>
    </x:row>
    <x:row r="225">
      <x:c r="A225" s="10" t="n">
        <x:f>'Ranked sources'!B225</x:f>
        <x:v>83</x:v>
      </x:c>
      <x:c r="B225" s="10" t="str">
        <x:v>Reputation Management: Exploring the Commission's Communication on Innovation</x:v>
      </x:c>
      <x:c r="C225" s="10" t="str">
        <x:v>2026-05-10</x:v>
      </x:c>
      <x:c r="D225" s="10" t="str">
        <x:v>A</x:v>
      </x:c>
      <x:c r="E225" s="10" t="str">
        <x:v>JCMS: Journal of Common Market Studies</x:v>
      </x:c>
      <x:c r="F225" s="10" t="str">
        <x:v>Valentina Amuso</x:v>
      </x:c>
      <x:c r="G225" s="10" t="str">
        <x:v>peer-reviewed article</x:v>
      </x:c>
      <x:c r="H225" s="10" t="str">
        <x:v>Tier 2 comparable</x:v>
      </x:c>
      <x:c r="I225" s="10" t="str">
        <x:v>direct</x:v>
      </x:c>
      <x:c r="J225" s="10" t="str">
        <x:v>european union; europe; european</x:v>
      </x:c>
      <x:c r="K225" s="10" t="str">
        <x:v>innovation policy</x:v>
      </x:c>
      <x:c r="L225" s="10" t="str"/>
      <x:c r="M225" s="10" t="str">
        <x:v>Additionally, when reputational threats become more salient, references to transformative innovation intensify.</x:v>
      </x:c>
      <x:c r="N225" s="10" t="str">
        <x:v>Direct European/EU relevance (european union, europe); R&amp;I evidence: innovation policy; strategic significance is not explicit in the source and should be assessed as a possible longer-run implication.</x:v>
      </x:c>
      <x:c r="O225" s="10" t="str"/>
      <x:c r="P225" s="10" t="str"/>
      <x:c r="Q225" s="10" t="str"/>
      <x:c r="R225" s="10" t="str">
        <x:v>2026-09-01T14:15Z</x:v>
      </x:c>
      <x:c r="S225" s="10" t="str">
        <x:v>https://doi.org/10.1111/jcms.70103</x:v>
      </x:c>
    </x:row>
    <x:row r="226">
      <x:c r="A226" s="10" t="n">
        <x:f>'Ranked sources'!B226</x:f>
        <x:v>83</x:v>
      </x:c>
      <x:c r="B226" s="10" t="str">
        <x:v>Evolving Scientific Collaboration Among EU Member States, Candidate Countries and Global Partners: 2000–2024</x:v>
      </x:c>
      <x:c r="C226" s="10" t="str">
        <x:v>2026-05-05</x:v>
      </x:c>
      <x:c r="D226" s="10" t="str">
        <x:v>A</x:v>
      </x:c>
      <x:c r="E226" s="10" t="str">
        <x:v>Journal of Data and Information Science</x:v>
      </x:c>
      <x:c r="F226" s="10" t="str">
        <x:v>Myroslava Hladchenko</x:v>
      </x:c>
      <x:c r="G226" s="10" t="str">
        <x:v>peer-reviewed article</x:v>
      </x:c>
      <x:c r="H226" s="10" t="str">
        <x:v>Tier 2 broad journal</x:v>
      </x:c>
      <x:c r="I226" s="10" t="str">
        <x:v>direct</x:v>
      </x:c>
      <x:c r="J226" s="10" t="str"/>
      <x:c r="K226" s="10" t="str"/>
      <x:c r="L226" s="10" t="str"/>
      <x:c r="M226" s="10" t="str">
        <x:v>Abstract Purpose This study explores how EU integration, globalisation, and geopolitical disruptions have influenced scientific collaboration among European countries at different stages of EU membership. Design/methodology Using articles from the Scopus database, the study analyses Relative Intensity of Collaboration (RIC) among three distinct groups of countries: EU-14, EU-13, and EU candidate countries, as well as with China, Latin America, the UK, the USA and Russia. RIC peaks in 2012 and 2018 for EU-13 and EU candidate countries correspond to Horizon 2020 and Horizon Europe cycles, highlighting the role of EU Framework Programmes.</x:v>
      </x:c>
      <x:c r="N226" s="10" t="str">
        <x:v>Direct EU relevance (member state, member states); R&amp;I evidence: scientific collaboration, horizon europe; strategic evidence: geopolit; bridge: sentence.</x:v>
      </x:c>
      <x:c r="O226" s="10" t="str"/>
      <x:c r="P226" s="10" t="str"/>
      <x:c r="Q226" s="10" t="str"/>
      <x:c r="R226" s="10" t="str">
        <x:v>2026-08-22T22:08Z</x:v>
      </x:c>
      <x:c r="S226" s="10" t="str">
        <x:v>https://doi.org/10.1515/jdis-2025-0374</x:v>
      </x:c>
    </x:row>
    <x:row r="227">
      <x:c r="A227" s="10" t="n">
        <x:f>'Ranked sources'!B227</x:f>
        <x:v>83</x:v>
      </x:c>
      <x:c r="B227" s="10" t="str">
        <x:v>When barriers enable: reconsidering the role of innovation constraints in Central and Eastern European economies</x:v>
      </x:c>
      <x:c r="C227" s="10" t="str">
        <x:v>2026-05-04</x:v>
      </x:c>
      <x:c r="D227" s="10" t="str">
        <x:v>A</x:v>
      </x:c>
      <x:c r="E227" s="10" t="str">
        <x:v>European Journal of Innovation Management</x:v>
      </x:c>
      <x:c r="F227" s="10" t="str">
        <x:v>Dominika Brozkova, Tarlan Ahmadov, Marek Brokes, Cali Nuur, Viktor Prokop</x:v>
      </x:c>
      <x:c r="G227" s="10" t="str">
        <x:v>peer-reviewed article</x:v>
      </x:c>
      <x:c r="H227" s="10" t="str">
        <x:v>Tier 2 broad journal</x:v>
      </x:c>
      <x:c r="I227" s="10" t="str">
        <x:v>direct</x:v>
      </x:c>
      <x:c r="J227" s="10" t="str"/>
      <x:c r="K227" s="10" t="str"/>
      <x:c r="L227" s="10" t="str"/>
      <x:c r="M227" s="10" t="str">
        <x:v>When barriers enable: reconsidering the role of innovation constraints in Central and Eastern European economies.</x:v>
      </x:c>
      <x:c r="N227" s="10" t="str">
        <x:v>Direct EU relevance (europe, european); R&amp;I evidence: research collaboration, innovation system; strategic evidence: substantive strategic evidence; bridge: title/abstract.</x:v>
      </x:c>
      <x:c r="O227" s="10" t="str"/>
      <x:c r="P227" s="10" t="str"/>
      <x:c r="Q227" s="10" t="str"/>
      <x:c r="R227" s="10" t="str">
        <x:v>2026-08-23T18:12Z</x:v>
      </x:c>
      <x:c r="S227" s="10" t="str">
        <x:v>https://doi.org/10.1108/ejim-12-2025-1649</x:v>
      </x:c>
    </x:row>
    <x:row r="228">
      <x:c r="A228" s="10" t="n">
        <x:f>'Ranked sources'!B228</x:f>
        <x:v>83</x:v>
      </x:c>
      <x:c r="B228" s="10" t="str">
        <x:v>Investment Screening and Technology Transfers in the Times of Geopolitical Upheaval</x:v>
      </x:c>
      <x:c r="C228" s="10" t="str">
        <x:v>2026-05-01</x:v>
      </x:c>
      <x:c r="D228" s="10" t="str">
        <x:v>A</x:v>
      </x:c>
      <x:c r="E228" s="10" t="str">
        <x:v>Legal Issues of Economic Integration</x:v>
      </x:c>
      <x:c r="F228" s="10" t="str">
        <x:v>Szilárd Gáspár-Szilágyi</x:v>
      </x:c>
      <x:c r="G228" s="10" t="str">
        <x:v>peer-reviewed article</x:v>
      </x:c>
      <x:c r="H228" s="10" t="str">
        <x:v>Tier 2 broad journal</x:v>
      </x:c>
      <x:c r="I228" s="10" t="str">
        <x:v>direct</x:v>
      </x:c>
      <x:c r="J228" s="10" t="str"/>
      <x:c r="K228" s="10" t="str"/>
      <x:c r="L228" s="10" t="str"/>
      <x:c r="M228" s="10" t="str">
        <x:v>Investment Screening and Technology Transfers in the Times of Geopolitical Upheaval.</x:v>
      </x:c>
      <x:c r="N228" s="10" t="str">
        <x:v>Direct EU relevance (EU); R&amp;I evidence: technology transfer; strategic evidence: geopolit, geoeconomic; bridge: sentence.</x:v>
      </x:c>
      <x:c r="O228" s="10" t="str">
        <x:v>conversion-C</x:v>
      </x:c>
      <x:c r="P228" s="10" t="str"/>
      <x:c r="Q228" s="10" t="str"/>
      <x:c r="R228" s="10" t="str">
        <x:v>2026-08-23T12:46Z</x:v>
      </x:c>
      <x:c r="S228" s="10" t="str">
        <x:v>https://doi.org/10.54648/leie2026014</x:v>
      </x:c>
    </x:row>
    <x:row r="229">
      <x:c r="A229" s="10" t="n">
        <x:f>'Ranked sources'!B229</x:f>
        <x:v>82</x:v>
      </x:c>
      <x:c r="B229" s="10" t="str">
        <x:v>European industrial policy: promoting innovation ecosystems and safeguarding open strategic autonomy</x:v>
      </x:c>
      <x:c r="C229" s="10" t="str">
        <x:v>2026-07-14</x:v>
      </x:c>
      <x:c r="D229" s="10" t="str">
        <x:v>A</x:v>
      </x:c>
      <x:c r="E229" s="10" t="str">
        <x:v>Edward Elgar Publishing</x:v>
      </x:c>
      <x:c r="F229" s="10" t="str">
        <x:v>Francesca Spigarelli; Lorenzo Compagnucci; Dominique Lepore</x:v>
      </x:c>
      <x:c r="G229" s="10" t="str">
        <x:v>manual-verified scholarly/policy source</x:v>
      </x:c>
      <x:c r="H229" s="10" t="str">
        <x:v>Tier 2 broad journal</x:v>
      </x:c>
      <x:c r="I229" s="10" t="str">
        <x:v>direct</x:v>
      </x:c>
      <x:c r="J229" s="10" t="str"/>
      <x:c r="K229" s="10" t="str"/>
      <x:c r="L229" s="10" t="str"/>
      <x:c r="M229" s="10" t="str">
        <x:v>European industrial policy: promoting innovation ecosystems and safeguarding open autonomy.</x:v>
      </x:c>
      <x:c r="N229" s="10" t="str">
        <x:v>Direct EU/European relevance verified in the underlying source; substantive R&amp;I mechanism and geopolitical/economic-security bridge verified by manual source review.</x:v>
      </x:c>
      <x:c r="O229" s="10" t="str"/>
      <x:c r="P229" s="10" t="str"/>
      <x:c r="Q229" s="10" t="str">
        <x:v>manual</x:v>
      </x:c>
      <x:c r="R229" s="10" t="n">
        <x:v>46261.277083333334</x:v>
      </x:c>
      <x:c r="S229" s="10" t="str">
        <x:v>https://www.elgaronline.com/doi/10.4337/9781035365616.00011</x:v>
      </x:c>
    </x:row>
    <x:row r="230">
      <x:c r="A230" s="10" t="n">
        <x:f>'Ranked sources'!B230</x:f>
        <x:v>82</x:v>
      </x:c>
      <x:c r="B230" s="10" t="str">
        <x:v>Technological Dependencies of the European Union</x:v>
      </x:c>
      <x:c r="C230" s="10" t="str">
        <x:v>2026-05-08</x:v>
      </x:c>
      <x:c r="D230" s="10" t="str">
        <x:v>A</x:v>
      </x:c>
      <x:c r="E230" s="10" t="str">
        <x:v>Routledge</x:v>
      </x:c>
      <x:c r="F230" s="10" t="str">
        <x:v>Christian Reiner; Roman Stöllinger</x:v>
      </x:c>
      <x:c r="G230" s="10" t="str">
        <x:v>manual-verified scholarly/policy source</x:v>
      </x:c>
      <x:c r="H230" s="10" t="str">
        <x:v>Tier 2 broad journal</x:v>
      </x:c>
      <x:c r="I230" s="10" t="str">
        <x:v>direct</x:v>
      </x:c>
      <x:c r="J230" s="10" t="str"/>
      <x:c r="K230" s="10" t="str"/>
      <x:c r="L230" s="10" t="str"/>
      <x:c r="M230" s="10" t="str">
        <x:v>EU technological dependence has increased, especially in digital technologies.</x:v>
      </x:c>
      <x:c r="N230" s="10" t="str">
        <x:v>Direct EU/European relevance verified in the underlying source; substantive R&amp;I mechanism and geopolitical/economic-security bridge verified by manual source review.</x:v>
      </x:c>
      <x:c r="O230" s="10" t="str">
        <x:v>infrastructure-D</x:v>
      </x:c>
      <x:c r="P230" s="10" t="str"/>
      <x:c r="Q230" s="10" t="str">
        <x:v>manual</x:v>
      </x:c>
      <x:c r="R230" s="10" t="n">
        <x:v>46261.277083333334</x:v>
      </x:c>
      <x:c r="S230" s="10" t="str">
        <x:v>https://doi.org/10.4324/9781003745563-5</x:v>
      </x:c>
    </x:row>
    <x:row r="231">
      <x:c r="A231" s="10" t="n">
        <x:f>'Ranked sources'!B231</x:f>
        <x:v>81</x:v>
      </x:c>
      <x:c r="B231" s="10" t="str">
        <x:v>A sustainable platform for federated health data access, AI innovation, and regulatory acceptance in alignment with the European Health Data Space principles</x:v>
      </x:c>
      <x:c r="C231" s="10" t="str">
        <x:v>2026-08-26</x:v>
      </x:c>
      <x:c r="D231" s="10" t="str">
        <x:v>A</x:v>
      </x:c>
      <x:c r="E231" s="10" t="str">
        <x:v>Open Research Europe</x:v>
      </x:c>
      <x:c r="F231" s="10" t="str">
        <x:v>Erwin Boutsma, Katja Herzog, Rebecca C. Rancourt, Torsten Gerriet Blum, Alberto Moreno, Francisco J. Núñez-Benjumea, Hanna Ćwiek-Kupczyńska, Rada Hussein, et al.</x:v>
      </x:c>
      <x:c r="G231" s="10" t="str">
        <x:v>peer-reviewed article</x:v>
      </x:c>
      <x:c r="H231" s="10" t="str">
        <x:v>Tier 2 broad journal</x:v>
      </x:c>
      <x:c r="I231" s="10" t="str">
        <x:v>direct</x:v>
      </x:c>
      <x:c r="J231" s="10" t="str"/>
      <x:c r="K231" s="10" t="str"/>
      <x:c r="L231" s="10" t="str"/>
      <x:c r="M231" s="10" t="str">
        <x:v>IDERHA is building a pan-European health data space for medical research, AI and regulatory use.</x:v>
      </x:c>
      <x:c r="N231" s="10" t="str">
        <x:v>Direct EU relevance (europe, european); R&amp;I evidence: ai + innovation; strategic evidence: substantive strategic evidence; bridge: title/abstract.</x:v>
      </x:c>
      <x:c r="O231" s="10" t="str"/>
      <x:c r="P231" s="10" t="str"/>
      <x:c r="Q231" s="10" t="str"/>
      <x:c r="R231" s="10" t="str">
        <x:v>2026-08-26T08:57Z</x:v>
      </x:c>
      <x:c r="S231" s="10" t="str">
        <x:v>https://doi.org/10.12688/openreseurope.23459.2</x:v>
      </x:c>
    </x:row>
    <x:row r="232">
      <x:c r="A232" s="10" t="n">
        <x:f>'Ranked sources'!B232</x:f>
        <x:v>81</x:v>
      </x:c>
      <x:c r="B232" s="10" t="str">
        <x:v>Achieving resilience through reconfigurability: The role of digitisation for improved strategy and decision-making for EU manufacturing industries</x:v>
      </x:c>
      <x:c r="C232" s="10" t="str">
        <x:v>2026-08-07</x:v>
      </x:c>
      <x:c r="D232" s="10" t="str">
        <x:v>A</x:v>
      </x:c>
      <x:c r="E232" s="10" t="str">
        <x:v>Open Research Europe</x:v>
      </x:c>
      <x:c r="F232" s="10" t="str">
        <x:v>Emmanouil Bakopoulos, Tjerk Timan, Alexander Dementyev, Kosmas Alexopoulos, Adrian Jacob, Karol Kozak, Domenico Perfido</x:v>
      </x:c>
      <x:c r="G232" s="10" t="str">
        <x:v>peer-reviewed article</x:v>
      </x:c>
      <x:c r="H232" s="10" t="str">
        <x:v>Tier 2 broad journal</x:v>
      </x:c>
      <x:c r="I232" s="10" t="str">
        <x:v>direct</x:v>
      </x:c>
      <x:c r="J232" s="10" t="str"/>
      <x:c r="K232" s="10" t="str"/>
      <x:c r="L232" s="10" t="str"/>
      <x:c r="M232" s="10" t="str">
        <x:v>Using evidence from three Horizon Europe projects, the study presents a practice-oriented analysis of how digital tools can strengthen resilience in diverse industrial settings. Achieving resilience through reconfigurability: The role of digitisation for improved strategy and decision-making for EU manufacturing industries. In light of recent disruptions, such as the Coronavirus Disease 2019 (COVID-19) pandemic, geopolitical instability, energy price volatility, and material shortages, the paper conceptualizes resilience as a staged capability that encompasses shock absorption, adaptation, and transformation.</x:v>
      </x:c>
      <x:c r="N232" s="10" t="str">
        <x:v>Direct EU relevance (EU); R&amp;I evidence: horizon europe; strategic evidence: geopolit; bridge: title/abstract.</x:v>
      </x:c>
      <x:c r="O232" s="10" t="str"/>
      <x:c r="P232" s="10" t="str"/>
      <x:c r="Q232" s="10" t="str"/>
      <x:c r="R232" s="10" t="str">
        <x:v>2026-08-24T10:09Z</x:v>
      </x:c>
      <x:c r="S232" s="10" t="str">
        <x:v>https://doi.org/10.12688/openreseurope.23989.1</x:v>
      </x:c>
    </x:row>
    <x:row r="233">
      <x:c r="A233" s="10" t="n">
        <x:f>'Ranked sources'!B233</x:f>
        <x:v>81</x:v>
      </x:c>
      <x:c r="B233" s="10" t="str">
        <x:v>Physical Activity and Healthy Ageing &amp; Longevity Data: Interoperability, Reuse, and Innovation in a Federated European Context</x:v>
      </x:c>
      <x:c r="C233" s="10" t="str">
        <x:v>2026-07-29</x:v>
      </x:c>
      <x:c r="D233" s="10" t="str">
        <x:v>A</x:v>
      </x:c>
      <x:c r="E233" s="10" t="str">
        <x:v>Open Research Europe</x:v>
      </x:c>
      <x:c r="F233" s="10" t="str">
        <x:v>Theo Zacharis</x:v>
      </x:c>
      <x:c r="G233" s="10" t="str">
        <x:v>peer-reviewed article</x:v>
      </x:c>
      <x:c r="H233" s="10" t="str">
        <x:v>Tier 2 broad journal</x:v>
      </x:c>
      <x:c r="I233" s="10" t="str">
        <x:v>direct</x:v>
      </x:c>
      <x:c r="J233" s="10" t="str">
        <x:v>europe; european</x:v>
      </x:c>
      <x:c r="K233" s="10" t="str">
        <x:v>ai + innovation</x:v>
      </x:c>
      <x:c r="L233" s="10" t="str"/>
      <x:c r="M233" s="10" t="str">
        <x:v>The bottleneck is not data scarcity but the absence of consistent cataloguing, taxonomies.</x:v>
      </x:c>
      <x:c r="N233" s="10" t="str">
        <x:v>Direct EU relevance (europe, european); R&amp;I evidence: ai + innovation; strategic evidence: substantive strategic evidence; bridge: title/abstract.</x:v>
      </x:c>
      <x:c r="O233" s="10" t="str"/>
      <x:c r="P233" s="10" t="str"/>
      <x:c r="Q233" s="10" t="str"/>
      <x:c r="R233" s="10" t="str">
        <x:v>2026-08-28T13:43Z</x:v>
      </x:c>
      <x:c r="S233" s="10" t="str">
        <x:v>https://doi.org/10.12688/openreseurope.23637.1</x:v>
      </x:c>
    </x:row>
    <x:row r="234">
      <x:c r="A234" s="10" t="n">
        <x:f>'Ranked sources'!B234</x:f>
        <x:v>81</x:v>
      </x:c>
      <x:c r="B234" s="10" t="str">
        <x:v>Developing Researchers’ Competencies through CARE–KNOW–DO and upSKILL.map, aligned with EU and UNESCO Priorities</x:v>
      </x:c>
      <x:c r="C234" s="10" t="str">
        <x:v>2026-07-16</x:v>
      </x:c>
      <x:c r="D234" s="10" t="str">
        <x:v>A</x:v>
      </x:c>
      <x:c r="E234" s="10" t="str">
        <x:v>Open Research Europe</x:v>
      </x:c>
      <x:c r="F234" s="10" t="str">
        <x:v>Alexandra Okada, Kieron Sheehy, Klaus-Dieter Rossade, Arosha K. Bandara</x:v>
      </x:c>
      <x:c r="G234" s="10" t="str">
        <x:v>peer-reviewed article</x:v>
      </x:c>
      <x:c r="H234" s="10" t="str">
        <x:v>Tier 2 broad journal</x:v>
      </x:c>
      <x:c r="I234" s="10" t="str">
        <x:v>direct</x:v>
      </x:c>
      <x:c r="J234" s="10" t="str">
        <x:v>EU</x:v>
      </x:c>
      <x:c r="K234" s="10" t="str">
        <x:v>horizon europe; research careers</x:v>
      </x:c>
      <x:c r="L234" s="10" t="str"/>
      <x:c r="M234" s="10" t="str">
        <x:v>Developing Researchers’ Competencies through CARE–KNOW–DO and upSKILL.map, aligned with EU and UNESCO Priorities.</x:v>
      </x:c>
      <x:c r="N234" s="10" t="str">
        <x:v>Direct EU relevance (EU); R&amp;I evidence: horizon europe, research careers; strategic evidence: substantive strategic evidence; bridge: title/abstract.</x:v>
      </x:c>
      <x:c r="O234" s="10" t="str"/>
      <x:c r="P234" s="10" t="str"/>
      <x:c r="Q234" s="10" t="str"/>
      <x:c r="R234" s="10" t="str">
        <x:v>2026-08-28T13:43Z</x:v>
      </x:c>
      <x:c r="S234" s="10" t="str">
        <x:v>https://doi.org/10.12688/openreseurope.21408.4</x:v>
      </x:c>
    </x:row>
    <x:row r="235">
      <x:c r="A235" s="10" t="n">
        <x:f>'Ranked sources'!B235</x:f>
        <x:v>81</x:v>
      </x:c>
      <x:c r="B235" s="10" t="str">
        <x:v>Beyond Borders: Chinese Use of Foreign Interference Tactics in Dutch Strategic Industries - HCSS</x:v>
      </x:c>
      <x:c r="C235" s="10" t="str">
        <x:v>2026-07-03</x:v>
      </x:c>
      <x:c r="D235" s="10" t="str">
        <x:v>A</x:v>
      </x:c>
      <x:c r="E235" s="10" t="str">
        <x:v>The Hague Centre for Strategic Studies</x:v>
      </x:c>
      <x:c r="F235" s="10" t="str">
        <x:v>The Hague Centre for Strategic Studies</x:v>
      </x:c>
      <x:c r="G235" s="10" t="str">
        <x:v>institutional report</x:v>
      </x:c>
      <x:c r="H235" s="10" t="str">
        <x:v>Tier 2</x:v>
      </x:c>
      <x:c r="I235" s="10" t="str">
        <x:v>direct</x:v>
      </x:c>
      <x:c r="J235" s="10" t="str">
        <x:v>dutch</x:v>
      </x:c>
      <x:c r="K235" s="10" t="str">
        <x:v>research and innovation; academic research; ai + research</x:v>
      </x:c>
      <x:c r="L235" s="10" t="str">
        <x:v>geopolit; foreign interference</x:v>
      </x:c>
      <x:c r="M235" s="10" t="str">
        <x:v>Beyond Borders: Chinese Use of Foreign Interference Tactics in Dutch Strategic Industries - HCSS.</x:v>
      </x:c>
      <x:c r="N235" s="10" t="str">
        <x:v>Direct European/EU relevance (dutch); R&amp;I evidence: research and innovation, academic research; strategic evidence: geopolit, foreign interference; bridge: sentence.</x:v>
      </x:c>
      <x:c r="O235" s="10" t="str"/>
      <x:c r="P235" s="10" t="str"/>
      <x:c r="Q235" s="10" t="str"/>
      <x:c r="R235" s="10" t="str">
        <x:v>2026-09-01T14:15Z</x:v>
      </x:c>
      <x:c r="S235" s="10" t="str">
        <x:v>https://hcss.nl/wp-content/uploads/2026/08/Think-First-Prompt-Second-AI-Code-of-Conduct-HCSS-2026.pdf</x:v>
      </x:c>
    </x:row>
    <x:row r="236">
      <x:c r="A236" s="10" t="n">
        <x:f>'Ranked sources'!B236</x:f>
        <x:v>81</x:v>
      </x:c>
      <x:c r="B236" s="10" t="str">
        <x:v>Developing Researchers’ Competencies through CARE–KNOW–DO and upSKILL.map, aligned with EU and UNESCO Priorities</x:v>
      </x:c>
      <x:c r="C236" s="10" t="str">
        <x:v>2026-05-29</x:v>
      </x:c>
      <x:c r="D236" s="10" t="str">
        <x:v>A</x:v>
      </x:c>
      <x:c r="E236" s="10" t="str">
        <x:v>Open Research Europe</x:v>
      </x:c>
      <x:c r="F236" s="10" t="str">
        <x:v>Alexandra Okada, Kieron Sheehy, Klaus-Dieter Rossade, Arosha K. Bandara</x:v>
      </x:c>
      <x:c r="G236" s="10" t="str">
        <x:v>peer-reviewed article</x:v>
      </x:c>
      <x:c r="H236" s="10" t="str">
        <x:v>Tier 2 broad journal</x:v>
      </x:c>
      <x:c r="I236" s="10" t="str">
        <x:v>direct</x:v>
      </x:c>
      <x:c r="J236" s="10" t="str">
        <x:v>EU</x:v>
      </x:c>
      <x:c r="K236" s="10" t="str">
        <x:v>horizon europe; research careers</x:v>
      </x:c>
      <x:c r="L236" s="10" t="str"/>
      <x:c r="M236" s="10" t="str">
        <x:v>Developing Researchers’ Competencies through CARE–KNOW–DO and upSKILL.map, aligned with EU and UNESCO Priorities.</x:v>
      </x:c>
      <x:c r="N236" s="10" t="str">
        <x:v>Direct EU relevance (EU); R&amp;I evidence: horizon europe, research careers; strategic evidence: substantive strategic evidence; bridge: title/abstract.</x:v>
      </x:c>
      <x:c r="O236" s="10" t="str"/>
      <x:c r="P236" s="10" t="str"/>
      <x:c r="Q236" s="10" t="str"/>
      <x:c r="R236" s="10" t="str">
        <x:v>2026-08-28T13:43Z</x:v>
      </x:c>
      <x:c r="S236" s="10" t="str">
        <x:v>https://doi.org/10.12688/openreseurope.21408.3</x:v>
      </x:c>
    </x:row>
    <x:row r="237">
      <x:c r="A237" s="10" t="n">
        <x:f>'Ranked sources'!B237</x:f>
        <x:v>81</x:v>
      </x:c>
      <x:c r="B237" s="10" t="str">
        <x:v>A sustainable platform for federated health data access, AI innovation, and regulatory acceptance in alignment with the European Health Data Space principles</x:v>
      </x:c>
      <x:c r="C237" s="10" t="str">
        <x:v>2026-05-28</x:v>
      </x:c>
      <x:c r="D237" s="10" t="str">
        <x:v>A</x:v>
      </x:c>
      <x:c r="E237" s="10" t="str">
        <x:v>Open Research Europe</x:v>
      </x:c>
      <x:c r="F237" s="10" t="str">
        <x:v>Erwin Boutsma, Katja Herzog, Rebecca C. Rancourt, Torsten Gerriet Blum, Alberto Moreno, Francisco J. Núñez-Benjumea, Hanna Ćwiek-Kupczyńska, Rada Hussein, et al.</x:v>
      </x:c>
      <x:c r="G237" s="10" t="str">
        <x:v>peer-reviewed article</x:v>
      </x:c>
      <x:c r="H237" s="10" t="str">
        <x:v>Tier 2 broad journal</x:v>
      </x:c>
      <x:c r="I237" s="10" t="str">
        <x:v>direct</x:v>
      </x:c>
      <x:c r="J237" s="10" t="str">
        <x:v>europe; european</x:v>
      </x:c>
      <x:c r="K237" s="10" t="str">
        <x:v>ai + innovation</x:v>
      </x:c>
      <x:c r="L237" s="10" t="str"/>
      <x:c r="M237" s="10" t="str">
        <x:v>The EU AI Act creates a risk-based governance framework for AI systems.</x:v>
      </x:c>
      <x:c r="N237" s="10" t="str">
        <x:v>Direct EU relevance (europe, european); R&amp;I evidence: ai + innovation; strategic evidence: substantive strategic evidence; bridge: title/abstract.</x:v>
      </x:c>
      <x:c r="O237" s="10" t="str"/>
      <x:c r="P237" s="10" t="str"/>
      <x:c r="Q237" s="10" t="str"/>
      <x:c r="R237" s="10" t="str">
        <x:v>2026-08-28T20:50Z</x:v>
      </x:c>
      <x:c r="S237" s="10" t="str">
        <x:v>https://doi.org/10.12688/openreseurope.23459.1</x:v>
      </x:c>
    </x:row>
    <x:row r="238">
      <x:c r="A238" s="10" t="n">
        <x:f>'Ranked sources'!B238</x:f>
        <x:v>81</x:v>
      </x:c>
      <x:c r="B238" s="10" t="str">
        <x:v>New ERA-LEARN Country Report for Portugal</x:v>
      </x:c>
      <x:c r="C238" s="10" t="str">
        <x:v>2026-05-20</x:v>
      </x:c>
      <x:c r="D238" s="10" t="str">
        <x:v>A</x:v>
      </x:c>
      <x:c r="E238" s="10" t="str">
        <x:v>ERA-LEARN</x:v>
      </x:c>
      <x:c r="F238" s="10" t="str">
        <x:v>ERA-LEARN</x:v>
      </x:c>
      <x:c r="G238" s="10" t="str">
        <x:v>institutional report</x:v>
      </x:c>
      <x:c r="H238" s="10" t="str">
        <x:v>Tier 2</x:v>
      </x:c>
      <x:c r="I238" s="10" t="str">
        <x:v>direct</x:v>
      </x:c>
      <x:c r="J238" s="10" t="str">
        <x:v>portugal</x:v>
      </x:c>
      <x:c r="K238" s="10" t="str">
        <x:v>research and innovation; r&amp;i; horizon europe</x:v>
      </x:c>
      <x:c r="L238" s="10" t="str"/>
      <x:c r="M238" s="10" t="str">
        <x:v>Who are the key R&amp;I funders in Portugal?</x:v>
      </x:c>
      <x:c r="N238" s="10" t="str">
        <x:v>Direct European/EU relevance (portugal); R&amp;I evidence: research and innovation, r&amp;i; strategic significance is not explicit in the source and should be assessed as a possible longer-run implication.</x:v>
      </x:c>
      <x:c r="O238" s="10" t="str"/>
      <x:c r="P238" s="10" t="str"/>
      <x:c r="Q238" s="10" t="str"/>
      <x:c r="R238" s="10" t="str">
        <x:v>2026-09-01T15:59Z</x:v>
      </x:c>
      <x:c r="S238" s="10" t="str">
        <x:v>https://www.era-learn.eu/documents/era-learn_country_report_portugal.pdf</x:v>
      </x:c>
    </x:row>
    <x:row r="239">
      <x:c r="A239" s="10" t="n">
        <x:f>'Ranked sources'!B239</x:f>
        <x:v>80</x:v>
      </x:c>
      <x:c r="B239" s="10" t="str">
        <x:v>The EU's Tech Sovereignty Package and the future of European digital power | Digital Watch Observatory</x:v>
      </x:c>
      <x:c r="C239" s="10" t="str">
        <x:v>2026-06-10</x:v>
      </x:c>
      <x:c r="D239" s="10" t="str">
        <x:v>A</x:v>
      </x:c>
      <x:c r="E239" s="10" t="str">
        <x:v>Digital Watch Observatory.</x:v>
      </x:c>
      <x:c r="F239" s="10" t="str">
        <x:v>reyhand@diplomacy.edu</x:v>
      </x:c>
      <x:c r="G239" s="10" t="str">
        <x:v>research/policy paper</x:v>
      </x:c>
      <x:c r="H239" s="10" t="str">
        <x:v>Tier 2</x:v>
      </x:c>
      <x:c r="I239" s="10" t="str">
        <x:v>direct</x:v>
      </x:c>
      <x:c r="J239" s="10" t="str"/>
      <x:c r="K239" s="10" t="str"/>
      <x:c r="L239" s="10" t="str"/>
      <x:c r="M239" s="10" t="str">
        <x:v>Chips Act 2.0 The Chips Act 2.0 revises and expands the 2023 European Chips Act.</x:v>
      </x:c>
      <x:c r="N239" s="10" t="str">
        <x:v>Direct EU relevance (EU, europe); R&amp;I evidence: research and innovation, research excellence; strategic evidence: geopolit, technological sovereignty; bridge: sentence.</x:v>
      </x:c>
      <x:c r="O239" s="10" t="str">
        <x:v>infrastructure-A</x:v>
      </x:c>
      <x:c r="P239" s="10" t="str"/>
      <x:c r="Q239" s="10" t="str">
        <x:v>both</x:v>
      </x:c>
      <x:c r="R239" s="10" t="str">
        <x:v>2026-08-27T17:46Z</x:v>
      </x:c>
      <x:c r="S239" s="10" t="str">
        <x:v>https://dig.watch/updates/the-eus-tech-sovereignty-package-and-the-future-of-european-digital-power</x:v>
      </x:c>
    </x:row>
    <x:row r="240">
      <x:c r="A240" s="10" t="n">
        <x:f>'Ranked sources'!B240</x:f>
        <x:v>77</x:v>
      </x:c>
      <x:c r="B240" s="10" t="str">
        <x:v>‘Like a light switch that is on and off at the same time’. A content analysis of signaled metaphors for quantum science and technology in Dutch newspapers</x:v>
      </x:c>
      <x:c r="C240" s="10" t="str">
        <x:v>2026-08-29</x:v>
      </x:c>
      <x:c r="D240" s="10" t="str">
        <x:v>A</x:v>
      </x:c>
      <x:c r="E240" s="10" t="str">
        <x:v>Language &amp; Communication</x:v>
      </x:c>
      <x:c r="F240" s="10" t="str">
        <x:v>Dunja Wackers, Aletta Meinsma, Gudrun Reijnierse, Margriet van der Heijden, Ionica Smeets, Julia Cramer</x:v>
      </x:c>
      <x:c r="G240" s="10" t="str">
        <x:v>peer-reviewed article</x:v>
      </x:c>
      <x:c r="H240" s="10" t="str">
        <x:v>Tier 2 trusted-publisher journal</x:v>
      </x:c>
      <x:c r="I240" s="10" t="str">
        <x:v>direct</x:v>
      </x:c>
      <x:c r="J240" s="10" t="str">
        <x:v>dutch</x:v>
      </x:c>
      <x:c r="K240" s="10" t="str">
        <x:v>quantum + science; quantum + research</x:v>
      </x:c>
      <x:c r="L240" s="10" t="str"/>
      <x:c r="M240" s="10" t="str">
        <x:v>‘Like a light switch that is on and off at the same time’.</x:v>
      </x:c>
      <x:c r="N240" s="10" t="str">
        <x:v>Direct European/EU relevance (dutch); R&amp;I evidence: quantum + science, quantum + research; strategic significance is not explicit in the source and should be assessed as a possible longer-run implication.</x:v>
      </x:c>
      <x:c r="O240" s="10" t="str"/>
      <x:c r="P240" s="10" t="str"/>
      <x:c r="Q240" s="10" t="str"/>
      <x:c r="R240" s="10" t="str">
        <x:v>2026-09-02T07:38Z</x:v>
      </x:c>
      <x:c r="S240" s="10" t="str">
        <x:v>https://doi.org/10.1016/j.langcom.2026.07.004</x:v>
      </x:c>
    </x:row>
    <x:row r="241">
      <x:c r="A241" s="10" t="n">
        <x:f>'Ranked sources'!B241</x:f>
        <x:v>77</x:v>
      </x:c>
      <x:c r="B241" s="10" t="str">
        <x:v>Exploring the European climate services landscape: Can we make it more equitable?</x:v>
      </x:c>
      <x:c r="C241" s="10" t="str">
        <x:v>2026-08-27</x:v>
      </x:c>
      <x:c r="D241" s="10" t="str">
        <x:v>A</x:v>
      </x:c>
      <x:c r="E241" s="10" t="str">
        <x:v>Climate Services</x:v>
      </x:c>
      <x:c r="F241" s="10" t="str">
        <x:v>Paula Checchia, Francisco Doblas-Reyes, Adrian Carrascosa, Marta Terrado</x:v>
      </x:c>
      <x:c r="G241" s="10" t="str">
        <x:v>peer-reviewed article</x:v>
      </x:c>
      <x:c r="H241" s="10" t="str">
        <x:v>Tier 2 trusted-publisher journal</x:v>
      </x:c>
      <x:c r="I241" s="10" t="str">
        <x:v>direct</x:v>
      </x:c>
      <x:c r="J241" s="10" t="str">
        <x:v>europe; european</x:v>
      </x:c>
      <x:c r="K241" s="10" t="str">
        <x:v>research and innovation</x:v>
      </x:c>
      <x:c r="L241" s="10" t="str"/>
      <x:c r="M241" s="10" t="str">
        <x:v>Exploring the European climate services landscape: Can we make it more equitable?.</x:v>
      </x:c>
      <x:c r="N241" s="10" t="str">
        <x:v>Direct European/EU relevance (europe, european); R&amp;I evidence: research and innovation; strategic significance is not explicit in the source and should be assessed as a possible longer-run implication.</x:v>
      </x:c>
      <x:c r="O241" s="10" t="str"/>
      <x:c r="P241" s="10" t="str"/>
      <x:c r="Q241" s="10" t="str"/>
      <x:c r="R241" s="10" t="str">
        <x:v>2026-09-01T11:01Z</x:v>
      </x:c>
      <x:c r="S241" s="10" t="str">
        <x:v>https://doi.org/10.1016/j.cliser.2026.100702</x:v>
      </x:c>
    </x:row>
    <x:row r="242">
      <x:c r="A242" s="10" t="n">
        <x:f>'Ranked sources'!B242</x:f>
        <x:v>77</x:v>
      </x:c>
      <x:c r="B242" s="10" t="str">
        <x:v>Research and technology infrastructures in the European hydrogen economy: Status, needs and innovation concepts</x:v>
      </x:c>
      <x:c r="C242" s="10" t="str">
        <x:v>2026-08-27</x:v>
      </x:c>
      <x:c r="D242" s="10" t="str">
        <x:v>A</x:v>
      </x:c>
      <x:c r="E242" s="10" t="str">
        <x:v>International Journal of Hydrogen Energy</x:v>
      </x:c>
      <x:c r="F242" s="10" t="str">
        <x:v>S. Abermann, Viviana Cigolotti, Mariya Ivanova, Marie Macherhammer, Louis Mazurkiewicz, Julie Mougin, Julián Puszkiel</x:v>
      </x:c>
      <x:c r="G242" s="10" t="str">
        <x:v>peer-reviewed article</x:v>
      </x:c>
      <x:c r="H242" s="10" t="str">
        <x:v>Tier 2 trusted-publisher journal</x:v>
      </x:c>
      <x:c r="I242" s="10" t="str">
        <x:v>direct</x:v>
      </x:c>
      <x:c r="J242" s="10" t="str">
        <x:v>europe; european</x:v>
      </x:c>
      <x:c r="K242" s="10" t="str">
        <x:v>technology development; ai + funding</x:v>
      </x:c>
      <x:c r="L242" s="10" t="str"/>
      <x:c r="M242" s="10" t="str">
        <x:v>Research and technology infrastructures in the European hydrogen economy: Status, needs and innovation concepts.</x:v>
      </x:c>
      <x:c r="N242" s="10" t="str">
        <x:v>Direct European/EU relevance (europe, european); R&amp;I evidence: technology development, ai + funding; strategic significance is not explicit in the source and should be assessed as a possible longer-run implication.</x:v>
      </x:c>
      <x:c r="O242" s="10" t="str"/>
      <x:c r="P242" s="10" t="str"/>
      <x:c r="Q242" s="10" t="str"/>
      <x:c r="R242" s="10" t="str">
        <x:v>2026-09-01T09:06Z</x:v>
      </x:c>
      <x:c r="S242" s="10" t="str">
        <x:v>https://doi.org/10.1016/j.ijhydene.2026.157061</x:v>
      </x:c>
    </x:row>
    <x:row r="243">
      <x:c r="A243" s="10" t="n">
        <x:f>'Ranked sources'!B243</x:f>
        <x:v>77</x:v>
      </x:c>
      <x:c r="B243" s="10" t="str">
        <x:v>Strategic competitiveness between the EU and the United States in artificial intelligence development – human capital, legal frameworks and data</x:v>
      </x:c>
      <x:c r="C243" s="10" t="str">
        <x:v>2026-08-27</x:v>
      </x:c>
      <x:c r="D243" s="10" t="str">
        <x:v>A</x:v>
      </x:c>
      <x:c r="E243" s="10" t="str">
        <x:v>Kortowski Przegląd Prawniczy</x:v>
      </x:c>
      <x:c r="F243" s="10" t="str">
        <x:v>Robert Lizak</x:v>
      </x:c>
      <x:c r="G243" s="10" t="str">
        <x:v>peer-reviewed article</x:v>
      </x:c>
      <x:c r="H243" s="10" t="str">
        <x:v>Tier 2 broad journal</x:v>
      </x:c>
      <x:c r="I243" s="10" t="str">
        <x:v>direct</x:v>
      </x:c>
      <x:c r="J243" s="10" t="str">
        <x:v>EU</x:v>
      </x:c>
      <x:c r="K243" s="10" t="str">
        <x:v>technological innovation; artificial intelligence + competitiveness; ai + innovation; ai + commercialization</x:v>
      </x:c>
      <x:c r="L243" s="10" t="str"/>
      <x:c r="M243" s="10" t="str">
        <x:v>Strategic competitiveness between the EU and the US in AI development – human capital, legal frameworks and data.</x:v>
      </x:c>
      <x:c r="N243" s="10" t="str">
        <x:v>Direct EU relevance (EU); R&amp;I evidence: technological innovation, artificial intelligence + competitiveness; strategic evidence: substantive strategic evidence; bridge: title/abstract.</x:v>
      </x:c>
      <x:c r="O243" s="10" t="str">
        <x:v>conversion-C</x:v>
      </x:c>
      <x:c r="P243" s="10" t="str"/>
      <x:c r="Q243" s="10" t="str"/>
      <x:c r="R243" s="10" t="str">
        <x:v>2026-08-28T13:43Z</x:v>
      </x:c>
      <x:c r="S243" s="10" t="str">
        <x:v>https://doi.org/10.31648/kpp.12912</x:v>
      </x:c>
    </x:row>
    <x:row r="244">
      <x:c r="A244" s="10" t="n">
        <x:f>'Ranked sources'!B244</x:f>
        <x:v>77</x:v>
      </x:c>
      <x:c r="B244" s="10" t="str">
        <x:v>Creative hubs and regional innovation: Intermediary institutions in the mediterranean textile sector</x:v>
      </x:c>
      <x:c r="C244" s="10" t="str">
        <x:v>2026-08-26</x:v>
      </x:c>
      <x:c r="D244" s="10" t="str">
        <x:v>A</x:v>
      </x:c>
      <x:c r="E244" s="10" t="str">
        <x:v>Regional Science Policy &amp; Practice</x:v>
      </x:c>
      <x:c r="F244" s="10" t="str">
        <x:v>Raül Abeledo-Sanchís, Virgilio Pérez, Pau Rausell Köster</x:v>
      </x:c>
      <x:c r="G244" s="10" t="str">
        <x:v>peer-reviewed article</x:v>
      </x:c>
      <x:c r="H244" s="10" t="str">
        <x:v>Tier 2 trusted-publisher journal</x:v>
      </x:c>
      <x:c r="I244" s="10" t="str">
        <x:v>direct</x:v>
      </x:c>
      <x:c r="J244" s="10" t="str">
        <x:v>EU</x:v>
      </x:c>
      <x:c r="K244" s="10" t="str">
        <x:v>innovation policy; innovation system; industrial innovation</x:v>
      </x:c>
      <x:c r="L244" s="10" t="str"/>
      <x:c r="M244" s="10" t="str">
        <x:v>Drawing on evidence from the EU-funded CreativeWear project (2016–2019) across five Mediterranean regions, it analyses how hubs mobilise creative, symbolic, and place-based knowledge within industrial innovation processes, facilitate collaboration between creative and industrial actors, and contribute to regional innovation policy. The findings identify three interrelated intermediary functions—matchmaking, adding value, and connecting—and show how territorially embedded hubs can support place-based innovation while facing persistent challenges of institutionalisation within regional innovation systems and Smart Specialisation frameworks. Creative hubs and regional innovation: Intermediary institutions in the mediterranean textile sector.</x:v>
      </x:c>
      <x:c r="N244" s="10" t="str">
        <x:v>Direct European/EU relevance (EU); R&amp;I evidence: innovation policy, innovation system; strategic significance is not explicit in the source and should be assessed as a possible longer-run implication.</x:v>
      </x:c>
      <x:c r="O244" s="10" t="str"/>
      <x:c r="P244" s="10" t="str"/>
      <x:c r="Q244" s="10" t="str"/>
      <x:c r="R244" s="10" t="str">
        <x:v>2026-09-01T11:01Z</x:v>
      </x:c>
      <x:c r="S244" s="10" t="str">
        <x:v>https://doi.org/10.1016/j.rspp.2026.100343</x:v>
      </x:c>
    </x:row>
    <x:row r="245">
      <x:c r="A245" s="10" t="n">
        <x:f>'Ranked sources'!B245</x:f>
        <x:v>77</x:v>
      </x:c>
      <x:c r="B245" s="10" t="str">
        <x:v>Beyond Economic Growth: Reassessing Economic Development as a Driver of Sustainable Development Goal Achievement</x:v>
      </x:c>
      <x:c r="C245" s="10" t="str">
        <x:v>2026-08-25</x:v>
      </x:c>
      <x:c r="D245" s="10" t="str">
        <x:v>A</x:v>
      </x:c>
      <x:c r="E245" s="10" t="str">
        <x:v>Inverge Journal of Social Sciences</x:v>
      </x:c>
      <x:c r="F245" s="10" t="str">
        <x:v>Prof. Dr. Afaq Ali Khan, Shumaila Khan, Abdul Jabar, Samrana Afzal</x:v>
      </x:c>
      <x:c r="G245" s="10" t="str">
        <x:v>peer-reviewed article</x:v>
      </x:c>
      <x:c r="H245" s="10" t="str">
        <x:v>Tier 2 broad journal</x:v>
      </x:c>
      <x:c r="I245" s="10" t="str">
        <x:v>direct</x:v>
      </x:c>
      <x:c r="J245" s="10" t="str">
        <x:v>european commission</x:v>
      </x:c>
      <x:c r="K245" s="10" t="str">
        <x:v>artificial intelligence + science</x:v>
      </x:c>
      <x:c r="L245" s="10" t="str">
        <x:v>geopolit</x:v>
      </x:c>
      <x:c r="M245" s="10" t="str">
        <x:v>Beyond Economic Growth: Reassessing Economic Development as a Driver of Sustainable Development Goal Achievement.</x:v>
      </x:c>
      <x:c r="N245" s="10" t="str">
        <x:v>Direct EU relevance (european commission); R&amp;I evidence: artificial intelligence + science; strategic evidence: geopolit; bridge: title/abstract.</x:v>
      </x:c>
      <x:c r="O245" s="10" t="str"/>
      <x:c r="P245" s="10" t="str"/>
      <x:c r="Q245" s="10" t="str"/>
      <x:c r="R245" s="10" t="str">
        <x:v>2026-08-29T16:45Z</x:v>
      </x:c>
      <x:c r="S245" s="10" t="str">
        <x:v>https://doi.org/10.63544/ijss.v5i4.331</x:v>
      </x:c>
    </x:row>
    <x:row r="246">
      <x:c r="A246" s="10" t="n">
        <x:f>'Ranked sources'!B246</x:f>
        <x:v>77</x:v>
      </x:c>
      <x:c r="B246" s="10" t="str">
        <x:v>Internationalization of higher education in Ukraine: strategic priorities for integration into the European higher education area</x:v>
      </x:c>
      <x:c r="C246" s="10" t="str">
        <x:v>2026-08-25</x:v>
      </x:c>
      <x:c r="D246" s="10" t="str">
        <x:v>A</x:v>
      </x:c>
      <x:c r="E246" s="10" t="str">
        <x:v>Academic Visions</x:v>
      </x:c>
      <x:c r="F246" s="10" t="str">
        <x:v>Nataliia Lazurina, Yuliia Haidenko, Iryna Nosach</x:v>
      </x:c>
      <x:c r="G246" s="10" t="str">
        <x:v>peer-reviewed article</x:v>
      </x:c>
      <x:c r="H246" s="10" t="str">
        <x:v>Tier 2 broad journal</x:v>
      </x:c>
      <x:c r="I246" s="10" t="str">
        <x:v>direct</x:v>
      </x:c>
      <x:c r="J246" s="10" t="str"/>
      <x:c r="K246" s="10" t="str"/>
      <x:c r="L246" s="10" t="str"/>
      <x:c r="M246" s="10" t="str">
        <x:v>Expanding international research cooperation, strengthening the institutional capacity of universities.</x:v>
      </x:c>
      <x:c r="N246" s="10" t="str">
        <x:v>Direct EU relevance (europe, european); R&amp;I evidence: international research cooperation, horizon europe; strategic evidence: substantive strategic evidence; bridge: title/abstract.</x:v>
      </x:c>
      <x:c r="O246" s="10" t="str">
        <x:v>knowledge-C</x:v>
      </x:c>
      <x:c r="P246" s="10" t="str"/>
      <x:c r="Q246" s="10" t="str"/>
      <x:c r="R246" s="10" t="str">
        <x:v>2026-08-25T16:21Z</x:v>
      </x:c>
      <x:c r="S246" s="10" t="str">
        <x:v>https://doi.org/10.66556/2786-586x.58.lazurina-n</x:v>
      </x:c>
    </x:row>
    <x:row r="247">
      <x:c r="A247" s="10" t="n">
        <x:f>'Ranked sources'!B247</x:f>
        <x:v>77</x:v>
      </x:c>
      <x:c r="B247" s="10" t="str">
        <x:v>Project-Mediated Europeanisation in Poland–Ukraine University Cooperation: A Document-Based Case Study</x:v>
      </x:c>
      <x:c r="C247" s="10" t="str">
        <x:v>2026-08-21</x:v>
      </x:c>
      <x:c r="D247" s="10" t="str">
        <x:v>A</x:v>
      </x:c>
      <x:c r="E247" s="10" t="str">
        <x:v>AI, Law, Politics</x:v>
      </x:c>
      <x:c r="F247" s="10" t="str">
        <x:v>Olena Semenog</x:v>
      </x:c>
      <x:c r="G247" s="10" t="str">
        <x:v>peer-reviewed article</x:v>
      </x:c>
      <x:c r="H247" s="10" t="str">
        <x:v>Tier 2 broad journal</x:v>
      </x:c>
      <x:c r="I247" s="10" t="str">
        <x:v>direct</x:v>
      </x:c>
      <x:c r="J247" s="10" t="str"/>
      <x:c r="K247" s="10" t="str"/>
      <x:c r="L247" s="10" t="str"/>
      <x:c r="M247" s="10" t="str">
        <x:v>A bounded normative synthesis of EU data-protection, AI.</x:v>
      </x:c>
      <x:c r="N247" s="10" t="str">
        <x:v>Direct EU relevance (europe, european); R&amp;I evidence: ai + research; strategic evidence: substantive strategic evidence; bridge: title/abstract.</x:v>
      </x:c>
      <x:c r="O247" s="10" t="str"/>
      <x:c r="P247" s="10" t="str"/>
      <x:c r="Q247" s="10" t="str"/>
      <x:c r="R247" s="10" t="str">
        <x:v>2026-08-24T05:33Z</x:v>
      </x:c>
      <x:c r="S247" s="10" t="str">
        <x:v>https://doi.org/10.5709/alp-02.s1.2026-03</x:v>
      </x:c>
    </x:row>
    <x:row r="248">
      <x:c r="A248" s="10" t="n">
        <x:f>'Ranked sources'!B248</x:f>
        <x:v>77</x:v>
      </x:c>
      <x:c r="B248" s="10" t="str">
        <x:v>Business enterprise expenditure on research and development in the European Union in an international context</x:v>
      </x:c>
      <x:c r="C248" s="10" t="str">
        <x:v>2026-08-20</x:v>
      </x:c>
      <x:c r="D248" s="10" t="str">
        <x:v>A</x:v>
      </x:c>
      <x:c r="E248" s="10" t="str">
        <x:v>Journal of Entrepreneurship and Sustainability Issues</x:v>
      </x:c>
      <x:c r="F248" s="10" t="str">
        <x:v>Tomáš Cejpek, Michal Ruschak, Petra Mrázová</x:v>
      </x:c>
      <x:c r="G248" s="10" t="str">
        <x:v>peer-reviewed article</x:v>
      </x:c>
      <x:c r="H248" s="10" t="str">
        <x:v>Tier 2 broad journal</x:v>
      </x:c>
      <x:c r="I248" s="10" t="str">
        <x:v>direct</x:v>
      </x:c>
      <x:c r="J248" s="10" t="str"/>
      <x:c r="K248" s="10" t="str"/>
      <x:c r="L248" s="10" t="str"/>
      <x:c r="M248" s="10" t="str">
        <x:v>EU business R&amp;D spending is compared in an international context.</x:v>
      </x:c>
      <x:c r="N248" s="10" t="str">
        <x:v>Direct EU relevance (european union, europe); R&amp;I evidence: research and development; strategic evidence: substantive strategic evidence; bridge: title/abstract.</x:v>
      </x:c>
      <x:c r="O248" s="10" t="str"/>
      <x:c r="P248" s="10" t="str"/>
      <x:c r="Q248" s="10" t="str"/>
      <x:c r="R248" s="10" t="str">
        <x:v>2026-08-23T18:22Z</x:v>
      </x:c>
      <x:c r="S248" s="10" t="str">
        <x:v>https://doi.org/10.9770/x5483448482</x:v>
      </x:c>
    </x:row>
    <x:row r="249">
      <x:c r="A249" s="10" t="n">
        <x:f>'Ranked sources'!B249</x:f>
        <x:v>77</x:v>
      </x:c>
      <x:c r="B249" s="10" t="str">
        <x:v>Drivers of carbon emissions in G7 economies: Evidence on energy use, globalisation, urbanisation, industrialisation and innovation</x:v>
      </x:c>
      <x:c r="C249" s="10" t="str">
        <x:v>2026-08-20</x:v>
      </x:c>
      <x:c r="D249" s="10" t="str">
        <x:v>A</x:v>
      </x:c>
      <x:c r="E249" s="10" t="str">
        <x:v>Energy Reports</x:v>
      </x:c>
      <x:c r="F249" s="10" t="str">
        <x:v>Lohansa Weerasinghe, Nadeesha Vithanage, Dinidu Rupasinghe, Chandrakumar Keesha, Ruwan Jayathilaka</x:v>
      </x:c>
      <x:c r="G249" s="10" t="str">
        <x:v>peer-reviewed article</x:v>
      </x:c>
      <x:c r="H249" s="10" t="str">
        <x:v>Tier 2 trusted-publisher journal</x:v>
      </x:c>
      <x:c r="I249" s="10" t="str">
        <x:v>direct</x:v>
      </x:c>
      <x:c r="J249" s="10" t="str">
        <x:v>france; germany; italy</x:v>
      </x:c>
      <x:c r="K249" s="10" t="str">
        <x:v>technological innovation</x:v>
      </x:c>
      <x:c r="L249" s="10" t="str"/>
      <x:c r="M249" s="10" t="str">
        <x:v>energy consumption is a robust driver of CO₂ emissions across the G7.</x:v>
      </x:c>
      <x:c r="N249" s="10" t="str">
        <x:v>Direct European/EU relevance (france, germany); R&amp;I evidence: technological innovation; strategic significance is not explicit in the source and should be assessed as a possible longer-run implication.</x:v>
      </x:c>
      <x:c r="O249" s="10" t="str"/>
      <x:c r="P249" s="10" t="str"/>
      <x:c r="Q249" s="10" t="str"/>
      <x:c r="R249" s="10" t="str">
        <x:v>2026-09-02T11:41Z</x:v>
      </x:c>
      <x:c r="S249" s="10" t="str">
        <x:v>https://doi.org/10.1016/j.egyr.2026.109642</x:v>
      </x:c>
    </x:row>
    <x:row r="250">
      <x:c r="A250" s="10" t="n">
        <x:f>'Ranked sources'!B250</x:f>
        <x:v>77</x:v>
      </x:c>
      <x:c r="B250" s="10" t="str">
        <x:v>A Systems-Informed Assessment of Türkiye’s Digital, Human-Capability, and Innovation Enablers for Industry 5.0 Relative to the EU-27: An Integrated CRITIC–MARCOS and Entropy–TOPSIS Approach</x:v>
      </x:c>
      <x:c r="C250" s="10" t="str">
        <x:v>2026-08-18</x:v>
      </x:c>
      <x:c r="D250" s="10" t="str">
        <x:v>A</x:v>
      </x:c>
      <x:c r="E250" s="10" t="str">
        <x:v>Systems</x:v>
      </x:c>
      <x:c r="F250" s="10" t="str">
        <x:v>Alaeddin Koska</x:v>
      </x:c>
      <x:c r="G250" s="10" t="str">
        <x:v>peer-reviewed article</x:v>
      </x:c>
      <x:c r="H250" s="10" t="str">
        <x:v>Tier 2 broad journal</x:v>
      </x:c>
      <x:c r="I250" s="10" t="str">
        <x:v>direct</x:v>
      </x:c>
      <x:c r="J250" s="10" t="str">
        <x:v>EU</x:v>
      </x:c>
      <x:c r="K250" s="10" t="str">
        <x:v>r&amp;d; innovation capacity; artificial intelligence + r&amp;d</x:v>
      </x:c>
      <x:c r="L250" s="10" t="str"/>
      <x:c r="M250" s="10" t="str">
        <x:v>Türkiye ranks 28th under CRITIC–MARCOS and remains between 26th and 28th across the principal specifications.</x:v>
      </x:c>
      <x:c r="N250" s="10" t="str">
        <x:v>Direct EU relevance (EU); R&amp;I evidence: r&amp;d, innovation capacity; strategic evidence: substantive strategic evidence; bridge: title/abstract.</x:v>
      </x:c>
      <x:c r="O250" s="10" t="str"/>
      <x:c r="P250" s="10" t="str"/>
      <x:c r="Q250" s="10" t="str"/>
      <x:c r="R250" s="10" t="str">
        <x:v>2026-08-28T13:43Z</x:v>
      </x:c>
      <x:c r="S250" s="10" t="str">
        <x:v>https://doi.org/10.3390/systems14081017</x:v>
      </x:c>
    </x:row>
    <x:row r="251">
      <x:c r="A251" s="10" t="n">
        <x:f>'Ranked sources'!B251</x:f>
        <x:v>77</x:v>
      </x:c>
      <x:c r="B251" s="10" t="str">
        <x:v>Opportunities for vein‐to‐vein datasets from a blood establishment perspective: Towards a ‘Pan‐European Transfusion Research InfrAstructure ’</x:v>
      </x:c>
      <x:c r="C251" s="10" t="str">
        <x:v>2026-08-18</x:v>
      </x:c>
      <x:c r="D251" s="10" t="str">
        <x:v>A</x:v>
      </x:c>
      <x:c r="E251" s="10" t="str">
        <x:v>Vox Sanguinis</x:v>
      </x:c>
      <x:c r="F251" s="10" t="str">
        <x:v>Sophie M. T. Wehrens, Mikko Arvas, Suzanne F. Fustolo‐Gunnink, Matea Vinković Vlah, Allison Waters, Christian Erikstrup, Louise Ørnskov Drechsler, Simon J. Stanworth, et al.</x:v>
      </x:c>
      <x:c r="G251" s="10" t="str">
        <x:v>peer-reviewed article</x:v>
      </x:c>
      <x:c r="H251" s="10" t="str">
        <x:v>Tier 2 trusted-publisher journal</x:v>
      </x:c>
      <x:c r="I251" s="10" t="str">
        <x:v>direct</x:v>
      </x:c>
      <x:c r="J251" s="10" t="str">
        <x:v>europe; european</x:v>
      </x:c>
      <x:c r="K251" s="10" t="str">
        <x:v>research infrastructure</x:v>
      </x:c>
      <x:c r="L251" s="10" t="str"/>
      <x:c r="M251" s="10" t="str">
        <x:v>Materials and Methods An online survey was circulated to the European Blood Alliance's BE‐members.</x:v>
      </x:c>
      <x:c r="N251" s="10" t="str">
        <x:v>Direct European/EU relevance (europe, european); R&amp;I evidence: research infrastructure; strategic significance is not explicit in the source and should be assessed as a possible longer-run implication.</x:v>
      </x:c>
      <x:c r="O251" s="10" t="str"/>
      <x:c r="P251" s="10" t="str"/>
      <x:c r="Q251" s="10" t="str"/>
      <x:c r="R251" s="10" t="str">
        <x:v>2026-09-01T09:39Z</x:v>
      </x:c>
      <x:c r="S251" s="10" t="str">
        <x:v>https://doi.org/10.1111/vox.70340</x:v>
      </x:c>
    </x:row>
    <x:row r="252">
      <x:c r="A252" s="10" t="n">
        <x:f>'Ranked sources'!B252</x:f>
        <x:v>77</x:v>
      </x:c>
      <x:c r="B252" s="10" t="str">
        <x:v>From prototype to infrastructure: building a cross-realm European alert system for invasive alien species</x:v>
      </x:c>
      <x:c r="C252" s="10" t="str">
        <x:v>2026-08-17</x:v>
      </x:c>
      <x:c r="D252" s="10" t="str">
        <x:v>A</x:v>
      </x:c>
      <x:c r="E252" s="10" t="str">
        <x:v>ARPHA Conference Abstracts</x:v>
      </x:c>
      <x:c r="F252" s="10" t="str">
        <x:v>Quentin Groom, Tim Adriaens, Lissa Breugelmans, Nicolas Noé, Damiano Oldoni</x:v>
      </x:c>
      <x:c r="G252" s="10" t="str">
        <x:v>peer-reviewed article</x:v>
      </x:c>
      <x:c r="H252" s="10" t="str">
        <x:v>Tier 2 broad journal</x:v>
      </x:c>
      <x:c r="I252" s="10" t="str">
        <x:v>direct</x:v>
      </x:c>
      <x:c r="J252" s="10" t="str">
        <x:v>europe; european</x:v>
      </x:c>
      <x:c r="K252" s="10" t="str">
        <x:v>horizon europe</x:v>
      </x:c>
      <x:c r="L252" s="10" t="str"/>
      <x:c r="M252" s="10" t="str">
        <x:v>From prototype to infrastructure: building a cross-realm European alert system for invasive alien species.</x:v>
      </x:c>
      <x:c r="N252" s="10" t="str">
        <x:v>Direct EU relevance (europe, european); R&amp;I evidence: horizon europe; strategic evidence: substantive strategic evidence; bridge: title/abstract.</x:v>
      </x:c>
      <x:c r="O252" s="10" t="str"/>
      <x:c r="P252" s="10" t="str"/>
      <x:c r="Q252" s="10" t="str"/>
      <x:c r="R252" s="10" t="str">
        <x:v>2026-08-28T20:15Z</x:v>
      </x:c>
      <x:c r="S252" s="10" t="str">
        <x:v>https://doi.org/10.3897/aca.9.e202294</x:v>
      </x:c>
    </x:row>
    <x:row r="253">
      <x:c r="A253" s="10" t="n">
        <x:f>'Ranked sources'!B253</x:f>
        <x:v>77</x:v>
      </x:c>
      <x:c r="B253" s="10" t="str">
        <x:v>Small “Arctic Superpowers”: Technological Capabilities in the A rctic as Symbolic Capital in the Strategic Cultures of Norway and Finland</x:v>
      </x:c>
      <x:c r="C253" s="10" t="str">
        <x:v>2026-08-17</x:v>
      </x:c>
      <x:c r="D253" s="10" t="str">
        <x:v>A</x:v>
      </x:c>
      <x:c r="E253" s="10" t="str">
        <x:v>Journal of International Analytics</x:v>
      </x:c>
      <x:c r="F253" s="10" t="str">
        <x:v>Липунов Н. С.</x:v>
      </x:c>
      <x:c r="G253" s="10" t="str">
        <x:v>peer-reviewed article</x:v>
      </x:c>
      <x:c r="H253" s="10" t="str">
        <x:v>Tier 2 broad journal</x:v>
      </x:c>
      <x:c r="I253" s="10" t="str">
        <x:v>direct</x:v>
      </x:c>
      <x:c r="J253" s="10" t="str"/>
      <x:c r="K253" s="10" t="str"/>
      <x:c r="L253" s="10" t="str"/>
      <x:c r="M253" s="10" t="str">
        <x:v>Play a significant role in this process, positioning themselves.</x:v>
      </x:c>
      <x:c r="N253" s="10" t="str">
        <x:v>Direct EU relevance (finland); R&amp;I evidence: technological capabilities; strategic evidence: substantive strategic evidence; bridge: title/abstract.</x:v>
      </x:c>
      <x:c r="O253" s="10" t="str"/>
      <x:c r="P253" s="10" t="str"/>
      <x:c r="Q253" s="10" t="str"/>
      <x:c r="R253" s="10" t="str">
        <x:v>2026-08-23T18:22Z</x:v>
      </x:c>
      <x:c r="S253" s="10" t="str">
        <x:v>https://doi.org/10.46272/2587-8476-2026-17-2-139-155</x:v>
      </x:c>
    </x:row>
    <x:row r="254">
      <x:c r="A254" s="10" t="n">
        <x:f>'Ranked sources'!B254</x:f>
        <x:v>77</x:v>
      </x:c>
      <x:c r="B254" s="10" t="str">
        <x:v>When less data is better: Exploratory privacy-by-design in AI-based human resource analytics based on synthetic data</x:v>
      </x:c>
      <x:c r="C254" s="10" t="str">
        <x:v>2026-08-17</x:v>
      </x:c>
      <x:c r="D254" s="10" t="str">
        <x:v>A</x:v>
      </x:c>
      <x:c r="E254" s="10" t="str">
        <x:v>Journal of King Saud University - Computer and Information Sciences</x:v>
      </x:c>
      <x:c r="F254" s="10" t="str">
        <x:v>Cristina Iancu, Simona‐Vasilica Oprea, Adela Bârã, Denisa-Maria Iordache</x:v>
      </x:c>
      <x:c r="G254" s="10" t="str">
        <x:v>peer-reviewed article</x:v>
      </x:c>
      <x:c r="H254" s="10" t="str">
        <x:v>Tier 2 trusted-publisher journal</x:v>
      </x:c>
      <x:c r="I254" s="10" t="str">
        <x:v>direct</x:v>
      </x:c>
      <x:c r="J254" s="10" t="str">
        <x:v>europe; european</x:v>
      </x:c>
      <x:c r="K254" s="10" t="str">
        <x:v>technological innovation</x:v>
      </x:c>
      <x:c r="L254" s="10" t="str"/>
      <x:c r="M254" s="10" t="str">
        <x:v>When less data is better: Exploratory privacy-by-design in AI-based human resource analytics based on synthetic data.</x:v>
      </x:c>
      <x:c r="N254" s="10" t="str">
        <x:v>Direct European/EU relevance (europe, european); R&amp;I evidence: technological innovation; strategic evidence: dependence_control, international_coordination, dependency; bridge: title/abstract.</x:v>
      </x:c>
      <x:c r="O254" s="10" t="str"/>
      <x:c r="P254" s="10" t="str"/>
      <x:c r="Q254" s="10" t="str"/>
      <x:c r="R254" s="10" t="str">
        <x:v>2026-09-02T08:56Z</x:v>
      </x:c>
      <x:c r="S254" s="10" t="str">
        <x:v>https://doi.org/10.1007/s44443-026-01108-4</x:v>
      </x:c>
    </x:row>
    <x:row r="255">
      <x:c r="A255" s="10" t="n">
        <x:f>'Ranked sources'!B255</x:f>
        <x:v>77</x:v>
      </x:c>
      <x:c r="B255" s="10" t="str">
        <x:v>Which job offers may mitigate brain drain? An analysis of Italian PhD students</x:v>
      </x:c>
      <x:c r="C255" s="10" t="str">
        <x:v>2026-08-16</x:v>
      </x:c>
      <x:c r="D255" s="10" t="str">
        <x:v>A</x:v>
      </x:c>
      <x:c r="E255" s="10" t="str">
        <x:v>Industry and Higher Education</x:v>
      </x:c>
      <x:c r="F255" s="10" t="str">
        <x:v>Monique Wangyi Dai, Giulio Marini, Hugo Horta</x:v>
      </x:c>
      <x:c r="G255" s="10" t="str">
        <x:v>peer-reviewed article</x:v>
      </x:c>
      <x:c r="H255" s="10" t="str">
        <x:v>Tier 2 broad journal</x:v>
      </x:c>
      <x:c r="I255" s="10" t="str">
        <x:v>direct</x:v>
      </x:c>
      <x:c r="J255" s="10" t="str">
        <x:v>italian</x:v>
      </x:c>
      <x:c r="K255" s="10" t="str">
        <x:v>research-talent flow / brain drain</x:v>
      </x:c>
      <x:c r="L255" s="10" t="str">
        <x:v>research-talent allocation / brain drain</x:v>
      </x:c>
      <x:c r="M255" s="10" t="str">
        <x:v>Which job offers may mitigate brain drain?</x:v>
      </x:c>
      <x:c r="N255" s="10" t="str">
        <x:v>Direct EU relevance (italian); R&amp;I evidence: research-talent flow / brain drain; strategic evidence: research-talent allocation / brain drain; bridge: sentence.</x:v>
      </x:c>
      <x:c r="O255" s="10" t="str">
        <x:v>knowledge-D</x:v>
      </x:c>
      <x:c r="P255" s="10" t="str"/>
      <x:c r="Q255" s="10" t="str"/>
      <x:c r="R255" s="10" t="str">
        <x:v>2026-08-29T10:39Z</x:v>
      </x:c>
      <x:c r="S255" s="10" t="str">
        <x:v>https://doi.org/10.1177/09504222261478187</x:v>
      </x:c>
    </x:row>
    <x:row r="256">
      <x:c r="A256" s="10" t="n">
        <x:f>'Ranked sources'!B256</x:f>
        <x:v>77</x:v>
      </x:c>
      <x:c r="B256" s="10" t="str">
        <x:v>Reconfiguring University Missions in the Knowledge Society: The Case of Portuguese Universities in European Alliances</x:v>
      </x:c>
      <x:c r="C256" s="10" t="str">
        <x:v>2026-08-15</x:v>
      </x:c>
      <x:c r="D256" s="10" t="str">
        <x:v>A</x:v>
      </x:c>
      <x:c r="E256" s="10" t="str">
        <x:v>Higher Education Quarterly</x:v>
      </x:c>
      <x:c r="F256" s="10" t="str">
        <x:v>Teresa Carvalho, Maria J. Rosa, Estela Cunha, Ricardo Ayala, Ana I. Melo, Carina Jordão, Cláudia Figueiredo, José Pedro Silva, et al.</x:v>
      </x:c>
      <x:c r="G256" s="10" t="str">
        <x:v>peer-reviewed article</x:v>
      </x:c>
      <x:c r="H256" s="10" t="str">
        <x:v>Tier 2 trusted-publisher journal</x:v>
      </x:c>
      <x:c r="I256" s="10" t="str">
        <x:v>direct</x:v>
      </x:c>
      <x:c r="J256" s="10" t="str">
        <x:v>europe; european; portuguese</x:v>
      </x:c>
      <x:c r="K256" s="10" t="str">
        <x:v>knowledge transfer</x:v>
      </x:c>
      <x:c r="L256" s="10" t="str"/>
      <x:c r="M256" s="10" t="str">
        <x:v>Findings show that societal engagement is now central to mission discourse, often alongside teaching and research.</x:v>
      </x:c>
      <x:c r="N256" s="10" t="str">
        <x:v>Direct European/EU relevance (europe, european); R&amp;I evidence: knowledge transfer; strategic significance is not explicit in the source and should be assessed as a possible longer-run implication.</x:v>
      </x:c>
      <x:c r="O256" s="10" t="str"/>
      <x:c r="P256" s="10" t="str"/>
      <x:c r="Q256" s="10" t="str"/>
      <x:c r="R256" s="10" t="str">
        <x:v>2026-09-01T11:11Z</x:v>
      </x:c>
      <x:c r="S256" s="10" t="str">
        <x:v>https://doi.org/10.1111/hequ.70152</x:v>
      </x:c>
    </x:row>
    <x:row r="257">
      <x:c r="A257" s="10" t="n">
        <x:f>'Ranked sources'!B257</x:f>
        <x:v>77</x:v>
      </x:c>
      <x:c r="B257" s="10" t="str">
        <x:v>Digital Transformation of Portugal’s Marine Industry: Practical Logic, Strategic Framework, Challenges, and Implications</x:v>
      </x:c>
      <x:c r="C257" s="10" t="str">
        <x:v>2026-08-14</x:v>
      </x:c>
      <x:c r="D257" s="10" t="str">
        <x:v>A</x:v>
      </x:c>
      <x:c r="E257" s="10" t="str">
        <x:v>Critical humanistic social theory.</x:v>
      </x:c>
      <x:c r="F257" s="10" t="str">
        <x:v>Xiaonan Li, Yixin Hao, Zhixing Yin</x:v>
      </x:c>
      <x:c r="G257" s="10" t="str">
        <x:v>peer-reviewed article</x:v>
      </x:c>
      <x:c r="H257" s="10" t="str">
        <x:v>Tier 2 broad journal</x:v>
      </x:c>
      <x:c r="I257" s="10" t="str">
        <x:v>direct</x:v>
      </x:c>
      <x:c r="J257" s="10" t="str"/>
      <x:c r="K257" s="10" t="str"/>
      <x:c r="L257" s="10" t="str"/>
      <x:c r="M257" s="10" t="str">
        <x:v>Adopting literature analysis and case study methods.</x:v>
      </x:c>
      <x:c r="N257" s="10" t="str">
        <x:v>Direct EU relevance (portugal); R&amp;I evidence: digital infrastructure + research; strategic evidence: substantive strategic evidence; bridge: title/abstract.</x:v>
      </x:c>
      <x:c r="O257" s="10" t="str">
        <x:v>knowledge-C</x:v>
      </x:c>
      <x:c r="P257" s="10" t="str"/>
      <x:c r="Q257" s="10" t="str"/>
      <x:c r="R257" s="10" t="str">
        <x:v>2026-08-23T18:22Z</x:v>
      </x:c>
      <x:c r="S257" s="10" t="str">
        <x:v>https://doi.org/10.62177/chst.v3i3.1610</x:v>
      </x:c>
    </x:row>
    <x:row r="258">
      <x:c r="A258" s="10" t="n">
        <x:f>'Ranked sources'!B258</x:f>
        <x:v>77</x:v>
      </x:c>
      <x:c r="B258" s="10" t="str">
        <x:v>Regulatory Research Priorities for AI Use in the Medicine Lifecycle: A European Perspective with Global Relevance</x:v>
      </x:c>
      <x:c r="C258" s="10" t="str">
        <x:v>2026-08-13</x:v>
      </x:c>
      <x:c r="D258" s="10" t="str">
        <x:v>A</x:v>
      </x:c>
      <x:c r="E258" s="10" t="str">
        <x:v>Clinical Pharmacology &amp; Therapeutics</x:v>
      </x:c>
      <x:c r="F258" s="10" t="str">
        <x:v>Luis C. Pinheiro, Amanda C. Langston, Marie Orre, Joerg Zinserling, Konstantina Boumaki, Bastian V. H. Hornung, Siobhan O'Sullivan, Gabriel Westman, et al.</x:v>
      </x:c>
      <x:c r="G258" s="10" t="str">
        <x:v>peer-reviewed article</x:v>
      </x:c>
      <x:c r="H258" s="10" t="str">
        <x:v>Tier 2 trusted-publisher journal</x:v>
      </x:c>
      <x:c r="I258" s="10" t="str">
        <x:v>direct</x:v>
      </x:c>
      <x:c r="J258" s="10" t="str">
        <x:v>europe; european</x:v>
      </x:c>
      <x:c r="K258" s="10" t="str">
        <x:v>research funding; ai + research; artificial intelligence + research</x:v>
      </x:c>
      <x:c r="L258" s="10" t="str"/>
      <x:c r="M258" s="10" t="str">
        <x:v>Regulatory Research Priorities for AI Use in the Medicine Lifecycle: A European Perspective with Global Relevance.</x:v>
      </x:c>
      <x:c r="N258" s="10" t="str">
        <x:v>Direct European/EU relevance (europe, european); R&amp;I evidence: research funding, ai + research; strategic significance is not explicit in the source and should be assessed as a possible longer-run implication.</x:v>
      </x:c>
      <x:c r="O258" s="10" t="str"/>
      <x:c r="P258" s="10" t="str"/>
      <x:c r="Q258" s="10" t="str"/>
      <x:c r="R258" s="10" t="str">
        <x:v>2026-09-02T05:54Z</x:v>
      </x:c>
      <x:c r="S258" s="10" t="str">
        <x:v>https://doi.org/10.1002/cpt.70400</x:v>
      </x:c>
    </x:row>
    <x:row r="259">
      <x:c r="A259" s="10" t="n">
        <x:f>'Ranked sources'!B259</x:f>
        <x:v>77</x:v>
      </x:c>
      <x:c r="B259" s="10" t="str">
        <x:v>EUMETSAT turns 40: International cooperation as a driver of global leadership in Earth observation</x:v>
      </x:c>
      <x:c r="C259" s="10" t="str">
        <x:v>2026-08-12</x:v>
      </x:c>
      <x:c r="D259" s="10" t="str">
        <x:v>A</x:v>
      </x:c>
      <x:c r="E259" s="10" t="str">
        <x:v>Journal of the European Meteorological Society.</x:v>
      </x:c>
      <x:c r="F259" s="10" t="str">
        <x:v>Paul Counet, Antoine Berment</x:v>
      </x:c>
      <x:c r="G259" s="10" t="str">
        <x:v>peer-reviewed article</x:v>
      </x:c>
      <x:c r="H259" s="10" t="str">
        <x:v>Tier 2 broad journal</x:v>
      </x:c>
      <x:c r="I259" s="10" t="str">
        <x:v>direct</x:v>
      </x:c>
      <x:c r="J259" s="10" t="str"/>
      <x:c r="K259" s="10" t="str"/>
      <x:c r="L259" s="10" t="str"/>
      <x:c r="M259" s="10" t="str">
        <x:v>EUMETSAT turns 40: International cooperation as a driver of global leadership in Earth observation.</x:v>
      </x:c>
      <x:c r="N259" s="10" t="str">
        <x:v>Direct EU relevance (member state, member states); R&amp;I evidence: scientific cooperation; strategic evidence: substantive strategic evidence; bridge: title/abstract.</x:v>
      </x:c>
      <x:c r="O259" s="10" t="str">
        <x:v>knowledge-A</x:v>
      </x:c>
      <x:c r="P259" s="10" t="str"/>
      <x:c r="Q259" s="10" t="str"/>
      <x:c r="R259" s="10" t="str">
        <x:v>2026-08-23T18:22Z</x:v>
      </x:c>
      <x:c r="S259" s="10" t="str">
        <x:v>https://doi.org/10.1016/j.jemets.2026.100047</x:v>
      </x:c>
    </x:row>
    <x:row r="260">
      <x:c r="A260" s="10" t="n">
        <x:f>'Ranked sources'!B260</x:f>
        <x:v>77</x:v>
      </x:c>
      <x:c r="B260" s="10" t="str">
        <x:v>System Leadership for SDG-Aligned Research Security in Ireland</x:v>
      </x:c>
      <x:c r="C260" s="10" t="str">
        <x:v>2026-08-12</x:v>
      </x:c>
      <x:c r="D260" s="10" t="str">
        <x:v>A</x:v>
      </x:c>
      <x:c r="E260" s="10" t="str">
        <x:v>Journal of Research Management and Administration</x:v>
      </x:c>
      <x:c r="F260" s="10" t="str">
        <x:v>Seán Lacey</x:v>
      </x:c>
      <x:c r="G260" s="10" t="str">
        <x:v>peer-reviewed article</x:v>
      </x:c>
      <x:c r="H260" s="10" t="str">
        <x:v>Tier 2 broad journal</x:v>
      </x:c>
      <x:c r="I260" s="10" t="str">
        <x:v>direct</x:v>
      </x:c>
      <x:c r="J260" s="10" t="str"/>
      <x:c r="K260" s="10" t="str"/>
      <x:c r="L260" s="10" t="str"/>
      <x:c r="M260" s="10" t="str">
        <x:v>Research security is emerging as a critical dimension of research governance in Ireland and internationally.</x:v>
      </x:c>
      <x:c r="N260" s="10" t="str">
        <x:v>Direct EU relevance (ireland); R&amp;I evidence: research security, research governance; strategic evidence: research security; bridge: sentence.</x:v>
      </x:c>
      <x:c r="O260" s="10" t="str"/>
      <x:c r="P260" s="10" t="str"/>
      <x:c r="Q260" s="10" t="str"/>
      <x:c r="R260" s="10" t="str">
        <x:v>2026-08-20T06:55Z</x:v>
      </x:c>
      <x:c r="S260" s="10" t="str">
        <x:v>https://doi.org/10.18552/jorma.v5i1.1450</x:v>
      </x:c>
    </x:row>
    <x:row r="261">
      <x:c r="A261" s="10" t="n">
        <x:f>'Ranked sources'!B261</x:f>
        <x:v>77</x:v>
      </x:c>
      <x:c r="B261" s="10" t="str">
        <x:v>Artificial Intelligence and Family Law: The Impact of the EU AI Act Regulatory Framework and Principles on the Use of AI in Family Proceedings</x:v>
      </x:c>
      <x:c r="C261" s="10" t="str">
        <x:v>2026-08-11</x:v>
      </x:c>
      <x:c r="D261" s="10" t="str">
        <x:v>A</x:v>
      </x:c>
      <x:c r="E261" s="10" t="str">
        <x:v>European Journal of Risk Regulation</x:v>
      </x:c>
      <x:c r="F261" s="10" t="str">
        <x:v>Michał A. Piegzik</x:v>
      </x:c>
      <x:c r="G261" s="10" t="str">
        <x:v>peer-reviewed article</x:v>
      </x:c>
      <x:c r="H261" s="10" t="str">
        <x:v>Tier 2 trusted-publisher journal</x:v>
      </x:c>
      <x:c r="I261" s="10" t="str">
        <x:v>direct</x:v>
      </x:c>
      <x:c r="J261" s="10" t="str">
        <x:v>EU</x:v>
      </x:c>
      <x:c r="K261" s="10" t="str">
        <x:v>ai + research</x:v>
      </x:c>
      <x:c r="L261" s="10" t="str"/>
      <x:c r="M261" s="10" t="str">
        <x:v>Abstract The use of AI (AI) in family law.</x:v>
      </x:c>
      <x:c r="N261" s="10" t="str">
        <x:v>Direct European/EU relevance (EU); R&amp;I evidence: ai + research; strategic significance is not explicit in the source and should be assessed as a possible longer-run implication.</x:v>
      </x:c>
      <x:c r="O261" s="10" t="str"/>
      <x:c r="P261" s="10" t="str"/>
      <x:c r="Q261" s="10" t="str"/>
      <x:c r="R261" s="10" t="str">
        <x:v>2026-09-02T10:20Z</x:v>
      </x:c>
      <x:c r="S261" s="10" t="str">
        <x:v>https://doi.org/10.1017/err.2026.10143</x:v>
      </x:c>
    </x:row>
    <x:row r="262">
      <x:c r="A262" s="10" t="n">
        <x:f>'Ranked sources'!B262</x:f>
        <x:v>77</x:v>
      </x:c>
      <x:c r="B262" s="10" t="str">
        <x:v>Research Infrastructures as Bottleneck Resources: A Pathway-Based Evaluation of Support in Challenge-Driven Access</x:v>
      </x:c>
      <x:c r="C262" s="10" t="str">
        <x:v>2026-08-11</x:v>
      </x:c>
      <x:c r="D262" s="10" t="str">
        <x:v>A</x:v>
      </x:c>
      <x:c r="E262" s="10" t="str">
        <x:v>EPJ Research Infrastructures</x:v>
      </x:c>
      <x:c r="F262" s="10" t="str">
        <x:v>Nicolas V. Rüffin, Katharina C. Cramer</x:v>
      </x:c>
      <x:c r="G262" s="10" t="str">
        <x:v>peer-reviewed article</x:v>
      </x:c>
      <x:c r="H262" s="10" t="str">
        <x:v>Tier 2 trusted-publisher journal</x:v>
      </x:c>
      <x:c r="I262" s="10" t="str">
        <x:v>direct</x:v>
      </x:c>
      <x:c r="J262" s="10" t="str">
        <x:v>horizon europe</x:v>
      </x:c>
      <x:c r="K262" s="10" t="str">
        <x:v>research and innovation; horizon europe; research infrastructure; research infrastructures</x:v>
      </x:c>
      <x:c r="L262" s="10" t="str"/>
      <x:c r="M262" s="10" t="str">
        <x:v>Research Infrastructures as Bottleneck Resources: A Pathway-Based Evaluation of Support in Challenge-Driven Access.</x:v>
      </x:c>
      <x:c r="N262" s="10" t="str">
        <x:v>Direct European/EU relevance (horizon europe); R&amp;I evidence: research and innovation, horizon europe; strategic significance is not explicit in the source and should be assessed as a possible longer-run implication.</x:v>
      </x:c>
      <x:c r="O262" s="10" t="str"/>
      <x:c r="P262" s="10" t="str"/>
      <x:c r="Q262" s="10" t="str"/>
      <x:c r="R262" s="10" t="str">
        <x:v>2026-09-01T09:50Z</x:v>
      </x:c>
      <x:c r="S262" s="10" t="str">
        <x:v>https://doi.org/10.1007/s41781-026-00178-3</x:v>
      </x:c>
    </x:row>
    <x:row r="263">
      <x:c r="A263" s="10" t="n">
        <x:f>'Ranked sources'!B263</x:f>
        <x:v>77</x:v>
      </x:c>
      <x:c r="B263" s="10" t="str">
        <x:v>Quantum Technologies as a Driver of Future Industrial Policy</x:v>
      </x:c>
      <x:c r="C263" s="10" t="str">
        <x:v>2026-08-08</x:v>
      </x:c>
      <x:c r="D263" s="10" t="str">
        <x:v>A</x:v>
      </x:c>
      <x:c r="E263" s="10" t="str">
        <x:v>Industrial Policy</x:v>
      </x:c>
      <x:c r="F263" s="10" t="str">
        <x:v>Kerim Tolgahan Narin, Sabri Öz</x:v>
      </x:c>
      <x:c r="G263" s="10" t="str">
        <x:v>peer-reviewed article</x:v>
      </x:c>
      <x:c r="H263" s="10" t="str">
        <x:v>Tier 2 broad journal</x:v>
      </x:c>
      <x:c r="I263" s="10" t="str">
        <x:v>direct</x:v>
      </x:c>
      <x:c r="J263" s="10" t="str"/>
      <x:c r="K263" s="10" t="str"/>
      <x:c r="L263" s="10" t="str"/>
      <x:c r="M263" s="10" t="str">
        <x:v>And sensing promise not only technical breakthroughs but also significant economic and geopolitical consequences.</x:v>
      </x:c>
      <x:c r="N263" s="10" t="str">
        <x:v>Direct EU relevance (european union, european commission); R&amp;I evidence: quantum + industrial policy, quantum + research; strategic evidence: geopolit; bridge: title/abstract.</x:v>
      </x:c>
      <x:c r="O263" s="10" t="str"/>
      <x:c r="P263" s="10" t="str"/>
      <x:c r="Q263" s="10" t="str"/>
      <x:c r="R263" s="10" t="str">
        <x:v>2026-08-23T08:43Z</x:v>
      </x:c>
      <x:c r="S263" s="10" t="str">
        <x:v>https://doi.org/10.61192/indpol.1829442</x:v>
      </x:c>
    </x:row>
    <x:row r="264">
      <x:c r="A264" s="10" t="n">
        <x:f>'Ranked sources'!B264</x:f>
        <x:v>77</x:v>
      </x:c>
      <x:c r="B264" s="10" t="str">
        <x:v>Coordinated clinical trial networks in nephrology: strengthening research infrastructure and improving trial delivery</x:v>
      </x:c>
      <x:c r="C264" s="10" t="str">
        <x:v>2026-08-06</x:v>
      </x:c>
      <x:c r="D264" s="10" t="str">
        <x:v>A</x:v>
      </x:c>
      <x:c r="E264" s="10" t="str">
        <x:v>Clinical Kidney Journal</x:v>
      </x:c>
      <x:c r="F264" s="10" t="str">
        <x:v>Martin H de Borst, Aaltje Y Adema, Jeetindra Balak, Hiddo J L Heerspink, Melanie Schoutteten, Ellen K Hoogeveen, Ewout J Hoorn, Niki Leenders, et al.</x:v>
      </x:c>
      <x:c r="G264" s="10" t="str">
        <x:v>peer-reviewed article</x:v>
      </x:c>
      <x:c r="H264" s="10" t="str">
        <x:v>Tier 2 trusted-publisher journal</x:v>
      </x:c>
      <x:c r="I264" s="10" t="str">
        <x:v>direct</x:v>
      </x:c>
      <x:c r="J264" s="10" t="str">
        <x:v>europe; netherlands</x:v>
      </x:c>
      <x:c r="K264" s="10" t="str">
        <x:v>research infrastructure; research organisation</x:v>
      </x:c>
      <x:c r="L264" s="10" t="str"/>
      <x:c r="M264" s="10" t="str">
        <x:v>Coordinated clinical trial networks in nephrology: strengthening research infrastructure and improving trial delivery.</x:v>
      </x:c>
      <x:c r="N264" s="10" t="str">
        <x:v>Direct European/EU relevance (europe, netherlands); R&amp;I evidence: research infrastructure, research organisation; strategic significance is not explicit in the source and should be assessed as a possible longer-run implication.</x:v>
      </x:c>
      <x:c r="O264" s="10" t="str">
        <x:v>infrastructure-B</x:v>
      </x:c>
      <x:c r="P264" s="10" t="str"/>
      <x:c r="Q264" s="10" t="str"/>
      <x:c r="R264" s="10" t="str">
        <x:v>2026-09-01T09:06Z</x:v>
      </x:c>
      <x:c r="S264" s="10" t="str">
        <x:v>https://doi.org/10.1093/ckj/sfag257</x:v>
      </x:c>
    </x:row>
    <x:row r="265">
      <x:c r="A265" s="10" t="n">
        <x:f>'Ranked sources'!B265</x:f>
        <x:v>77</x:v>
      </x:c>
      <x:c r="B265" s="10" t="str">
        <x:v>Epistemic Authority, Centres, and Peripheries: Geopolitical Inequalities in Processes of Science-Making in Sub-Saharan African–West European Research Collaborations</x:v>
      </x:c>
      <x:c r="C265" s="10" t="str">
        <x:v>2026-08-05</x:v>
      </x:c>
      <x:c r="D265" s="10" t="str">
        <x:v>A</x:v>
      </x:c>
      <x:c r="E265" s="10" t="str">
        <x:v>Engaging Science Technology and Society</x:v>
      </x:c>
      <x:c r="F265" s="10" t="str">
        <x:v>Camilla Tetley</x:v>
      </x:c>
      <x:c r="G265" s="10" t="str">
        <x:v>peer-reviewed article</x:v>
      </x:c>
      <x:c r="H265" s="10" t="str">
        <x:v>Tier 2 broad journal</x:v>
      </x:c>
      <x:c r="I265" s="10" t="str">
        <x:v>direct</x:v>
      </x:c>
      <x:c r="J265" s="10" t="str"/>
      <x:c r="K265" s="10" t="str"/>
      <x:c r="L265" s="10" t="str"/>
      <x:c r="M265" s="10" t="str">
        <x:v>And cultural inequalities, however, create global geopolitical hegemonies in which institutional, funding.</x:v>
      </x:c>
      <x:c r="N265" s="10" t="str">
        <x:v>Direct EU relevance (europe, european); R&amp;I evidence: research collaboration; strategic evidence: geopolit; bridge: sentence.</x:v>
      </x:c>
      <x:c r="O265" s="10" t="str"/>
      <x:c r="P265" s="10" t="str"/>
      <x:c r="Q265" s="10" t="str"/>
      <x:c r="R265" s="10" t="str">
        <x:v>2026-08-22T21:26Z</x:v>
      </x:c>
      <x:c r="S265" s="10" t="str">
        <x:v>https://doi.org/10.17351/ests2023.3113</x:v>
      </x:c>
    </x:row>
    <x:row r="266">
      <x:c r="A266" s="10" t="n">
        <x:f>'Ranked sources'!B266</x:f>
        <x:v>77</x:v>
      </x:c>
      <x:c r="B266" s="10" t="str">
        <x:v>A paradigm shift in fertility care? Discourses on AI for IVF in the Netherlands and the UK</x:v>
      </x:c>
      <x:c r="C266" s="10" t="str">
        <x:v>2026-08-04</x:v>
      </x:c>
      <x:c r="D266" s="10" t="str">
        <x:v>A</x:v>
      </x:c>
      <x:c r="E266" s="10" t="str">
        <x:v>Social Science &amp; Medicine</x:v>
      </x:c>
      <x:c r="F266" s="10" t="str">
        <x:v>Esca van Blarikom, Manuela Perrotta</x:v>
      </x:c>
      <x:c r="G266" s="10" t="str">
        <x:v>peer-reviewed article</x:v>
      </x:c>
      <x:c r="H266" s="10" t="str">
        <x:v>Tier 2 trusted-publisher journal</x:v>
      </x:c>
      <x:c r="I266" s="10" t="str">
        <x:v>direct</x:v>
      </x:c>
      <x:c r="J266" s="10" t="str">
        <x:v>netherlands</x:v>
      </x:c>
      <x:c r="K266" s="10" t="str">
        <x:v>artificial intelligence + innovation</x:v>
      </x:c>
      <x:c r="L266" s="10" t="str"/>
      <x:c r="M266" s="10" t="str">
        <x:v>Our findings reveal three interconnected dynamics.</x:v>
      </x:c>
      <x:c r="N266" s="10" t="str">
        <x:v>Direct European/EU relevance (netherlands); R&amp;I evidence: artificial intelligence + innovation; strategic significance is not explicit in the source and should be assessed as a possible longer-run implication.</x:v>
      </x:c>
      <x:c r="O266" s="10" t="str"/>
      <x:c r="P266" s="10" t="str"/>
      <x:c r="Q266" s="10" t="str"/>
      <x:c r="R266" s="10" t="str">
        <x:v>2026-09-02T11:41Z</x:v>
      </x:c>
      <x:c r="S266" s="10" t="str">
        <x:v>https://doi.org/10.1016/j.socscimed.2026.119665</x:v>
      </x:c>
    </x:row>
    <x:row r="267">
      <x:c r="A267" s="10" t="n">
        <x:f>'Ranked sources'!B267</x:f>
        <x:v>77</x:v>
      </x:c>
      <x:c r="B267" s="10" t="str">
        <x:v>Transforming viticulture through genomic innovation and integrated pest management for sustainable grape production</x:v>
      </x:c>
      <x:c r="C267" s="10" t="str">
        <x:v>2026-08-04</x:v>
      </x:c>
      <x:c r="D267" s="10" t="str">
        <x:v>A</x:v>
      </x:c>
      <x:c r="E267" s="10" t="str">
        <x:v>npj Science of Plants</x:v>
      </x:c>
      <x:c r="F267" s="10" t="str">
        <x:v>Giorgio Gambino, Lara Agnoli, Walter Chitarra, Marc Dressler, Andreia Figueiredo, Mario de la Fuente, Gabriele Di Gaspero, Ludger Hausmann, et al.</x:v>
      </x:c>
      <x:c r="G267" s="10" t="str">
        <x:v>peer-reviewed article</x:v>
      </x:c>
      <x:c r="H267" s="10" t="str">
        <x:v>Tier 2 trusted-publisher journal</x:v>
      </x:c>
      <x:c r="I267" s="10" t="str">
        <x:v>direct</x:v>
      </x:c>
      <x:c r="J267" s="10" t="str">
        <x:v>horizon europe</x:v>
      </x:c>
      <x:c r="K267" s="10" t="str">
        <x:v>horizon europe</x:v>
      </x:c>
      <x:c r="L267" s="10" t="str"/>
      <x:c r="M267" s="10" t="str">
        <x:v>The Horizon Europe projects Shield4Grape and GrapeBreed4IPM operationalize this vision across genetics, agronomy, socioeconomics, and policy, with success depending on governance, stewardship, and proportionate regulation. Transforming viticulture through genomic innovation and integrated pest management for sustainable grape production. Climate change and intensifying disease pressure push viticulture beyond incremental adaptation, especially where grape production depends on repeated pesticide applications.</x:v>
      </x:c>
      <x:c r="N267" s="10" t="str">
        <x:v>Direct European/EU relevance (horizon europe); R&amp;I evidence: horizon europe; strategic significance is not explicit in the source and should be assessed as a possible longer-run implication.</x:v>
      </x:c>
      <x:c r="O267" s="10" t="str"/>
      <x:c r="P267" s="10" t="str"/>
      <x:c r="Q267" s="10" t="str"/>
      <x:c r="R267" s="10" t="str">
        <x:v>2026-09-02T07:38Z</x:v>
      </x:c>
      <x:c r="S267" s="10" t="str">
        <x:v>https://doi.org/10.1038/s44383-026-00038-4</x:v>
      </x:c>
    </x:row>
    <x:row r="268">
      <x:c r="A268" s="10" t="n">
        <x:f>'Ranked sources'!B268</x:f>
        <x:v>77</x:v>
      </x:c>
      <x:c r="B268" s="10" t="str">
        <x:v>Drivers and Barriers to Innovation Adoption in the EU Agro‐Food Sector: A Structured Literature Review of Firms and Farms</x:v>
      </x:c>
      <x:c r="C268" s="10" t="str">
        <x:v>2026-08-03</x:v>
      </x:c>
      <x:c r="D268" s="10" t="str">
        <x:v>A</x:v>
      </x:c>
      <x:c r="E268" s="10" t="str">
        <x:v>Journal of Economic Surveys</x:v>
      </x:c>
      <x:c r="F268" s="10" t="str">
        <x:v>Ginevra Coletti, Andrea Pronti, Emy Zecca</x:v>
      </x:c>
      <x:c r="G268" s="10" t="str">
        <x:v>peer-reviewed article</x:v>
      </x:c>
      <x:c r="H268" s="10" t="str">
        <x:v>Tier 2 trusted-publisher journal</x:v>
      </x:c>
      <x:c r="I268" s="10" t="str">
        <x:v>direct</x:v>
      </x:c>
      <x:c r="J268" s="10" t="str">
        <x:v>EU</x:v>
      </x:c>
      <x:c r="K268" s="10" t="str">
        <x:v>research and development</x:v>
      </x:c>
      <x:c r="L268" s="10" t="str"/>
      <x:c r="M268" s="10" t="str">
        <x:v>ABSTRACT Innovation adoption in the agro‐food sector is essential for enhancing productivity, sustainability.</x:v>
      </x:c>
      <x:c r="N268" s="10" t="str">
        <x:v>Direct European/EU relevance (EU); R&amp;I evidence: research and development; strategic significance is not explicit in the source and should be assessed as a possible longer-run implication.</x:v>
      </x:c>
      <x:c r="O268" s="10" t="str">
        <x:v>knowledge-A</x:v>
      </x:c>
      <x:c r="P268" s="10" t="str"/>
      <x:c r="Q268" s="10" t="str"/>
      <x:c r="R268" s="10" t="str">
        <x:v>2026-09-01T09:50Z</x:v>
      </x:c>
      <x:c r="S268" s="10" t="str">
        <x:v>https://doi.org/10.1111/joes.70144</x:v>
      </x:c>
    </x:row>
    <x:row r="269">
      <x:c r="A269" s="10" t="n">
        <x:f>'Ranked sources'!B269</x:f>
        <x:v>77</x:v>
      </x:c>
      <x:c r="B269" s="10" t="str">
        <x:v>The sustainability turn in smart specialization: well-Being promotion as a dimension of place-based regional transformation</x:v>
      </x:c>
      <x:c r="C269" s="10" t="str">
        <x:v>2026-08-03</x:v>
      </x:c>
      <x:c r="D269" s="10" t="str">
        <x:v>A</x:v>
      </x:c>
      <x:c r="E269" s="10" t="str">
        <x:v>Innovation The European Journal of Social Science Research</x:v>
      </x:c>
      <x:c r="F269" s="10" t="str">
        <x:v>Riikka Poikela, Antti Mäenpää, Jaana Leinonen</x:v>
      </x:c>
      <x:c r="G269" s="10" t="str">
        <x:v>peer-reviewed article</x:v>
      </x:c>
      <x:c r="H269" s="10" t="str">
        <x:v>Tier 2 trusted-publisher journal</x:v>
      </x:c>
      <x:c r="I269" s="10" t="str">
        <x:v>direct</x:v>
      </x:c>
      <x:c r="J269" s="10" t="str">
        <x:v>finland</x:v>
      </x:c>
      <x:c r="K269" s="10" t="str">
        <x:v>innovation policy</x:v>
      </x:c>
      <x:c r="L269" s="10" t="str"/>
      <x:c r="M269" s="10" t="str">
        <x:v>Drawing on debates on place-based transformation, well-being, and regional innovation policy, the study analyzes 19 expert interviews conducted in Finland among municipal, regional, and national actors involved in well-being promotion. The sustainability turn in smart specialization: well-Being promotion as a dimension of place-based regional transformation. This article examines how the sustainability turn has reshaped smart specialization (S3) and how well-being promotion can be integrated into the new sustainability-oriented S3.</x:v>
      </x:c>
      <x:c r="N269" s="10" t="str">
        <x:v>Direct European/EU relevance (finland); R&amp;I evidence: innovation policy; strategic significance is not explicit in the source and should be assessed as a possible longer-run implication.</x:v>
      </x:c>
      <x:c r="O269" s="10" t="str"/>
      <x:c r="P269" s="10" t="str"/>
      <x:c r="Q269" s="10" t="str"/>
      <x:c r="R269" s="10" t="str">
        <x:v>2026-09-01T14:50Z</x:v>
      </x:c>
      <x:c r="S269" s="10" t="str">
        <x:v>https://doi.org/10.1080/13511610.2026.2704157</x:v>
      </x:c>
    </x:row>
    <x:row r="270">
      <x:c r="A270" s="10" t="n">
        <x:f>'Ranked sources'!B270</x:f>
        <x:v>77</x:v>
      </x:c>
      <x:c r="B270" s="10" t="str">
        <x:v>AI Adoption and National Economic Competitiveness: A Comparative Study of Industrial and Economic Leadership in Pakistan and the UK</x:v>
      </x:c>
      <x:c r="C270" s="10" t="str">
        <x:v>2026-08-01</x:v>
      </x:c>
      <x:c r="D270" s="10" t="str">
        <x:v>A</x:v>
      </x:c>
      <x:c r="E270" s="10" t="str">
        <x:v>Journal of Business Insight and Innovation</x:v>
      </x:c>
      <x:c r="F270" s="10" t="str">
        <x:v>Gilal Ashfaque Ali, Muhammad Irfan Syed, Saima Saqib, Syed Adil Abbas Rizvi, Saba Naz</x:v>
      </x:c>
      <x:c r="G270" s="10" t="str">
        <x:v>peer-reviewed article</x:v>
      </x:c>
      <x:c r="H270" s="10" t="str">
        <x:v>Tier 2 broad journal</x:v>
      </x:c>
      <x:c r="I270" s="10" t="str">
        <x:v>direct</x:v>
      </x:c>
      <x:c r="J270" s="10" t="str"/>
      <x:c r="K270" s="10" t="str">
        <x:v>technological innovation; academic research; ai + competitiveness; artificial intelligence + competitiveness; ai + innovation</x:v>
      </x:c>
      <x:c r="L270" s="10" t="str">
        <x:v>national security</x:v>
      </x:c>
      <x:c r="M270" s="10" t="str">
        <x:v>AI (AI) has emerged as a strategic driver of industrial competitiveness and national economic competitiveness.</x:v>
      </x:c>
      <x:c r="N270" s="10" t="str">
        <x:v>Direct EU relevance (scope established); R&amp;I evidence: technological innovation, academic research; strategic evidence: national security; bridge: title/abstract.</x:v>
      </x:c>
      <x:c r="O270" s="10" t="str">
        <x:v>conversion-C</x:v>
      </x:c>
      <x:c r="P270" s="10" t="str"/>
      <x:c r="Q270" s="10" t="str"/>
      <x:c r="R270" s="10" t="str">
        <x:v>2026-08-29T20:05Z</x:v>
      </x:c>
      <x:c r="S270" s="10" t="str">
        <x:v>https://doi.org/10.63544/jbii.v5i8.129</x:v>
      </x:c>
    </x:row>
    <x:row r="271">
      <x:c r="A271" s="10" t="n">
        <x:f>'Ranked sources'!B271</x:f>
        <x:v>77</x:v>
      </x:c>
      <x:c r="B271" s="10" t="str">
        <x:v>Digital architecture of information governance for education and research in Ukraine</x:v>
      </x:c>
      <x:c r="C271" s="10" t="str">
        <x:v>2026-08-01</x:v>
      </x:c>
      <x:c r="D271" s="10" t="str">
        <x:v>A</x:v>
      </x:c>
      <x:c r="E271" s="10" t="str">
        <x:v>International Science Journal of Engineering &amp; Agriculture</x:v>
      </x:c>
      <x:c r="F271" s="10" t="str">
        <x:v>Anastasiya Ilyina</x:v>
      </x:c>
      <x:c r="G271" s="10" t="str">
        <x:v>peer-reviewed article</x:v>
      </x:c>
      <x:c r="H271" s="10" t="str">
        <x:v>Tier 2 broad journal</x:v>
      </x:c>
      <x:c r="I271" s="10" t="str">
        <x:v>direct</x:v>
      </x:c>
      <x:c r="J271" s="10" t="str">
        <x:v>europe; european</x:v>
      </x:c>
      <x:c r="K271" s="10" t="str">
        <x:v>r&amp;d; innovation capacity; research infrastructure; artificial intelligence + research</x:v>
      </x:c>
      <x:c r="L271" s="10" t="str"/>
      <x:c r="M271" s="10" t="str">
        <x:v>and develop a practical model for transforming such data into evidence-based governance decisions.</x:v>
      </x:c>
      <x:c r="N271" s="10" t="str">
        <x:v>Direct EU relevance (europe, european); R&amp;I evidence: r&amp;d, innovation capacity; strategic evidence: substantive strategic evidence; bridge: title/abstract.</x:v>
      </x:c>
      <x:c r="O271" s="10" t="str">
        <x:v>infrastructure-B</x:v>
      </x:c>
      <x:c r="P271" s="10" t="str"/>
      <x:c r="Q271" s="10" t="str"/>
      <x:c r="R271" s="10" t="str">
        <x:v>2026-08-29T11:09Z</x:v>
      </x:c>
      <x:c r="S271" s="10" t="str">
        <x:v>https://doi.org/10.46299/j.isjea.20260504.07</x:v>
      </x:c>
    </x:row>
    <x:row r="272">
      <x:c r="A272" s="10" t="n">
        <x:f>'Ranked sources'!B272</x:f>
        <x:v>77</x:v>
      </x:c>
      <x:c r="B272" s="10" t="str">
        <x:v>Spatial analysis of environmental policy stringency effect on the environmental performance of European countries: mitigation options through green growth and green technological innovation</x:v>
      </x:c>
      <x:c r="C272" s="10" t="str">
        <x:v>2026-08-01</x:v>
      </x:c>
      <x:c r="D272" s="10" t="str">
        <x:v>A</x:v>
      </x:c>
      <x:c r="E272" s="10" t="str">
        <x:v>Environment Development and Sustainability</x:v>
      </x:c>
      <x:c r="F272" s="10" t="str">
        <x:v>Maria Shabir, Asif Javed, Snober Fazal, Nimra Usman</x:v>
      </x:c>
      <x:c r="G272" s="10" t="str">
        <x:v>peer-reviewed article</x:v>
      </x:c>
      <x:c r="H272" s="10" t="str">
        <x:v>Tier 2 trusted-publisher journal</x:v>
      </x:c>
      <x:c r="I272" s="10" t="str">
        <x:v>direct</x:v>
      </x:c>
      <x:c r="J272" s="10" t="str">
        <x:v>europe; european; european countries</x:v>
      </x:c>
      <x:c r="K272" s="10" t="str">
        <x:v>technological innovation</x:v>
      </x:c>
      <x:c r="L272" s="10" t="str"/>
      <x:c r="M272" s="10" t="str">
        <x:v>as a primary strategy to address climate change.</x:v>
      </x:c>
      <x:c r="N272" s="10" t="str">
        <x:v>Direct European/EU relevance (europe, european); R&amp;I evidence: technological innovation; strategic significance is not explicit in the source and should be assessed as a possible longer-run implication.</x:v>
      </x:c>
      <x:c r="O272" s="10" t="str"/>
      <x:c r="P272" s="10" t="str"/>
      <x:c r="Q272" s="10" t="str"/>
      <x:c r="R272" s="10" t="str">
        <x:v>2026-09-02T07:38Z</x:v>
      </x:c>
      <x:c r="S272" s="10" t="str">
        <x:v>https://doi.org/10.1007/s10668-026-08013-w</x:v>
      </x:c>
    </x:row>
    <x:row r="273">
      <x:c r="A273" s="10" t="n">
        <x:f>'Ranked sources'!B273</x:f>
        <x:v>77</x:v>
      </x:c>
      <x:c r="B273" s="10" t="str">
        <x:v>The Economic and Technological Resilience in the European Union: Geopolitical Fragmentation, Economic Security and the Future of Competitiveness</x:v>
      </x:c>
      <x:c r="C273" s="10" t="str">
        <x:v>2026-08-01</x:v>
      </x:c>
      <x:c r="D273" s="10" t="str">
        <x:v>A</x:v>
      </x:c>
      <x:c r="E273" s="10" t="str">
        <x:v>World</x:v>
      </x:c>
      <x:c r="F273" s="10" t="str">
        <x:v>Kristína Králiková, Agneša Víghová</x:v>
      </x:c>
      <x:c r="G273" s="10" t="str">
        <x:v>peer-reviewed article</x:v>
      </x:c>
      <x:c r="H273" s="10" t="str">
        <x:v>Tier 2 broad journal</x:v>
      </x:c>
      <x:c r="I273" s="10" t="str">
        <x:v>direct</x:v>
      </x:c>
      <x:c r="J273" s="10" t="str"/>
      <x:c r="K273" s="10" t="str"/>
      <x:c r="L273" s="10" t="str"/>
      <x:c r="M273" s="10" t="str">
        <x:v>And growing uncertainty regarding critical external dependencies.</x:v>
      </x:c>
      <x:c r="N273" s="10" t="str">
        <x:v>Direct EU relevance (european union, europe); R&amp;I evidence: innovation performance, technological capabilities; strategic evidence: geopolit, geoeconomic; bridge: title/abstract.</x:v>
      </x:c>
      <x:c r="O273" s="10" t="str"/>
      <x:c r="P273" s="10" t="str"/>
      <x:c r="Q273" s="10" t="str"/>
      <x:c r="R273" s="10" t="str">
        <x:v>2026-08-23T08:43Z</x:v>
      </x:c>
      <x:c r="S273" s="10" t="str">
        <x:v>https://doi.org/10.3390/world7080135</x:v>
      </x:c>
    </x:row>
    <x:row r="274">
      <x:c r="A274" s="10" t="n">
        <x:f>'Ranked sources'!B274</x:f>
        <x:v>77</x:v>
      </x:c>
      <x:c r="B274" s="10" t="str">
        <x:v>Pockets of Excellence in Romanian Municipalities Between the New European Bauhaus and the AI Act</x:v>
      </x:c>
      <x:c r="C274" s="10" t="str">
        <x:v>2026-07-31</x:v>
      </x:c>
      <x:c r="D274" s="10" t="str">
        <x:v>A</x:v>
      </x:c>
      <x:c r="E274" s="10" t="str">
        <x:v>Applied Research in Administrative Sciences</x:v>
      </x:c>
      <x:c r="F274" s="10" t="str">
        <x:v>Akhilesh KUMAR SRIVASTAVA, Raluca Antonie, Alex BUTEAN, Jared HANSEN</x:v>
      </x:c>
      <x:c r="G274" s="10" t="str">
        <x:v>peer-reviewed article</x:v>
      </x:c>
      <x:c r="H274" s="10" t="str">
        <x:v>Tier 2 broad journal</x:v>
      </x:c>
      <x:c r="I274" s="10" t="str">
        <x:v>direct</x:v>
      </x:c>
      <x:c r="J274" s="10" t="str"/>
      <x:c r="K274" s="10" t="str"/>
      <x:c r="L274" s="10" t="str"/>
      <x:c r="M274" s="10" t="str">
        <x:v>The research combines a quantitative comparative analysis based on official Eurostat indicators (circular material use rate, municipal waste recycling rate, ecoinnovation performance) and European Commission datasets (European Innovation Scoreboard 2025, EU Cities Mission Label register) with a qualitative instrumental case study of the Horizon Europe STARHAUS project, in which the Municipality of Cluj-Napoca participates as a pilot partner. Pockets of Excellence in Romanian Municipalities Between the New European Bauhaus and the AI Act. This decoupling suggests that municipalities can function as pockets of governance excellence within otherwise lagging national systems.</x:v>
      </x:c>
      <x:c r="N274" s="10" t="str">
        <x:v>Direct EU relevance (europe, european); R&amp;I evidence: horizon europe, innovation performance; strategic evidence: decoupling; bridge: title/abstract.</x:v>
      </x:c>
      <x:c r="O274" s="10" t="str">
        <x:v>rules-D</x:v>
      </x:c>
      <x:c r="P274" s="10" t="str"/>
      <x:c r="Q274" s="10" t="str"/>
      <x:c r="R274" s="10" t="str">
        <x:v>2026-08-27T07:51Z</x:v>
      </x:c>
      <x:c r="S274" s="10" t="str">
        <x:v>https://doi.org/10.24818/aras/2026/7/2.03</x:v>
      </x:c>
    </x:row>
    <x:row r="275">
      <x:c r="A275" s="10" t="n">
        <x:f>'Ranked sources'!B275</x:f>
        <x:v>77</x:v>
      </x:c>
      <x:c r="B275" s="10" t="str">
        <x:v>SUSTAINABLE AI INTEGRATION IN LOCAL GOVERNANCE: HUMAN RIGHTS, ECONOMIC SUSTAINABILITY AND OVERCOMING DONOR DEPENDENCY</x:v>
      </x:c>
      <x:c r="C275" s="10" t="str">
        <x:v>2026-07-31</x:v>
      </x:c>
      <x:c r="D275" s="10" t="str">
        <x:v>A</x:v>
      </x:c>
      <x:c r="E275" s="10" t="str">
        <x:v>Baltic Journal of Economic Studies</x:v>
      </x:c>
      <x:c r="F275" s="10" t="str">
        <x:v>Zoia Ivantsova, Vitalii Barvinenko, Natalia Mishyna</x:v>
      </x:c>
      <x:c r="G275" s="10" t="str">
        <x:v>peer-reviewed article</x:v>
      </x:c>
      <x:c r="H275" s="10" t="str">
        <x:v>Tier 2 broad journal</x:v>
      </x:c>
      <x:c r="I275" s="10" t="str">
        <x:v>direct</x:v>
      </x:c>
      <x:c r="J275" s="10" t="str"/>
      <x:c r="K275" s="10" t="str">
        <x:v>ai + research; ai + funding; ai + innovation</x:v>
      </x:c>
      <x:c r="L275" s="10" t="str"/>
      <x:c r="M275" s="10" t="str">
        <x:v>SUSTAINABLE AI INTEGRATION IN LOCAL GOVERNANCE: HUMAN RIGHTS, ECONOMIC SUSTAINABILITY AND OVERCOMING DONOR DEPENDENCY.</x:v>
      </x:c>
      <x:c r="N275" s="10" t="str">
        <x:v>Direct EU relevance (scope established); R&amp;I evidence: ai + research, ai + funding; strategic evidence: substantive strategic evidence; bridge: title/abstract.</x:v>
      </x:c>
      <x:c r="O275" s="10" t="str"/>
      <x:c r="P275" s="10" t="str"/>
      <x:c r="Q275" s="10" t="str"/>
      <x:c r="R275" s="10" t="str">
        <x:v>2026-08-28T20:50Z</x:v>
      </x:c>
      <x:c r="S275" s="10" t="str">
        <x:v>https://doi.org/10.30525/2256-0742/2026-12-3-363-368</x:v>
      </x:c>
    </x:row>
    <x:row r="276">
      <x:c r="A276" s="10" t="n">
        <x:f>'Ranked sources'!B276</x:f>
        <x:v>77</x:v>
      </x:c>
      <x:c r="B276" s="10" t="str">
        <x:v>THE IMPACT OF THE DIGITAL ECONOMY ON DEVELOPMENT THE ASIA-PACIFIC REGION: MEASUREMENT ON GLOBAL VALUE CHAIN</x:v>
      </x:c>
      <x:c r="C276" s="10" t="str">
        <x:v>2026-07-31</x:v>
      </x:c>
      <x:c r="D276" s="10" t="str">
        <x:v>A</x:v>
      </x:c>
      <x:c r="E276" s="10" t="str">
        <x:v>Baltic Journal of Economic Studies</x:v>
      </x:c>
      <x:c r="F276" s="10" t="str">
        <x:v>Тетяна Харченко, Zhao Min</x:v>
      </x:c>
      <x:c r="G276" s="10" t="str">
        <x:v>peer-reviewed article</x:v>
      </x:c>
      <x:c r="H276" s="10" t="str">
        <x:v>Tier 2 broad journal</x:v>
      </x:c>
      <x:c r="I276" s="10" t="str">
        <x:v>direct</x:v>
      </x:c>
      <x:c r="J276" s="10" t="str"/>
      <x:c r="K276" s="10" t="str"/>
      <x:c r="L276" s="10" t="str"/>
      <x:c r="M276" s="10" t="str">
        <x:v>THE IMPACT OF THE DIGITAL ECONOMY ON DEVELOPMENT THE ASIA-PACIFIC REGION: MEASUREMENT ON GLOBAL VALUE CHAIN.</x:v>
      </x:c>
      <x:c r="N276" s="10" t="str">
        <x:v>Direct EU relevance (member state, member states); R&amp;I evidence: digital infrastructure + innovation; strategic evidence: substantive strategic evidence; bridge: title/abstract.</x:v>
      </x:c>
      <x:c r="O276" s="10" t="str"/>
      <x:c r="P276" s="10" t="str"/>
      <x:c r="Q276" s="10" t="str"/>
      <x:c r="R276" s="10" t="str">
        <x:v>2026-08-23T19:53Z</x:v>
      </x:c>
      <x:c r="S276" s="10" t="str">
        <x:v>https://doi.org/10.30525/2256-0742/2026-12-3-399-409</x:v>
      </x:c>
    </x:row>
    <x:row r="277">
      <x:c r="A277" s="10" t="n">
        <x:f>'Ranked sources'!B277</x:f>
        <x:v>77</x:v>
      </x:c>
      <x:c r="B277" s="10" t="str">
        <x:v>No one builds alone: The geopolitics of AI chips</x:v>
      </x:c>
      <x:c r="C277" s="10" t="str">
        <x:v>2026-07-30</x:v>
      </x:c>
      <x:c r="D277" s="10" t="str">
        <x:v>A</x:v>
      </x:c>
      <x:c r="E277" s="10" t="str">
        <x:v>MIT Science Policy Review</x:v>
      </x:c>
      <x:c r="F277" s="10" t="str">
        <x:v>Zuzana Navratil</x:v>
      </x:c>
      <x:c r="G277" s="10" t="str">
        <x:v>peer-reviewed article</x:v>
      </x:c>
      <x:c r="H277" s="10" t="str">
        <x:v>Tier 2 broad journal</x:v>
      </x:c>
      <x:c r="I277" s="10" t="str">
        <x:v>direct</x:v>
      </x:c>
      <x:c r="J277" s="10" t="str"/>
      <x:c r="K277" s="10" t="str"/>
      <x:c r="L277" s="10" t="str"/>
      <x:c r="M277" s="10" t="str">
        <x:v>Open hardware could give Europe and India more control over AI-chip technology.</x:v>
      </x:c>
      <x:c r="N277" s="10" t="str">
        <x:v>Direct EU relevance (european union); R&amp;I evidence: science policy, ai + science; strategic evidence: geopolit, strategic autonomy; bridge: sentence.</x:v>
      </x:c>
      <x:c r="O277" s="10" t="str">
        <x:v>infrastructure-A</x:v>
      </x:c>
      <x:c r="P277" s="10" t="str"/>
      <x:c r="Q277" s="10" t="str"/>
      <x:c r="R277" s="10" t="str">
        <x:v>2026-08-20T06:55Z</x:v>
      </x:c>
      <x:c r="S277" s="10" t="str">
        <x:v>https://doi.org/10.38105/spr.vf5ks0gobi</x:v>
      </x:c>
    </x:row>
    <x:row r="278">
      <x:c r="A278" s="10" t="n">
        <x:f>'Ranked sources'!B278</x:f>
        <x:v>77</x:v>
      </x:c>
      <x:c r="B278" s="10" t="str">
        <x:v>Geopolitical Risk Mitigation in Information Governance:An Evaluation Framework for Algorithmic Bias and Data Security in AI-DrivenGlobal Supply Chains</x:v>
      </x:c>
      <x:c r="C278" s="10" t="str">
        <x:v>2026-07-29</x:v>
      </x:c>
      <x:c r="D278" s="10" t="str">
        <x:v>A</x:v>
      </x:c>
      <x:c r="E278" s="10" t="str">
        <x:v>International Journal of Computer Information Systems and Industrial Management Applications</x:v>
      </x:c>
      <x:c r="F278" s="10" t="str">
        <x:v>Iqra Nissar, Shreesh Pathak, Yogesh Kumar Gupta</x:v>
      </x:c>
      <x:c r="G278" s="10" t="str">
        <x:v>peer-reviewed article</x:v>
      </x:c>
      <x:c r="H278" s="10" t="str">
        <x:v>Tier 2 broad journal</x:v>
      </x:c>
      <x:c r="I278" s="10" t="str">
        <x:v>direct</x:v>
      </x:c>
      <x:c r="J278" s="10" t="str"/>
      <x:c r="K278" s="10" t="str"/>
      <x:c r="L278" s="10" t="str"/>
      <x:c r="M278" s="10" t="str">
        <x:v>And is situated against the EU’s AI Act, US export-control practice.</x:v>
      </x:c>
      <x:c r="N278" s="10" t="str">
        <x:v>Direct EU relevance (european union); R&amp;I evidence: ai + research; strategic evidence: geopolit, us-china; bridge: title/abstract.</x:v>
      </x:c>
      <x:c r="O278" s="10" t="str"/>
      <x:c r="P278" s="10" t="str"/>
      <x:c r="Q278" s="10" t="str"/>
      <x:c r="R278" s="10" t="str">
        <x:v>2026-08-23T09:12Z</x:v>
      </x:c>
      <x:c r="S278" s="10" t="str">
        <x:v>https://doi.org/10.70917/ijcisim-2026-3885</x:v>
      </x:c>
    </x:row>
    <x:row r="279">
      <x:c r="A279" s="10" t="n">
        <x:f>'Ranked sources'!B279</x:f>
        <x:v>77</x:v>
      </x:c>
      <x:c r="B279" s="10" t="str">
        <x:v>Harnessing the wind: foreign direct investment and green innovation</x:v>
      </x:c>
      <x:c r="C279" s="10" t="str">
        <x:v>2026-07-29</x:v>
      </x:c>
      <x:c r="D279" s="10" t="str">
        <x:v>A</x:v>
      </x:c>
      <x:c r="E279" s="10" t="str">
        <x:v>Empirical Economics</x:v>
      </x:c>
      <x:c r="F279" s="10" t="str">
        <x:v>Mohammad Jamal Bataineh, Pedro Sánchez-Sellero, Jesús López-Rodríguez, Fayssal Ayad</x:v>
      </x:c>
      <x:c r="G279" s="10" t="str">
        <x:v>peer-reviewed article</x:v>
      </x:c>
      <x:c r="H279" s="10" t="str">
        <x:v>Tier 2 trusted-publisher journal</x:v>
      </x:c>
      <x:c r="I279" s="10" t="str">
        <x:v>direct</x:v>
      </x:c>
      <x:c r="J279" s="10" t="str">
        <x:v>spanish</x:v>
      </x:c>
      <x:c r="K279" s="10" t="str">
        <x:v>r&amp;d; technology development</x:v>
      </x:c>
      <x:c r="L279" s="10" t="str"/>
      <x:c r="M279" s="10" t="str">
        <x:v>and mediation analyses to show that FDI exposure significantly promotes green innovation.</x:v>
      </x:c>
      <x:c r="N279" s="10" t="str">
        <x:v>Direct European/EU relevance (spanish); R&amp;I evidence: r&amp;d, technology development; strategic significance is not explicit in the source and should be assessed as a possible longer-run implication.</x:v>
      </x:c>
      <x:c r="O279" s="10" t="str">
        <x:v>conversion-C</x:v>
      </x:c>
      <x:c r="P279" s="10" t="str"/>
      <x:c r="Q279" s="10" t="str"/>
      <x:c r="R279" s="10" t="str">
        <x:v>2026-09-01T09:50Z</x:v>
      </x:c>
      <x:c r="S279" s="10" t="str">
        <x:v>https://doi.org/10.1007/s00181-026-02937-y</x:v>
      </x:c>
    </x:row>
    <x:row r="280">
      <x:c r="A280" s="10" t="n">
        <x:f>'Ranked sources'!B280</x:f>
        <x:v>77</x:v>
      </x:c>
      <x:c r="B280" s="10" t="str">
        <x:v>Navigating rural digital transition: lessons from innovation ecosystems in practice</x:v>
      </x:c>
      <x:c r="C280" s="10" t="str">
        <x:v>2026-07-29</x:v>
      </x:c>
      <x:c r="D280" s="10" t="str">
        <x:v>A</x:v>
      </x:c>
      <x:c r="E280" s="10" t="str">
        <x:v>Sustainability Science</x:v>
      </x:c>
      <x:c r="F280" s="10" t="str">
        <x:v>Carlo Giua, Brigida Marovelli, Michele Moretti, Gianluca Brunori</x:v>
      </x:c>
      <x:c r="G280" s="10" t="str">
        <x:v>peer-reviewed article</x:v>
      </x:c>
      <x:c r="H280" s="10" t="str">
        <x:v>Tier 2 trusted-publisher journal</x:v>
      </x:c>
      <x:c r="I280" s="10" t="str">
        <x:v>direct</x:v>
      </x:c>
      <x:c r="J280" s="10" t="str">
        <x:v>EU</x:v>
      </x:c>
      <x:c r="K280" s="10" t="str">
        <x:v>innovation policy; innovation ecosystem</x:v>
      </x:c>
      <x:c r="L280" s="10" t="str"/>
      <x:c r="M280" s="10" t="str">
        <x:v>EU rural policies put significant emphasis on the role of (digital) innovation to address issues such.</x:v>
      </x:c>
      <x:c r="N280" s="10" t="str">
        <x:v>Direct European/EU relevance (EU); R&amp;I evidence: innovation policy, innovation ecosystem; strategic significance is not explicit in the source and should be assessed as a possible longer-run implication.</x:v>
      </x:c>
      <x:c r="O280" s="10" t="str"/>
      <x:c r="P280" s="10" t="str"/>
      <x:c r="Q280" s="10" t="str"/>
      <x:c r="R280" s="10" t="str">
        <x:v>2026-09-01T14:15Z</x:v>
      </x:c>
      <x:c r="S280" s="10" t="str">
        <x:v>https://doi.org/10.1007/s11625-026-01873-1</x:v>
      </x:c>
    </x:row>
    <x:row r="281">
      <x:c r="A281" s="10" t="n">
        <x:f>'Ranked sources'!B281</x:f>
        <x:v>77</x:v>
      </x:c>
      <x:c r="B281" s="10" t="str">
        <x:v>Structural limitations and competitiveness challenges of the European Union’s AI model</x:v>
      </x:c>
      <x:c r="C281" s="10" t="str">
        <x:v>2026-07-29</x:v>
      </x:c>
      <x:c r="D281" s="10" t="str">
        <x:v>A</x:v>
      </x:c>
      <x:c r="E281" s="10" t="str">
        <x:v>Journal of Modern Science</x:v>
      </x:c>
      <x:c r="F281" s="10" t="str">
        <x:v>Justyna Bokajło</x:v>
      </x:c>
      <x:c r="G281" s="10" t="str">
        <x:v>peer-reviewed article</x:v>
      </x:c>
      <x:c r="H281" s="10" t="str">
        <x:v>Tier 2 broad journal</x:v>
      </x:c>
      <x:c r="I281" s="10" t="str">
        <x:v>direct</x:v>
      </x:c>
      <x:c r="J281" s="10" t="str"/>
      <x:c r="K281" s="10" t="str"/>
      <x:c r="L281" s="10" t="str"/>
      <x:c r="M281" s="10" t="str">
        <x:v>Structural limitations and competitiveness challenges of the EU’s AI model.</x:v>
      </x:c>
      <x:c r="N281" s="10" t="str">
        <x:v>Direct EU relevance (european union, europe); R&amp;I evidence: r&amp;d, ai + competitiveness; strategic evidence: substantive strategic evidence; bridge: title/abstract.</x:v>
      </x:c>
      <x:c r="O281" s="10" t="str">
        <x:v>conversion-C</x:v>
      </x:c>
      <x:c r="P281" s="10" t="str"/>
      <x:c r="Q281" s="10" t="str"/>
      <x:c r="R281" s="10" t="str">
        <x:v>2026-08-23T18:22Z</x:v>
      </x:c>
      <x:c r="S281" s="10" t="str">
        <x:v>https://doi.org/10.13166/jms/224780</x:v>
      </x:c>
    </x:row>
    <x:row r="282">
      <x:c r="A282" s="10" t="n">
        <x:f>'Ranked sources'!B282</x:f>
        <x:v>77</x:v>
      </x:c>
      <x:c r="B282" s="10" t="str">
        <x:v>Strengthening Visibility and Stakeholder Engagement in Research Infrastructures: Evidence from Imaging Core Facilities</x:v>
      </x:c>
      <x:c r="C282" s="10" t="str">
        <x:v>2026-07-26</x:v>
      </x:c>
      <x:c r="D282" s="10" t="str">
        <x:v>A</x:v>
      </x:c>
      <x:c r="E282" s="10" t="str">
        <x:v>EPJ Research Infrastructures</x:v>
      </x:c>
      <x:c r="F282" s="10" t="str">
        <x:v>Baubak Bajoghli</x:v>
      </x:c>
      <x:c r="G282" s="10" t="str">
        <x:v>peer-reviewed article</x:v>
      </x:c>
      <x:c r="H282" s="10" t="str">
        <x:v>Tier 2 trusted-publisher journal</x:v>
      </x:c>
      <x:c r="I282" s="10" t="str">
        <x:v>direct</x:v>
      </x:c>
      <x:c r="J282" s="10" t="str">
        <x:v>europe; european; european countries</x:v>
      </x:c>
      <x:c r="K282" s="10" t="str">
        <x:v>research infrastructure; research infrastructures</x:v>
      </x:c>
      <x:c r="L282" s="10" t="str"/>
      <x:c r="M282" s="10" t="str">
        <x:v>Strengthening Visibility and Stakeholder Engagement in Research Infrastructures: Evidence from Imaging Core Facilities.</x:v>
      </x:c>
      <x:c r="N282" s="10" t="str">
        <x:v>Direct European/EU relevance (europe, european); R&amp;I evidence: research infrastructure, research infrastructures; strategic significance is not explicit in the source and should be assessed as a possible longer-run implication.</x:v>
      </x:c>
      <x:c r="O282" s="10" t="str"/>
      <x:c r="P282" s="10" t="str"/>
      <x:c r="Q282" s="10" t="str"/>
      <x:c r="R282" s="10" t="str">
        <x:v>2026-09-01T09:50Z</x:v>
      </x:c>
      <x:c r="S282" s="10" t="str">
        <x:v>https://doi.org/10.1007/s41781-026-00176-5</x:v>
      </x:c>
    </x:row>
    <x:row r="283">
      <x:c r="A283" s="10" t="n">
        <x:f>'Ranked sources'!B283</x:f>
        <x:v>77</x:v>
      </x:c>
      <x:c r="B283" s="10" t="str">
        <x:v>The sociotechnical imaginary of AI in Finland for the Twin Transition: A critical design artifact for envisioning alternative pathways to sustainability.</x:v>
      </x:c>
      <x:c r="C283" s="10" t="str">
        <x:v>2026-07-26</x:v>
      </x:c>
      <x:c r="D283" s="10" t="str">
        <x:v>A</x:v>
      </x:c>
      <x:c r="E283" s="10" t="str">
        <x:v>Aalto University</x:v>
      </x:c>
      <x:c r="F283" s="10" t="str">
        <x:v>Valeria Nova Cazares</x:v>
      </x:c>
      <x:c r="G283" s="10" t="str">
        <x:v>peer-reviewed article</x:v>
      </x:c>
      <x:c r="H283" s="10" t="str">
        <x:v>Tier 2</x:v>
      </x:c>
      <x:c r="I283" s="10" t="str">
        <x:v>direct</x:v>
      </x:c>
      <x:c r="J283" s="10" t="str">
        <x:v>finland</x:v>
      </x:c>
      <x:c r="K283" s="10" t="str">
        <x:v>ai + research</x:v>
      </x:c>
      <x:c r="L283" s="10" t="str"/>
      <x:c r="M283" s="10" t="str">
        <x:v>as one of the most influential emerging technologies for building a sustainable future.</x:v>
      </x:c>
      <x:c r="N283" s="10" t="str">
        <x:v>Direct European/EU relevance (finland); R&amp;I evidence: ai + research; strategic significance is not explicit in the source and should be assessed as a possible longer-run implication.</x:v>
      </x:c>
      <x:c r="O283" s="10" t="str"/>
      <x:c r="P283" s="10" t="str"/>
      <x:c r="Q283" s="10" t="str"/>
      <x:c r="R283" s="10" t="str">
        <x:v>2026-09-02T08:56Z</x:v>
      </x:c>
      <x:c r="S283" s="10" t="str">
        <x:v>https://aaltodoc.aalto.fi/handle/123456789/147716</x:v>
      </x:c>
    </x:row>
    <x:row r="284">
      <x:c r="A284" s="10" t="n">
        <x:f>'Ranked sources'!B284</x:f>
        <x:v>77</x:v>
      </x:c>
      <x:c r="B284" s="10" t="str">
        <x:v>Accelerating Research on Brain Aging: Enabling Brain Imaging Data Sharing in the Open Science Landscape</x:v>
      </x:c>
      <x:c r="C284" s="10" t="str">
        <x:v>2026-07-24</x:v>
      </x:c>
      <x:c r="D284" s="10" t="str">
        <x:v>A</x:v>
      </x:c>
      <x:c r="E284" s="10" t="str">
        <x:v>European Journal of Neurology</x:v>
      </x:c>
      <x:c r="F284" s="10" t="str">
        <x:v>Kathrin Giehl, Thilo van Eimeren</x:v>
      </x:c>
      <x:c r="G284" s="10" t="str">
        <x:v>peer-reviewed article</x:v>
      </x:c>
      <x:c r="H284" s="10" t="str">
        <x:v>Tier 2 trusted-publisher journal</x:v>
      </x:c>
      <x:c r="I284" s="10" t="str">
        <x:v>direct</x:v>
      </x:c>
      <x:c r="J284" s="10" t="str">
        <x:v>european union; europe; european</x:v>
      </x:c>
      <x:c r="K284" s="10" t="str">
        <x:v>scientific collaboration</x:v>
      </x:c>
      <x:c r="L284" s="10" t="str"/>
      <x:c r="M284" s="10" t="str">
        <x:v>Accelerating Research on Brain Aging: Enabling Brain Imaging Data Sharing in the Open Science Landscape.</x:v>
      </x:c>
      <x:c r="N284" s="10" t="str">
        <x:v>Direct European/EU relevance (european union, europe); R&amp;I evidence: scientific collaboration; strategic significance is not explicit in the source and should be assessed as a possible longer-run implication.</x:v>
      </x:c>
      <x:c r="O284" s="10" t="str"/>
      <x:c r="P284" s="10" t="str"/>
      <x:c r="Q284" s="10" t="str"/>
      <x:c r="R284" s="10" t="str">
        <x:v>2026-09-01T09:06Z</x:v>
      </x:c>
      <x:c r="S284" s="10" t="str">
        <x:v>https://doi.org/10.1111/ene.70672</x:v>
      </x:c>
    </x:row>
    <x:row r="285">
      <x:c r="A285" s="10" t="n">
        <x:f>'Ranked sources'!B285</x:f>
        <x:v>77</x:v>
      </x:c>
      <x:c r="B285" s="10" t="str">
        <x:v>Europe and Asia at the End of the American Century: The Three Seas Initiative as a Eurasian Hinge</x:v>
      </x:c>
      <x:c r="C285" s="10" t="str">
        <x:v>2026-07-24</x:v>
      </x:c>
      <x:c r="D285" s="10" t="str">
        <x:v>A</x:v>
      </x:c>
      <x:c r="E285" s="10" t="str">
        <x:v>Proceedings of the International Conference on Business Excellence</x:v>
      </x:c>
      <x:c r="F285" s="10" t="str">
        <x:v>Octavian-Dragomir JORA, Mihaela IACOB, Bogdan COZMA, Andreea-Raisa ȚĂRÎNĂ</x:v>
      </x:c>
      <x:c r="G285" s="10" t="str">
        <x:v>peer-reviewed article</x:v>
      </x:c>
      <x:c r="H285" s="10" t="str">
        <x:v>Tier 2 broad journal</x:v>
      </x:c>
      <x:c r="I285" s="10" t="str">
        <x:v>direct</x:v>
      </x:c>
      <x:c r="J285" s="10" t="str"/>
      <x:c r="K285" s="10" t="str"/>
      <x:c r="L285" s="10" t="str"/>
      <x:c r="M285" s="10" t="str">
        <x:v>The Three Seas Initiative is framed as a Europe–Asia hinge in a more fragmented Eurasia.</x:v>
      </x:c>
      <x:c r="N285" s="10" t="str">
        <x:v>Direct EU relevance (europe); R&amp;I evidence: technological innovation; strategic evidence: geopolit, geoeconomic; bridge: title/abstract.</x:v>
      </x:c>
      <x:c r="O285" s="10" t="str"/>
      <x:c r="P285" s="10" t="str"/>
      <x:c r="Q285" s="10" t="str"/>
      <x:c r="R285" s="10" t="str">
        <x:v>2026-08-23T19:34Z</x:v>
      </x:c>
      <x:c r="S285" s="10" t="str">
        <x:v>https://doi.org/10.2478/picbe-2026-0066</x:v>
      </x:c>
    </x:row>
    <x:row r="286">
      <x:c r="A286" s="10" t="n">
        <x:f>'Ranked sources'!B286</x:f>
        <x:v>77</x:v>
      </x:c>
      <x:c r="B286" s="10" t="str">
        <x:v>IRIS—The Innovative Research Infrastructure on Applied Superconductivity in Italy</x:v>
      </x:c>
      <x:c r="C286" s="10" t="str">
        <x:v>2026-07-24</x:v>
      </x:c>
      <x:c r="D286" s="10" t="str">
        <x:v>A</x:v>
      </x:c>
      <x:c r="E286" s="10" t="str">
        <x:v>EPJ Research Infrastructures</x:v>
      </x:c>
      <x:c r="F286" s="10" t="str">
        <x:v>Lucio Rossi, Pierluigi Campana, Marta Della Torre</x:v>
      </x:c>
      <x:c r="G286" s="10" t="str">
        <x:v>peer-reviewed article</x:v>
      </x:c>
      <x:c r="H286" s="10" t="str">
        <x:v>Tier 2 trusted-publisher journal</x:v>
      </x:c>
      <x:c r="I286" s="10" t="str">
        <x:v>direct</x:v>
      </x:c>
      <x:c r="J286" s="10" t="str">
        <x:v>italy</x:v>
      </x:c>
      <x:c r="K286" s="10" t="str">
        <x:v>research and development; research infrastructure</x:v>
      </x:c>
      <x:c r="L286" s="10" t="str"/>
      <x:c r="M286" s="10" t="str">
        <x:v>Driven by the increasing demands of next-generation scientific facilities—such.</x:v>
      </x:c>
      <x:c r="N286" s="10" t="str">
        <x:v>Direct European/EU relevance (italy); R&amp;I evidence: research and development, research infrastructure; strategic significance is not explicit in the source and should be assessed as a possible longer-run implication.</x:v>
      </x:c>
      <x:c r="O286" s="10" t="str"/>
      <x:c r="P286" s="10" t="str"/>
      <x:c r="Q286" s="10" t="str"/>
      <x:c r="R286" s="10" t="str">
        <x:v>2026-09-01T12:17Z</x:v>
      </x:c>
      <x:c r="S286" s="10" t="str">
        <x:v>https://doi.org/10.1007/s41781-026-00174-7</x:v>
      </x:c>
    </x:row>
    <x:row r="287">
      <x:c r="A287" s="10" t="n">
        <x:f>'Ranked sources'!B287</x:f>
        <x:v>77</x:v>
      </x:c>
      <x:c r="B287" s="10" t="str">
        <x:v>Institutional Typologies in European Research Funding: A Cluster Analysis of Organized Participation Patterns</x:v>
      </x:c>
      <x:c r="C287" s="10" t="str">
        <x:v>2026-07-23</x:v>
      </x:c>
      <x:c r="D287" s="10" t="str">
        <x:v>A</x:v>
      </x:c>
      <x:c r="E287" s="10" t="str">
        <x:v>Proceedings of the International Conference on Business Excellence</x:v>
      </x:c>
      <x:c r="F287" s="10" t="str">
        <x:v>Bogdan MIREA, Mădălina Zurini, Giani-Ionel GRĂDINARU</x:v>
      </x:c>
      <x:c r="G287" s="10" t="str">
        <x:v>peer-reviewed article</x:v>
      </x:c>
      <x:c r="H287" s="10" t="str">
        <x:v>Tier 2 broad journal</x:v>
      </x:c>
      <x:c r="I287" s="10" t="str">
        <x:v>direct</x:v>
      </x:c>
      <x:c r="J287" s="10" t="str">
        <x:v>europe; european</x:v>
      </x:c>
      <x:c r="K287" s="10" t="str">
        <x:v>research funding; research program</x:v>
      </x:c>
      <x:c r="L287" s="10" t="str"/>
      <x:c r="M287" s="10" t="str">
        <x:v>Institutional Typologies in European Research Funding: A Cluster Analysis of Organized Participation Patterns.</x:v>
      </x:c>
      <x:c r="N287" s="10" t="str">
        <x:v>Direct EU relevance (europe, european); R&amp;I evidence: research funding, research program; strategic evidence: substantive strategic evidence; bridge: title/abstract.</x:v>
      </x:c>
      <x:c r="O287" s="10" t="str">
        <x:v>knowledge-A</x:v>
      </x:c>
      <x:c r="P287" s="10" t="str"/>
      <x:c r="Q287" s="10" t="str"/>
      <x:c r="R287" s="10" t="str">
        <x:v>2026-08-28T20:15Z</x:v>
      </x:c>
      <x:c r="S287" s="10" t="str">
        <x:v>https://doi.org/10.2478/picbe-2026-0173</x:v>
      </x:c>
    </x:row>
    <x:row r="288">
      <x:c r="A288" s="10" t="n">
        <x:f>'Ranked sources'!B288</x:f>
        <x:v>77</x:v>
      </x:c>
      <x:c r="B288" s="10" t="str">
        <x:v>Integrating Innovation and Entrepreneurial Capacity through the MIT REAP Framework: Evidence from Bulgaria</x:v>
      </x:c>
      <x:c r="C288" s="10" t="str">
        <x:v>2026-07-23</x:v>
      </x:c>
      <x:c r="D288" s="10" t="str">
        <x:v>A</x:v>
      </x:c>
      <x:c r="E288" s="10" t="str">
        <x:v>Proceedings of the International Conference on Business Excellence</x:v>
      </x:c>
      <x:c r="F288" s="10" t="str">
        <x:v>Ruslan STEFANOV, Svetoslava GEORGIEVA</x:v>
      </x:c>
      <x:c r="G288" s="10" t="str">
        <x:v>peer-reviewed article</x:v>
      </x:c>
      <x:c r="H288" s="10" t="str">
        <x:v>Tier 2 broad journal</x:v>
      </x:c>
      <x:c r="I288" s="10" t="str">
        <x:v>direct</x:v>
      </x:c>
      <x:c r="J288" s="10" t="str">
        <x:v>bulgaria</x:v>
      </x:c>
      <x:c r="K288" s="10" t="str">
        <x:v>innovation system; innovation ecosystem; innovation capacity; digital infrastructure + research</x:v>
      </x:c>
      <x:c r="L288" s="10" t="str"/>
      <x:c r="M288" s="10" t="str">
        <x:v>as Bulgaria, struggle to design their own inidgenous policies, despite their access to advanced EU models.</x:v>
      </x:c>
      <x:c r="N288" s="10" t="str">
        <x:v>Direct EU relevance (bulgaria); R&amp;I evidence: innovation system, innovation ecosystem; strategic evidence: substantive strategic evidence; bridge: title/abstract.</x:v>
      </x:c>
      <x:c r="O288" s="10" t="str">
        <x:v>conversion-D</x:v>
      </x:c>
      <x:c r="P288" s="10" t="str"/>
      <x:c r="Q288" s="10" t="str"/>
      <x:c r="R288" s="10" t="str">
        <x:v>2026-08-29T19:04Z</x:v>
      </x:c>
      <x:c r="S288" s="10" t="str">
        <x:v>https://doi.org/10.2478/picbe-2026-0372</x:v>
      </x:c>
    </x:row>
    <x:row r="289">
      <x:c r="A289" s="10" t="n">
        <x:f>'Ranked sources'!B289</x:f>
        <x:v>77</x:v>
      </x:c>
      <x:c r="B289" s="10" t="str">
        <x:v>Business models for digital innovation intermediaries: evidence from the digital innovation hubs initiative</x:v>
      </x:c>
      <x:c r="C289" s="10" t="str">
        <x:v>2026-07-22</x:v>
      </x:c>
      <x:c r="D289" s="10" t="str">
        <x:v>A</x:v>
      </x:c>
      <x:c r="E289" s="10" t="str">
        <x:v>Industrial and Corporate Change</x:v>
      </x:c>
      <x:c r="F289" s="10" t="str">
        <x:v>Federica Rossi, Ana Colovic, Simona Ciappei, Andrea Bonomi Savignon</x:v>
      </x:c>
      <x:c r="G289" s="10" t="str">
        <x:v>peer-reviewed article</x:v>
      </x:c>
      <x:c r="H289" s="10" t="str">
        <x:v>Tier 2 trusted-publisher journal</x:v>
      </x:c>
      <x:c r="I289" s="10" t="str">
        <x:v>direct</x:v>
      </x:c>
      <x:c r="J289" s="10" t="str">
        <x:v>europe; european; france; germany</x:v>
      </x:c>
      <x:c r="K289" s="10" t="str">
        <x:v>knowledge transfer</x:v>
      </x:c>
      <x:c r="L289" s="10" t="str"/>
      <x:c r="M289" s="10" t="str">
        <x:v>and the UK, we investigate how intermediaries create and deliver value in policy-driven digital transition initiatives.</x:v>
      </x:c>
      <x:c r="N289" s="10" t="str">
        <x:v>Direct European/EU relevance (europe, european); R&amp;I evidence: knowledge transfer; strategic significance is not explicit in the source and should be assessed as a possible longer-run implication.</x:v>
      </x:c>
      <x:c r="O289" s="10" t="str"/>
      <x:c r="P289" s="10" t="str"/>
      <x:c r="Q289" s="10" t="str"/>
      <x:c r="R289" s="10" t="str">
        <x:v>2026-09-01T12:05Z</x:v>
      </x:c>
      <x:c r="S289" s="10" t="str">
        <x:v>https://doi.org/10.1093/icc/dtag042</x:v>
      </x:c>
    </x:row>
    <x:row r="290">
      <x:c r="A290" s="10" t="n">
        <x:f>'Ranked sources'!B290</x:f>
        <x:v>77</x:v>
      </x:c>
      <x:c r="B290" s="10" t="str">
        <x:v>Unravelling the role of innovation and institutions in circular economy actions across European small‐ and medium‐sized enterprises</x:v>
      </x:c>
      <x:c r="C290" s="10" t="str">
        <x:v>2026-07-22</x:v>
      </x:c>
      <x:c r="D290" s="10" t="str">
        <x:v>A</x:v>
      </x:c>
      <x:c r="E290" s="10" t="str">
        <x:v>European Management Review</x:v>
      </x:c>
      <x:c r="F290" s="10" t="str">
        <x:v>Lucio Fuentelsaz, Mercedes Gil‐Lamata, Ana Beatriz Lopes de Sousa Jabbour</x:v>
      </x:c>
      <x:c r="G290" s="10" t="str">
        <x:v>peer-reviewed article</x:v>
      </x:c>
      <x:c r="H290" s="10" t="str">
        <x:v>Tier 2 trusted-publisher journal</x:v>
      </x:c>
      <x:c r="I290" s="10" t="str">
        <x:v>direct</x:v>
      </x:c>
      <x:c r="J290" s="10" t="str">
        <x:v>europe; european</x:v>
      </x:c>
      <x:c r="K290" s="10" t="str">
        <x:v>innovation system</x:v>
      </x:c>
      <x:c r="L290" s="10" t="str"/>
      <x:c r="M290" s="10" t="str">
        <x:v>By jointly considering formal institutions, such.</x:v>
      </x:c>
      <x:c r="N290" s="10" t="str">
        <x:v>Direct European/EU relevance (europe, european); R&amp;I evidence: innovation system; strategic significance is not explicit in the source and should be assessed as a possible longer-run implication.</x:v>
      </x:c>
      <x:c r="O290" s="10" t="str"/>
      <x:c r="P290" s="10" t="str"/>
      <x:c r="Q290" s="10" t="str"/>
      <x:c r="R290" s="10" t="str">
        <x:v>2026-09-01T09:06Z</x:v>
      </x:c>
      <x:c r="S290" s="10" t="str">
        <x:v>https://doi.org/10.1111/emre.70095</x:v>
      </x:c>
    </x:row>
    <x:row r="291">
      <x:c r="A291" s="10" t="n">
        <x:f>'Ranked sources'!B291</x:f>
        <x:v>77</x:v>
      </x:c>
      <x:c r="B291" s="10" t="str">
        <x:v>&lt;b&gt;Strategic Analysis of the India-EU Free Trade Agreement (2026): Transforming the Medical Device Ecosystem-Economics, Regulation, and Market Dynamics&lt;/b&gt;</x:v>
      </x:c>
      <x:c r="C291" s="10" t="str">
        <x:v>2026-07-21</x:v>
      </x:c>
      <x:c r="D291" s="10" t="str">
        <x:v>A</x:v>
      </x:c>
      <x:c r="E291" s="10" t="str">
        <x:v>Journal of Global Economy</x:v>
      </x:c>
      <x:c r="F291" s="10" t="str">
        <x:v>Garv Nijhara</x:v>
      </x:c>
      <x:c r="G291" s="10" t="str">
        <x:v>peer-reviewed article</x:v>
      </x:c>
      <x:c r="H291" s="10" t="str">
        <x:v>Tier 2 broad journal</x:v>
      </x:c>
      <x:c r="I291" s="10" t="str">
        <x:v>direct</x:v>
      </x:c>
      <x:c r="J291" s="10" t="str"/>
      <x:c r="K291" s="10" t="str"/>
      <x:c r="L291" s="10" t="str"/>
      <x:c r="M291" s="10" t="str">
        <x:v>The India–EU trade deal may speed medical-device approvals and encourage joint technology ventures.</x:v>
      </x:c>
      <x:c r="N291" s="10" t="str">
        <x:v>Direct EU relevance (EU); R&amp;I evidence: technology transfer; strategic evidence: substantive strategic evidence; bridge: title/abstract.</x:v>
      </x:c>
      <x:c r="O291" s="10" t="str"/>
      <x:c r="P291" s="10" t="str"/>
      <x:c r="Q291" s="10" t="str"/>
      <x:c r="R291" s="10" t="str">
        <x:v>2026-08-23T18:22Z</x:v>
      </x:c>
      <x:c r="S291" s="10" t="str">
        <x:v>https://doi.org/10.1956/jge.v22i3.844</x:v>
      </x:c>
    </x:row>
    <x:row r="292">
      <x:c r="A292" s="10" t="n">
        <x:f>'Ranked sources'!B292</x:f>
        <x:v>77</x:v>
      </x:c>
      <x:c r="B292" s="10" t="str">
        <x:v>Digitally mediated HRM knowledge transfer and capability development for financial performance results in Central European multinational companies</x:v>
      </x:c>
      <x:c r="C292" s="10" t="str">
        <x:v>2026-07-20</x:v>
      </x:c>
      <x:c r="D292" s="10" t="str">
        <x:v>A</x:v>
      </x:c>
      <x:c r="E292" s="10" t="str">
        <x:v>International Journal of Development Issues</x:v>
      </x:c>
      <x:c r="F292" s="10" t="str">
        <x:v>Marzena Stor, Aurelia Domaradzka</x:v>
      </x:c>
      <x:c r="G292" s="10" t="str">
        <x:v>peer-reviewed article</x:v>
      </x:c>
      <x:c r="H292" s="10" t="str">
        <x:v>Tier 2 broad journal</x:v>
      </x:c>
      <x:c r="I292" s="10" t="str">
        <x:v>direct</x:v>
      </x:c>
      <x:c r="J292" s="10" t="str"/>
      <x:c r="K292" s="10" t="str"/>
      <x:c r="L292" s="10" t="str"/>
      <x:c r="M292" s="10" t="str">
        <x:v>Which creates specific challenges for cross-border HRM knowledge transfer.</x:v>
      </x:c>
      <x:c r="N292" s="10" t="str">
        <x:v>Direct EU relevance (europe, european); R&amp;I evidence: knowledge transfer; strategic evidence: substantive strategic evidence; bridge: title/abstract.</x:v>
      </x:c>
      <x:c r="O292" s="10" t="str"/>
      <x:c r="P292" s="10" t="str"/>
      <x:c r="Q292" s="10" t="str"/>
      <x:c r="R292" s="10" t="str">
        <x:v>2026-08-23T18:51Z</x:v>
      </x:c>
      <x:c r="S292" s="10" t="str">
        <x:v>https://doi.org/10.1108/ijdi-03-2026-0098</x:v>
      </x:c>
    </x:row>
    <x:row r="293">
      <x:c r="A293" s="10" t="n">
        <x:f>'Ranked sources'!B293</x:f>
        <x:v>77</x:v>
      </x:c>
      <x:c r="B293" s="10" t="str">
        <x:v>BEYOND BORDERS: TWO JOURNEYS – LESSONS LEARNED FROM RESEARCH SHORT STAYS AT THE UNIVERSITY OF OLDENBURG, GERMANY</x:v>
      </x:c>
      <x:c r="C293" s="10" t="str">
        <x:v>2026-07-19</x:v>
      </x:c>
      <x:c r="D293" s="10" t="str">
        <x:v>A</x:v>
      </x:c>
      <x:c r="E293" s="10" t="str">
        <x:v>European Journal of Education Studies</x:v>
      </x:c>
      <x:c r="F293" s="10" t="str">
        <x:v>John Mgejwa, Ranji John Karanja</x:v>
      </x:c>
      <x:c r="G293" s="10" t="str">
        <x:v>peer-reviewed article</x:v>
      </x:c>
      <x:c r="H293" s="10" t="str">
        <x:v>Tier 2 broad journal</x:v>
      </x:c>
      <x:c r="I293" s="10" t="str">
        <x:v>direct</x:v>
      </x:c>
      <x:c r="J293" s="10" t="str">
        <x:v>germany</x:v>
      </x:c>
      <x:c r="K293" s="10" t="str">
        <x:v>doctoral candidates</x:v>
      </x:c>
      <x:c r="L293" s="10" t="str"/>
      <x:c r="M293" s="10" t="str">
        <x:v>Mgejwa, a Tanzanian doctoral candidate and lecturer, undertook a three-month stay between February 1 and April 30, 2025.</x:v>
      </x:c>
      <x:c r="N293" s="10" t="str">
        <x:v>Direct EU relevance (germany); R&amp;I evidence: doctoral candidates; strategic evidence: substantive strategic evidence; bridge: title/abstract.</x:v>
      </x:c>
      <x:c r="O293" s="10" t="str"/>
      <x:c r="P293" s="10" t="str"/>
      <x:c r="Q293" s="10" t="str"/>
      <x:c r="R293" s="10" t="str">
        <x:v>2026-08-29T11:09Z</x:v>
      </x:c>
      <x:c r="S293" s="10" t="str">
        <x:v>https://doi.org/10.46827/ejes.v13i7.6873</x:v>
      </x:c>
    </x:row>
    <x:row r="294">
      <x:c r="A294" s="10" t="n">
        <x:f>'Ranked sources'!B294</x:f>
        <x:v>77</x:v>
      </x:c>
      <x:c r="B294" s="10" t="str">
        <x:v>The role of the non-academic staff heterogeneity in the performance of European universities</x:v>
      </x:c>
      <x:c r="C294" s="10" t="str">
        <x:v>2026-07-17</x:v>
      </x:c>
      <x:c r="D294" s="10" t="str">
        <x:v>A</x:v>
      </x:c>
      <x:c r="E294" s="10" t="str">
        <x:v>Journal of Productivity Analysis</x:v>
      </x:c>
      <x:c r="F294" s="10" t="str">
        <x:v>Alessandro Avenali, Cinzia Daraio, Simone Di Leo, Joanna Wolszczak-Derlacz</x:v>
      </x:c>
      <x:c r="G294" s="10" t="str">
        <x:v>peer-reviewed article</x:v>
      </x:c>
      <x:c r="H294" s="10" t="str">
        <x:v>Tier 2 broad journal</x:v>
      </x:c>
      <x:c r="I294" s="10" t="str">
        <x:v>direct</x:v>
      </x:c>
      <x:c r="J294" s="10" t="str">
        <x:v>europe; european</x:v>
      </x:c>
      <x:c r="K294" s="10" t="str">
        <x:v>knowledge transfer</x:v>
      </x:c>
      <x:c r="L294" s="10" t="str"/>
      <x:c r="M294" s="10" t="str">
        <x:v>The role of the non-academic staff heterogeneity in the performance of European universities.</x:v>
      </x:c>
      <x:c r="N294" s="10" t="str">
        <x:v>Direct EU relevance (europe, european); R&amp;I evidence: knowledge transfer; strategic evidence: substantive strategic evidence; bridge: title/abstract.</x:v>
      </x:c>
      <x:c r="O294" s="10" t="str"/>
      <x:c r="P294" s="10" t="str"/>
      <x:c r="Q294" s="10" t="str"/>
      <x:c r="R294" s="10" t="str">
        <x:v>2026-08-30T09:58Z</x:v>
      </x:c>
      <x:c r="S294" s="10" t="str">
        <x:v>https://doi.org/10.1007/s11123-026-00819-0</x:v>
      </x:c>
    </x:row>
    <x:row r="295">
      <x:c r="A295" s="10" t="n">
        <x:f>'Ranked sources'!B295</x:f>
        <x:v>77</x:v>
      </x:c>
      <x:c r="B295" s="10" t="str">
        <x:v>The QTF Backbone: proposal for a nationwide optical fibre backbone in Germany for quantum technology and time and frequency metrology</x:v>
      </x:c>
      <x:c r="C295" s="10" t="str">
        <x:v>2026-07-16</x:v>
      </x:c>
      <x:c r="D295" s="10" t="str">
        <x:v>A</x:v>
      </x:c>
      <x:c r="E295" s="10" t="str">
        <x:v>The European Physical Journal Special Topics</x:v>
      </x:c>
      <x:c r="F295" s="10" t="str">
        <x:v>Tara Cubel Liebisch, Peter Kaufmann, Harald Schnatz, Susanne Naegele-Jackson, Jochen Kronjäger, K Blaum, Stefan Kück, Dieter Meschede, et al.</x:v>
      </x:c>
      <x:c r="G295" s="10" t="str">
        <x:v>peer-reviewed article</x:v>
      </x:c>
      <x:c r="H295" s="10" t="str">
        <x:v>Tier 2 trusted-publisher journal</x:v>
      </x:c>
      <x:c r="I295" s="10" t="str">
        <x:v>direct</x:v>
      </x:c>
      <x:c r="J295" s="10" t="str">
        <x:v>germany</x:v>
      </x:c>
      <x:c r="K295" s="10" t="str">
        <x:v>research and development; r&amp;d; quantum + testbed</x:v>
      </x:c>
      <x:c r="L295" s="10" t="str"/>
      <x:c r="M295" s="10" t="str">
        <x:v>as that supporting Global Navigation Satellite Systems (GNSS)) and fundamental physics.</x:v>
      </x:c>
      <x:c r="N295" s="10" t="str">
        <x:v>Direct European/EU relevance (germany); R&amp;I evidence: research and development, r&amp;d; strategic significance is not explicit in the source and should be assessed as a possible longer-run implication.</x:v>
      </x:c>
      <x:c r="O295" s="10" t="str"/>
      <x:c r="P295" s="10" t="str"/>
      <x:c r="Q295" s="10" t="str"/>
      <x:c r="R295" s="10" t="str">
        <x:v>2026-09-01T11:11Z</x:v>
      </x:c>
      <x:c r="S295" s="10" t="str">
        <x:v>https://doi.org/10.1140/epjs/s11734-026-02451-3</x:v>
      </x:c>
    </x:row>
    <x:row r="296">
      <x:c r="A296" s="10" t="n">
        <x:f>'Ranked sources'!B296</x:f>
        <x:v>77</x:v>
      </x:c>
      <x:c r="B296" s="10" t="str">
        <x:v>Cross-Border Cooperation and Enterprise Development in the EU’s Border Regions: An Evidence from the Case Studies</x:v>
      </x:c>
      <x:c r="C296" s="10" t="str">
        <x:v>2026-07-15</x:v>
      </x:c>
      <x:c r="D296" s="10" t="str">
        <x:v>A</x:v>
      </x:c>
      <x:c r="E296" s="10" t="str">
        <x:v>Studia Mundi – Economica</x:v>
      </x:c>
      <x:c r="F296" s="10" t="str">
        <x:v>Németh Nikolina, Krisztián Ritter</x:v>
      </x:c>
      <x:c r="G296" s="10" t="str">
        <x:v>peer-reviewed article</x:v>
      </x:c>
      <x:c r="H296" s="10" t="str">
        <x:v>Tier 2 broad journal</x:v>
      </x:c>
      <x:c r="I296" s="10" t="str">
        <x:v>direct</x:v>
      </x:c>
      <x:c r="J296" s="10" t="str">
        <x:v>EU</x:v>
      </x:c>
      <x:c r="K296" s="10" t="str">
        <x:v>knowledge transfer</x:v>
      </x:c>
      <x:c r="L296" s="10" t="str"/>
      <x:c r="M296" s="10" t="str">
        <x:v>Cross-Border Cooperation and Enterprise Development in the EU’s Border Regions: An Evidence from the Case Studies.</x:v>
      </x:c>
      <x:c r="N296" s="10" t="str">
        <x:v>Direct EU relevance (EU); R&amp;I evidence: knowledge transfer; strategic evidence: substantive strategic evidence; bridge: title/abstract.</x:v>
      </x:c>
      <x:c r="O296" s="10" t="str"/>
      <x:c r="P296" s="10" t="str"/>
      <x:c r="Q296" s="10" t="str"/>
      <x:c r="R296" s="10" t="str">
        <x:v>2026-08-29T11:09Z</x:v>
      </x:c>
      <x:c r="S296" s="10" t="str">
        <x:v>https://doi.org/10.56617/sme.vol.13.no.2.pp.46-63</x:v>
      </x:c>
    </x:row>
    <x:row r="297">
      <x:c r="A297" s="10" t="n">
        <x:f>'Ranked sources'!B297</x:f>
        <x:v>77</x:v>
      </x:c>
      <x:c r="B297" s="10" t="str">
        <x:v>Navigating EU research participation from a Widening Country institution: insights from a case study of ZRC SAZU in Slovenia</x:v>
      </x:c>
      <x:c r="C297" s="10" t="str">
        <x:v>2026-07-15</x:v>
      </x:c>
      <x:c r="D297" s="10" t="str">
        <x:v>A</x:v>
      </x:c>
      <x:c r="E297" s="10" t="str">
        <x:v>Humanities and Social Sciences Communications</x:v>
      </x:c>
      <x:c r="F297" s="10" t="str">
        <x:v>Mimi Urbanc</x:v>
      </x:c>
      <x:c r="G297" s="10" t="str">
        <x:v>peer-reviewed article</x:v>
      </x:c>
      <x:c r="H297" s="10" t="str">
        <x:v>Tier 2 trusted-publisher journal</x:v>
      </x:c>
      <x:c r="I297" s="10" t="str">
        <x:v>direct</x:v>
      </x:c>
      <x:c r="J297" s="10" t="str">
        <x:v>eu research; EU; slovenia</x:v>
      </x:c>
      <x:c r="K297" s="10" t="str">
        <x:v>research and innovation; european research area</x:v>
      </x:c>
      <x:c r="L297" s="10" t="str"/>
      <x:c r="M297" s="10" t="str">
        <x:v>In the EU, R&amp;I policies aim to advance knowledge, tackle societal challenges, and increase economic growth.</x:v>
      </x:c>
      <x:c r="N297" s="10" t="str">
        <x:v>Direct European/EU relevance (eu research, EU); R&amp;I evidence: research and innovation, european research area; strategic significance is not explicit in the source and should be assessed as a possible longer-run implication.</x:v>
      </x:c>
      <x:c r="O297" s="10" t="str"/>
      <x:c r="P297" s="10" t="str"/>
      <x:c r="Q297" s="10" t="str"/>
      <x:c r="R297" s="10" t="str">
        <x:v>2026-09-01T11:01Z</x:v>
      </x:c>
      <x:c r="S297" s="10" t="str">
        <x:v>https://doi.org/10.1057/s41599-026-08369-4</x:v>
      </x:c>
    </x:row>
    <x:row r="298">
      <x:c r="A298" s="10" t="n">
        <x:f>'Ranked sources'!B298</x:f>
        <x:v>77</x:v>
      </x:c>
      <x:c r="B298" s="10" t="str">
        <x:v>Academic Cooperation from the Souths: Geopolitics of the Gaze, Cognitive and Epistemic Justices</x:v>
      </x:c>
      <x:c r="C298" s="10" t="str">
        <x:v>2026-07-14</x:v>
      </x:c>
      <x:c r="D298" s="10" t="str">
        <x:v>A</x:v>
      </x:c>
      <x:c r="E298" s="10" t="str">
        <x:v>Journal of Latin American Communication Research</x:v>
      </x:c>
      <x:c r="F298" s="10" t="str">
        <x:v>Jair Vega</x:v>
      </x:c>
      <x:c r="G298" s="10" t="str">
        <x:v>peer-reviewed article</x:v>
      </x:c>
      <x:c r="H298" s="10" t="str">
        <x:v>Tier 2 broad journal</x:v>
      </x:c>
      <x:c r="I298" s="10" t="str">
        <x:v>direct</x:v>
      </x:c>
      <x:c r="J298" s="10" t="str"/>
      <x:c r="K298" s="10" t="str"/>
      <x:c r="L298" s="10" t="str"/>
      <x:c r="M298" s="10" t="str">
        <x:v>Academic cooperation is shaped by geopolitical and epistemic inequalities.</x:v>
      </x:c>
      <x:c r="N298" s="10" t="str">
        <x:v>Direct EU relevance (europe); R&amp;I evidence: scientific cooperation; strategic evidence: geopolit; bridge: sentence.</x:v>
      </x:c>
      <x:c r="O298" s="10" t="str"/>
      <x:c r="P298" s="10" t="str"/>
      <x:c r="Q298" s="10" t="str"/>
      <x:c r="R298" s="10" t="str">
        <x:v>2026-08-23T18:12Z</x:v>
      </x:c>
      <x:c r="S298" s="10" t="str">
        <x:v>https://doi.org/10.55738/journal.v14i1p.35-49</x:v>
      </x:c>
    </x:row>
    <x:row r="299">
      <x:c r="A299" s="10" t="n">
        <x:f>'Ranked sources'!B299</x:f>
        <x:v>77</x:v>
      </x:c>
      <x:c r="B299" s="10" t="str">
        <x:v>From automation to innovation? The role of industrial robots in Europe</x:v>
      </x:c>
      <x:c r="C299" s="10" t="str">
        <x:v>2026-07-14</x:v>
      </x:c>
      <x:c r="D299" s="10" t="str">
        <x:v>A</x:v>
      </x:c>
      <x:c r="E299" s="10" t="str">
        <x:v>Journal of Industrial and Business Economics</x:v>
      </x:c>
      <x:c r="F299" s="10" t="str">
        <x:v>Guillermo Andrés, Chiara Franco, Francesco Suppressa</x:v>
      </x:c>
      <x:c r="G299" s="10" t="str">
        <x:v>peer-reviewed article</x:v>
      </x:c>
      <x:c r="H299" s="10" t="str">
        <x:v>Tier 2 trusted-publisher journal</x:v>
      </x:c>
      <x:c r="I299" s="10" t="str">
        <x:v>direct</x:v>
      </x:c>
      <x:c r="J299" s="10" t="str">
        <x:v>europe</x:v>
      </x:c>
      <x:c r="K299" s="10" t="str">
        <x:v>robotics + patent</x:v>
      </x:c>
      <x:c r="L299" s="10" t="str"/>
      <x:c r="M299" s="10" t="str">
        <x:v>and employ instrumental-variable estimations to address potential endogeneity.</x:v>
      </x:c>
      <x:c r="N299" s="10" t="str">
        <x:v>Direct European/EU relevance (europe); R&amp;I evidence: robotics + patent; strategic significance is not explicit in the source and should be assessed as a possible longer-run implication.</x:v>
      </x:c>
      <x:c r="O299" s="10" t="str"/>
      <x:c r="P299" s="10" t="str"/>
      <x:c r="Q299" s="10" t="str"/>
      <x:c r="R299" s="10" t="str">
        <x:v>2026-09-02T08:56Z</x:v>
      </x:c>
      <x:c r="S299" s="10" t="str">
        <x:v>https://doi.org/10.1007/s40812-026-00417-z</x:v>
      </x:c>
    </x:row>
    <x:row r="300">
      <x:c r="A300" s="10" t="n">
        <x:f>'Ranked sources'!B300</x:f>
        <x:v>77</x:v>
      </x:c>
      <x:c r="B300" s="10" t="str">
        <x:v>DUAL-USE TECHNOLOGIES AND CYBERSECURITY CHALLENGES IN THE CURRENT MILITARY DEFENSE ENVIRONMENT</x:v>
      </x:c>
      <x:c r="C300" s="10" t="str">
        <x:v>2026-07-13</x:v>
      </x:c>
      <x:c r="D300" s="10" t="str">
        <x:v>A</x:v>
      </x:c>
      <x:c r="E300" s="10" t="str">
        <x:v>SCIENTIFIC RESEARCH AND EDUCATION IN THE AIR FORCE</x:v>
      </x:c>
      <x:c r="F300" s="10" t="str">
        <x:v>Adriana Niţescu, Tiberiu Tănase</x:v>
      </x:c>
      <x:c r="G300" s="10" t="str">
        <x:v>peer-reviewed article</x:v>
      </x:c>
      <x:c r="H300" s="10" t="str">
        <x:v>Tier 2 broad journal</x:v>
      </x:c>
      <x:c r="I300" s="10" t="str">
        <x:v>direct</x:v>
      </x:c>
      <x:c r="J300" s="10" t="str"/>
      <x:c r="K300" s="10" t="str"/>
      <x:c r="L300" s="10" t="str"/>
      <x:c r="M300" s="10" t="str">
        <x:v>Securing dual-use technologies requires an integrated approach combining regulation, technological innovation.</x:v>
      </x:c>
      <x:c r="N300" s="10" t="str">
        <x:v>Direct EU relevance (european union); R&amp;I evidence: technological innovation; strategic evidence: technological sovereignty, dual-use; bridge: sentence.</x:v>
      </x:c>
      <x:c r="O300" s="10" t="str"/>
      <x:c r="P300" s="10" t="str"/>
      <x:c r="Q300" s="10" t="str"/>
      <x:c r="R300" s="10" t="str">
        <x:v>2026-08-23T09:12Z</x:v>
      </x:c>
      <x:c r="S300" s="10" t="str">
        <x:v>https://doi.org/10.19062/2247-3173.2026.27.30</x:v>
      </x:c>
    </x:row>
    <x:row r="301">
      <x:c r="A301" s="10" t="n">
        <x:f>'Ranked sources'!B301</x:f>
        <x:v>77</x:v>
      </x:c>
      <x:c r="B301" s="10" t="str">
        <x:v>The Myth of Regional Replication: How imec Reimagined Silicon Valley for Flanders</x:v>
      </x:c>
      <x:c r="C301" s="10" t="str">
        <x:v>2026-07-10</x:v>
      </x:c>
      <x:c r="D301" s="10" t="str">
        <x:v>A</x:v>
      </x:c>
      <x:c r="E301" s="10" t="str">
        <x:v>Minerva</x:v>
      </x:c>
      <x:c r="F301" s="10" t="str">
        <x:v>Marlise Horvath Schneider</x:v>
      </x:c>
      <x:c r="G301" s="10" t="str">
        <x:v>peer-reviewed article</x:v>
      </x:c>
      <x:c r="H301" s="10" t="str">
        <x:v>Tier 2</x:v>
      </x:c>
      <x:c r="I301" s="10" t="str">
        <x:v>direct</x:v>
      </x:c>
      <x:c r="J301" s="10" t="str">
        <x:v>europe; belgium; europe's</x:v>
      </x:c>
      <x:c r="K301" s="10" t="str">
        <x:v>innovation policy; technological innovation; semiconductor + innovative; semiconductor + innovation; semiconductor + research</x:v>
      </x:c>
      <x:c r="L301" s="10" t="str"/>
      <x:c r="M301" s="10" t="str">
        <x:v>and industry, the CEO says places should not try to remake imec.</x:v>
      </x:c>
      <x:c r="N301" s="10" t="str">
        <x:v>Direct European/EU relevance (europe, belgium); R&amp;I evidence: innovation policy, technological innovation; strategic significance is not explicit in the source and should be assessed as a possible longer-run implication.</x:v>
      </x:c>
      <x:c r="O301" s="10" t="str">
        <x:v>infrastructure-A</x:v>
      </x:c>
      <x:c r="P301" s="10" t="str"/>
      <x:c r="Q301" s="10" t="str"/>
      <x:c r="R301" s="10" t="str">
        <x:v>2026-09-01T09:06Z</x:v>
      </x:c>
      <x:c r="S301" s="10" t="str">
        <x:v>https://doi.org/10.1007/s11024-026-09652-z</x:v>
      </x:c>
    </x:row>
    <x:row r="302">
      <x:c r="A302" s="10" t="n">
        <x:f>'Ranked sources'!B302</x:f>
        <x:v>77</x:v>
      </x:c>
      <x:c r="B302" s="10" t="str">
        <x:v>Not So Protected After All—Managing Paradoxical Tensions in Mission‐Oriented Innovation Ecosystems</x:v>
      </x:c>
      <x:c r="C302" s="10" t="str">
        <x:v>2026-07-09</x:v>
      </x:c>
      <x:c r="D302" s="10" t="str">
        <x:v>A</x:v>
      </x:c>
      <x:c r="E302" s="10" t="str">
        <x:v>Creativity and Innovation Management</x:v>
      </x:c>
      <x:c r="F302" s="10" t="str">
        <x:v>Duygu Keskin, Dieudonnee Cobben, Maral Mahdad</x:v>
      </x:c>
      <x:c r="G302" s="10" t="str">
        <x:v>peer-reviewed article</x:v>
      </x:c>
      <x:c r="H302" s="10" t="str">
        <x:v>Tier 2 trusted-publisher journal</x:v>
      </x:c>
      <x:c r="I302" s="10" t="str">
        <x:v>direct</x:v>
      </x:c>
      <x:c r="J302" s="10" t="str">
        <x:v>european union; europe; european; dutch</x:v>
      </x:c>
      <x:c r="K302" s="10" t="str">
        <x:v>innovation ecosystem</x:v>
      </x:c>
      <x:c r="L302" s="10" t="str"/>
      <x:c r="M302" s="10" t="str">
        <x:v>Not So Protected After All—Managing Paradoxical Tensions in Mission‐Oriented Innovation Ecosystems.</x:v>
      </x:c>
      <x:c r="N302" s="10" t="str">
        <x:v>Direct European/EU relevance (european union, europe); R&amp;I evidence: innovation ecosystem; strategic significance is not explicit in the source and should be assessed as a possible longer-run implication.</x:v>
      </x:c>
      <x:c r="O302" s="10" t="str"/>
      <x:c r="P302" s="10" t="str"/>
      <x:c r="Q302" s="10" t="str"/>
      <x:c r="R302" s="10" t="str">
        <x:v>2026-09-01T14:15Z</x:v>
      </x:c>
      <x:c r="S302" s="10" t="str">
        <x:v>https://doi.org/10.1111/caim.70078</x:v>
      </x:c>
    </x:row>
    <x:row r="303">
      <x:c r="A303" s="10" t="n">
        <x:f>'Ranked sources'!B303</x:f>
        <x:v>77</x:v>
      </x:c>
      <x:c r="B303" s="10" t="str">
        <x:v>The Role of Artificial Intelligence in Constitutional Adjudication: Comparative Insights from General Judicial Practice</x:v>
      </x:c>
      <x:c r="C303" s="10" t="str">
        <x:v>2026-07-09</x:v>
      </x:c>
      <x:c r="D303" s="10" t="str">
        <x:v>A</x:v>
      </x:c>
      <x:c r="E303" s="10" t="str">
        <x:v>Access to Justice in Eastern Europe</x:v>
      </x:c>
      <x:c r="F303" s="10" t="str">
        <x:v>Tareq Al-Billeh</x:v>
      </x:c>
      <x:c r="G303" s="10" t="str">
        <x:v>peer-reviewed article</x:v>
      </x:c>
      <x:c r="H303" s="10" t="str">
        <x:v>Tier 2 broad journal</x:v>
      </x:c>
      <x:c r="I303" s="10" t="str">
        <x:v>direct</x:v>
      </x:c>
      <x:c r="J303" s="10" t="str">
        <x:v>member state; member states</x:v>
      </x:c>
      <x:c r="K303" s="10" t="str">
        <x:v>technological innovation; ai + research; ai + innovation</x:v>
      </x:c>
      <x:c r="L303" s="10" t="str"/>
      <x:c r="M303" s="10" t="str">
        <x:v>Constitutional courts perform a unique function that extends beyond ordinary dispute resolution.</x:v>
      </x:c>
      <x:c r="N303" s="10" t="str">
        <x:v>Direct EU relevance (member state, member states); R&amp;I evidence: technological innovation, ai + research; strategic evidence: substantive strategic evidence; bridge: title/abstract.</x:v>
      </x:c>
      <x:c r="O303" s="10" t="str"/>
      <x:c r="P303" s="10" t="str"/>
      <x:c r="Q303" s="10" t="str"/>
      <x:c r="R303" s="10" t="str">
        <x:v>2026-08-29T10:39Z</x:v>
      </x:c>
      <x:c r="S303" s="10" t="str">
        <x:v>https://doi.org/10.33327/ajee-18-9.3-a0001988</x:v>
      </x:c>
    </x:row>
    <x:row r="304">
      <x:c r="A304" s="10" t="n">
        <x:f>'Ranked sources'!B304</x:f>
        <x:v>77</x:v>
      </x:c>
      <x:c r="B304" s="10" t="str">
        <x:v>Actionable knowledge for agroecological transformation: a critical realist analysis of co-innovation in a transdisciplinary project</x:v>
      </x:c>
      <x:c r="C304" s="10" t="str">
        <x:v>2026-07-07</x:v>
      </x:c>
      <x:c r="D304" s="10" t="str">
        <x:v>A</x:v>
      </x:c>
      <x:c r="E304" s="10" t="str">
        <x:v>Sustainability Science</x:v>
      </x:c>
      <x:c r="F304" s="10" t="str">
        <x:v>Stephen Leitheiser, Darleen van Dam, Jonas Egmose, Cecilia Zagaria, Henrik Hauggaard‐Nielsen, YANKA KAZAKOVA, Raquel Luján Soto, Bertrand Dumont, et al.</x:v>
      </x:c>
      <x:c r="G304" s="10" t="str">
        <x:v>peer-reviewed article</x:v>
      </x:c>
      <x:c r="H304" s="10" t="str">
        <x:v>Tier 2 trusted-publisher journal</x:v>
      </x:c>
      <x:c r="I304" s="10" t="str">
        <x:v>direct</x:v>
      </x:c>
      <x:c r="J304" s="10" t="str">
        <x:v>horizon europe</x:v>
      </x:c>
      <x:c r="K304" s="10" t="str">
        <x:v>horizon europe</x:v>
      </x:c>
      <x:c r="L304" s="10" t="str"/>
      <x:c r="M304" s="10" t="str">
        <x:v>Societal effects were assessed using a conforming-transforming distinction informed by political agroecology.</x:v>
      </x:c>
      <x:c r="N304" s="10" t="str">
        <x:v>Direct European/EU relevance (horizon europe); R&amp;I evidence: horizon europe; strategic significance is not explicit in the source and should be assessed as a possible longer-run implication.</x:v>
      </x:c>
      <x:c r="O304" s="10" t="str"/>
      <x:c r="P304" s="10" t="str"/>
      <x:c r="Q304" s="10" t="str"/>
      <x:c r="R304" s="10" t="str">
        <x:v>2026-09-01T14:50Z</x:v>
      </x:c>
      <x:c r="S304" s="10" t="str">
        <x:v>https://doi.org/10.1007/s11625-026-01867-z</x:v>
      </x:c>
    </x:row>
    <x:row r="305">
      <x:c r="A305" s="10" t="n">
        <x:f>'Ranked sources'!B305</x:f>
        <x:v>77</x:v>
      </x:c>
      <x:c r="B305" s="10" t="str">
        <x:v>Bridging Gaps in Sustainability. Poland’s National SDGs Performance and the Role of Quality Education in the EU Context</x:v>
      </x:c>
      <x:c r="C305" s="10" t="str">
        <x:v>2026-07-07</x:v>
      </x:c>
      <x:c r="D305" s="10" t="str">
        <x:v>A</x:v>
      </x:c>
      <x:c r="E305" s="10" t="str">
        <x:v>Journal of the Knowledge Economy</x:v>
      </x:c>
      <x:c r="F305" s="10" t="str">
        <x:v>Maciej Jagódka</x:v>
      </x:c>
      <x:c r="G305" s="10" t="str">
        <x:v>peer-reviewed article</x:v>
      </x:c>
      <x:c r="H305" s="10" t="str">
        <x:v>Tier 2 trusted-publisher journal</x:v>
      </x:c>
      <x:c r="I305" s="10" t="str">
        <x:v>direct</x:v>
      </x:c>
      <x:c r="J305" s="10" t="str">
        <x:v>EU; poland</x:v>
      </x:c>
      <x:c r="K305" s="10" t="str">
        <x:v>innovation policy</x:v>
      </x:c>
      <x:c r="L305" s="10" t="str"/>
      <x:c r="M305" s="10" t="str">
        <x:v>Poland’s National SDGs Performance and the Role of Quality Education in the EU Context.</x:v>
      </x:c>
      <x:c r="N305" s="10" t="str">
        <x:v>Direct European/EU relevance (EU, poland); R&amp;I evidence: innovation policy; strategic significance is not explicit in the source and should be assessed as a possible longer-run implication.</x:v>
      </x:c>
      <x:c r="O305" s="10" t="str"/>
      <x:c r="P305" s="10" t="str"/>
      <x:c r="Q305" s="10" t="str"/>
      <x:c r="R305" s="10" t="str">
        <x:v>2026-09-01T18:22Z</x:v>
      </x:c>
      <x:c r="S305" s="10" t="str">
        <x:v>https://doi.org/10.1007/s13132-026-03292-0</x:v>
      </x:c>
    </x:row>
    <x:row r="306">
      <x:c r="A306" s="10" t="n">
        <x:f>'Ranked sources'!B306</x:f>
        <x:v>77</x:v>
      </x:c>
      <x:c r="B306" s="10" t="str">
        <x:v>Closing the Competitiveness Gap through Advancing European Battery Cell Production Machinery</x:v>
      </x:c>
      <x:c r="C306" s="10" t="str">
        <x:v>2026-07-07</x:v>
      </x:c>
      <x:c r="D306" s="10" t="str">
        <x:v>A</x:v>
      </x:c>
      <x:c r="E306" s="10" t="str">
        <x:v>ECS Meeting Abstracts</x:v>
      </x:c>
      <x:c r="F306" s="10" t="str">
        <x:v>Kamil Burak Dermenci, Kartal Arslan, Maitane Berecibar</x:v>
      </x:c>
      <x:c r="G306" s="10" t="str">
        <x:v>peer-reviewed article</x:v>
      </x:c>
      <x:c r="H306" s="10" t="str">
        <x:v>Tier 2 broad journal</x:v>
      </x:c>
      <x:c r="I306" s="10" t="str">
        <x:v>direct</x:v>
      </x:c>
      <x:c r="J306" s="10" t="str"/>
      <x:c r="K306" s="10" t="str"/>
      <x:c r="L306" s="10" t="str"/>
      <x:c r="M306" s="10" t="str">
        <x:v>Europe’s quest for sustainable mobility hinges on gaining tech sovereignty in battery cell production machinery.</x:v>
      </x:c>
      <x:c r="N306" s="10" t="str">
        <x:v>Direct EU relevance (europe, european); R&amp;I evidence: r&amp;d; strategic evidence: technological sovereignty; bridge: title/abstract.</x:v>
      </x:c>
      <x:c r="O306" s="10" t="str">
        <x:v>conversion-D</x:v>
      </x:c>
      <x:c r="P306" s="10" t="str"/>
      <x:c r="Q306" s="10" t="str"/>
      <x:c r="R306" s="10" t="str">
        <x:v>2026-08-23T08:43Z</x:v>
      </x:c>
      <x:c r="S306" s="10" t="str">
        <x:v>https://doi.org/10.1149/ma2026-01592869mtgabs</x:v>
      </x:c>
    </x:row>
    <x:row r="307">
      <x:c r="A307" s="10" t="n">
        <x:f>'Ranked sources'!B307</x:f>
        <x:v>77</x:v>
      </x:c>
      <x:c r="B307" s="10" t="str">
        <x:v>From Compliance to Confidence: AI Diffusion, GDPR and Organisational Trust in Europe</x:v>
      </x:c>
      <x:c r="C307" s="10" t="str">
        <x:v>2026-07-07</x:v>
      </x:c>
      <x:c r="D307" s="10" t="str">
        <x:v>A</x:v>
      </x:c>
      <x:c r="E307" s="10" t="str">
        <x:v>AI, Law, Politics</x:v>
      </x:c>
      <x:c r="F307" s="10" t="str">
        <x:v>Matea Novak, Mateja Kovačić, Mato Njavro</x:v>
      </x:c>
      <x:c r="G307" s="10" t="str">
        <x:v>peer-reviewed article</x:v>
      </x:c>
      <x:c r="H307" s="10" t="str">
        <x:v>Tier 2 broad journal</x:v>
      </x:c>
      <x:c r="I307" s="10" t="str">
        <x:v>direct</x:v>
      </x:c>
      <x:c r="J307" s="10" t="str">
        <x:v>europe</x:v>
      </x:c>
      <x:c r="K307" s="10" t="str">
        <x:v>ai + competitiveness</x:v>
      </x:c>
      <x:c r="L307" s="10" t="str"/>
      <x:c r="M307" s="10" t="str">
        <x:v>The model indicates strong path-dependence: previous adoption explains most cross-national variation in 2025 AI use.</x:v>
      </x:c>
      <x:c r="N307" s="10" t="str">
        <x:v>Direct EU relevance (europe); R&amp;I evidence: ai + competitiveness; strategic evidence: substantive strategic evidence; bridge: title/abstract.</x:v>
      </x:c>
      <x:c r="O307" s="10" t="str"/>
      <x:c r="P307" s="10" t="str"/>
      <x:c r="Q307" s="10" t="str"/>
      <x:c r="R307" s="10" t="str">
        <x:v>2026-08-28T20:50Z</x:v>
      </x:c>
      <x:c r="S307" s="10" t="str">
        <x:v>https://doi.org/10.5709/alp-02.01.2026-02</x:v>
      </x:c>
    </x:row>
    <x:row r="308">
      <x:c r="A308" s="10" t="n">
        <x:f>'Ranked sources'!B308</x:f>
        <x:v>77</x:v>
      </x:c>
      <x:c r="B308" s="10" t="str">
        <x:v>Building anticipatory capacity for transformative resilience: Lessons from UK and EU applying strategic foresight in grand societal challenge-oriented regional policy</x:v>
      </x:c>
      <x:c r="C308" s="10" t="str">
        <x:v>2026-07-06</x:v>
      </x:c>
      <x:c r="D308" s="10" t="str">
        <x:v>A</x:v>
      </x:c>
      <x:c r="E308" s="10" t="str">
        <x:v>Technology in Society</x:v>
      </x:c>
      <x:c r="F308" s="10" t="str">
        <x:v>Francesco Cappellano, Cristian Matti, Matjaž Vidmar</x:v>
      </x:c>
      <x:c r="G308" s="10" t="str">
        <x:v>peer-reviewed article</x:v>
      </x:c>
      <x:c r="H308" s="10" t="str">
        <x:v>Tier 2</x:v>
      </x:c>
      <x:c r="I308" s="10" t="str">
        <x:v>direct</x:v>
      </x:c>
      <x:c r="J308" s="10" t="str">
        <x:v>EU</x:v>
      </x:c>
      <x:c r="K308" s="10" t="str">
        <x:v>innovation system</x:v>
      </x:c>
      <x:c r="L308" s="10" t="str"/>
      <x:c r="M308" s="10" t="str">
        <x:v>ABSTRACT Grand Societal Challenges (GSCs) require regional policymakers to develop new forms of anticipatory capacity.</x:v>
      </x:c>
      <x:c r="N308" s="10" t="str">
        <x:v>Direct European/EU relevance (EU); R&amp;I evidence: innovation system; strategic significance is not explicit in the source and should be assessed as a possible longer-run implication.</x:v>
      </x:c>
      <x:c r="O308" s="10" t="str"/>
      <x:c r="P308" s="10" t="str"/>
      <x:c r="Q308" s="10" t="str"/>
      <x:c r="R308" s="10" t="str">
        <x:v>2026-09-01T11:01Z</x:v>
      </x:c>
      <x:c r="S308" s="10" t="str">
        <x:v>https://doi.org/10.1016/j.techsoc.2026.103453</x:v>
      </x:c>
    </x:row>
    <x:row r="309">
      <x:c r="A309" s="10" t="n">
        <x:f>'Ranked sources'!B309</x:f>
        <x:v>77</x:v>
      </x:c>
      <x:c r="B309" s="10" t="str">
        <x:v>Reshaping Europe's industrial future: the impact of the new political landscape on industrial policy and competitiveness in five CEE countries</x:v>
      </x:c>
      <x:c r="C309" s="10" t="str">
        <x:v>2026-07-03</x:v>
      </x:c>
      <x:c r="D309" s="10" t="str">
        <x:v>A</x:v>
      </x:c>
      <x:c r="E309" s="10" t="str">
        <x:v>Eastern Journal of European Studies</x:v>
      </x:c>
      <x:c r="F309" s="10" t="str">
        <x:v>Melania‐Gabriela Ciot, Catalina Tudorie</x:v>
      </x:c>
      <x:c r="G309" s="10" t="str">
        <x:v>peer-reviewed article</x:v>
      </x:c>
      <x:c r="H309" s="10" t="str">
        <x:v>Tier 2 broad journal</x:v>
      </x:c>
      <x:c r="I309" s="10" t="str">
        <x:v>direct</x:v>
      </x:c>
      <x:c r="J309" s="10" t="str"/>
      <x:c r="K309" s="10" t="str"/>
      <x:c r="L309" s="10" t="str"/>
      <x:c r="M309" s="10" t="str">
        <x:v>and an increase in interest in nationalistic autonomy, there is a pressing need for a new direction.</x:v>
      </x:c>
      <x:c r="N309" s="10" t="str">
        <x:v>Direct EU relevance (europe, europe's); R&amp;I evidence: r&amp;d; strategic evidence: geopolit; bridge: title/abstract.</x:v>
      </x:c>
      <x:c r="O309" s="10" t="str">
        <x:v>conversion-D</x:v>
      </x:c>
      <x:c r="P309" s="10" t="str"/>
      <x:c r="Q309" s="10" t="str"/>
      <x:c r="R309" s="10" t="str">
        <x:v>2026-08-22T19:22Z</x:v>
      </x:c>
      <x:c r="S309" s="10" t="str">
        <x:v>https://doi.org/10.47743/ejes-2026-0108</x:v>
      </x:c>
    </x:row>
    <x:row r="310">
      <x:c r="A310" s="10" t="n">
        <x:f>'Ranked sources'!B310</x:f>
        <x:v>77</x:v>
      </x:c>
      <x:c r="B310" s="10" t="str">
        <x:v>From Smart Adoption to Export Competitiveness: Innovation Diffusion and Value-Chain Upgrading in Agrifood Markets in the UAE and Bulgaria</x:v>
      </x:c>
      <x:c r="C310" s="10" t="str">
        <x:v>2026-07-02</x:v>
      </x:c>
      <x:c r="D310" s="10" t="str">
        <x:v>A</x:v>
      </x:c>
      <x:c r="E310" s="10" t="str">
        <x:v>Research on World Agricultural Economy</x:v>
      </x:c>
      <x:c r="F310" s="10" t="str">
        <x:v>Haitham M. Alzoubi, Yordanka S. Angelova, Mounir El Khatib, Cheng Ling Tan, Gouher Ahmed</x:v>
      </x:c>
      <x:c r="G310" s="10" t="str">
        <x:v>peer-reviewed article</x:v>
      </x:c>
      <x:c r="H310" s="10" t="str">
        <x:v>Tier 2 broad journal</x:v>
      </x:c>
      <x:c r="I310" s="10" t="str">
        <x:v>direct</x:v>
      </x:c>
      <x:c r="J310" s="10" t="str"/>
      <x:c r="K310" s="10" t="str"/>
      <x:c r="L310" s="10" t="str"/>
      <x:c r="M310" s="10" t="str">
        <x:v>These insights provide practical direction for the agrifood firms and policymakers seeking to strengthen digitalization strategies, innovation capacity, and climate-resilient export performance. From Smart Adoption to Export Competitiveness: Innovation Diffusion and Value-Chain Upgrading in Agrifood Markets in the UAE and Bulgaria. This study examines how smart and agri-digital technologies contribute to export competitiveness in agrifood markets through innovation diffusion and value-chain upgrading, while considering the conditioning role of the climate risk and policy support.</x:v>
      </x:c>
      <x:c r="N310" s="10" t="str">
        <x:v>Direct EU relevance (bulgaria); R&amp;I evidence: innovation capacity; strategic evidence: substantive strategic evidence; bridge: title/abstract.</x:v>
      </x:c>
      <x:c r="O310" s="10" t="str"/>
      <x:c r="P310" s="10" t="str"/>
      <x:c r="Q310" s="10" t="str"/>
      <x:c r="R310" s="10" t="str">
        <x:v>2026-08-23T18:51Z</x:v>
      </x:c>
      <x:c r="S310" s="10" t="str">
        <x:v>https://doi.org/10.36956/rwae.v7i3.2875</x:v>
      </x:c>
    </x:row>
    <x:row r="311">
      <x:c r="A311" s="10" t="n">
        <x:f>'Ranked sources'!B311</x:f>
        <x:v>77</x:v>
      </x:c>
      <x:c r="B311" s="10" t="str">
        <x:v>Polish-South Korean armaments co-operation since 2022: a shotgun marriage of convenience</x:v>
      </x:c>
      <x:c r="C311" s="10" t="str">
        <x:v>2026-07-02</x:v>
      </x:c>
      <x:c r="D311" s="10" t="str">
        <x:v>A</x:v>
      </x:c>
      <x:c r="E311" s="10" t="str">
        <x:v>Defense and Security Analysis</x:v>
      </x:c>
      <x:c r="F311" s="10" t="str">
        <x:v>Piotr Śledź</x:v>
      </x:c>
      <x:c r="G311" s="10" t="str">
        <x:v>peer-reviewed article</x:v>
      </x:c>
      <x:c r="H311" s="10" t="str">
        <x:v>Tier 2 trusted-publisher journal</x:v>
      </x:c>
      <x:c r="I311" s="10" t="str">
        <x:v>direct</x:v>
      </x:c>
      <x:c r="J311" s="10" t="str">
        <x:v>polish</x:v>
      </x:c>
      <x:c r="K311" s="10" t="str">
        <x:v>technology transfer</x:v>
      </x:c>
      <x:c r="L311" s="10" t="str"/>
      <x:c r="M311" s="10" t="str">
        <x:v>For this reason process tracing has been conducted.</x:v>
      </x:c>
      <x:c r="N311" s="10" t="str">
        <x:v>Direct European/EU relevance (polish); R&amp;I evidence: technology transfer; strategic significance is not explicit in the source and should be assessed as a possible longer-run implication.</x:v>
      </x:c>
      <x:c r="O311" s="10" t="str"/>
      <x:c r="P311" s="10" t="str"/>
      <x:c r="Q311" s="10" t="str"/>
      <x:c r="R311" s="10" t="str">
        <x:v>2026-09-02T10:20Z</x:v>
      </x:c>
      <x:c r="S311" s="10" t="str">
        <x:v>https://doi.org/10.1080/14751798.2026.2691265</x:v>
      </x:c>
    </x:row>
    <x:row r="312">
      <x:c r="A312" s="10" t="n">
        <x:f>'Ranked sources'!B312</x:f>
        <x:v>77</x:v>
      </x:c>
      <x:c r="B312" s="10" t="str">
        <x:v>Transforming European Competitiveness Under Conditions of Geoeconomic Fragmentation</x:v>
      </x:c>
      <x:c r="C312" s="10" t="str">
        <x:v>2026-07-02</x:v>
      </x:c>
      <x:c r="D312" s="10" t="str">
        <x:v>A</x:v>
      </x:c>
      <x:c r="E312" s="10" t="str">
        <x:v>Economies</x:v>
      </x:c>
      <x:c r="F312" s="10" t="str">
        <x:v>Tomáš Peráček, Daniela Gregušová, Michal Kaššaj</x:v>
      </x:c>
      <x:c r="G312" s="10" t="str">
        <x:v>peer-reviewed article</x:v>
      </x:c>
      <x:c r="H312" s="10" t="str">
        <x:v>Tier 2 broad journal</x:v>
      </x:c>
      <x:c r="I312" s="10" t="str">
        <x:v>direct</x:v>
      </x:c>
      <x:c r="J312" s="10" t="str"/>
      <x:c r="K312" s="10" t="str"/>
      <x:c r="L312" s="10" t="str"/>
      <x:c r="M312" s="10" t="str">
        <x:v>Innovation and technological capabilities remain key determinants of long-term competitiveness.</x:v>
      </x:c>
      <x:c r="N312" s="10" t="str">
        <x:v>Direct EU relevance (europe, european); R&amp;I evidence: technological capabilities; strategic evidence: geopolit, geoeconomic; bridge: sentence.</x:v>
      </x:c>
      <x:c r="O312" s="10" t="str">
        <x:v>conversion-A</x:v>
      </x:c>
      <x:c r="P312" s="10" t="str"/>
      <x:c r="Q312" s="10" t="str"/>
      <x:c r="R312" s="10" t="str">
        <x:v>2026-08-22T21:50Z</x:v>
      </x:c>
      <x:c r="S312" s="10" t="str">
        <x:v>https://doi.org/10.3390/economies14070248</x:v>
      </x:c>
    </x:row>
    <x:row r="313">
      <x:c r="A313" s="10" t="n">
        <x:f>'Ranked sources'!B313</x:f>
        <x:v>77</x:v>
      </x:c>
      <x:c r="B313" s="10" t="str">
        <x:v>EU–China research cooperation under a “de-risking” framework: the securitisation of knowledge in EU science policy (2021–2025)</x:v>
      </x:c>
      <x:c r="C313" s="10" t="str">
        <x:v>2026-07-01</x:v>
      </x:c>
      <x:c r="D313" s="10" t="str">
        <x:v>A</x:v>
      </x:c>
      <x:c r="E313" s="10" t="str">
        <x:v>Asian Review of Political Economy</x:v>
      </x:c>
      <x:c r="F313" s="10" t="str">
        <x:v>Li Yang, Ting Long</x:v>
      </x:c>
      <x:c r="G313" s="10" t="str">
        <x:v>peer-reviewed article</x:v>
      </x:c>
      <x:c r="H313" s="10" t="str">
        <x:v>Tier 2 broad journal</x:v>
      </x:c>
      <x:c r="I313" s="10" t="str">
        <x:v>direct</x:v>
      </x:c>
      <x:c r="J313" s="10" t="str"/>
      <x:c r="K313" s="10" t="str"/>
      <x:c r="L313" s="10" t="str"/>
      <x:c r="M313" s="10" t="str">
        <x:v>The EU’s de-risking agenda is reconfiguring research governance through the securitisation of knowledge exchange.</x:v>
      </x:c>
      <x:c r="N313" s="10" t="str">
        <x:v>Direct EU relevance (eu science, EU); R&amp;I evidence: science policy, science diplomacy; strategic evidence: geoeconomic, de-risk; bridge: sentence.</x:v>
      </x:c>
      <x:c r="O313" s="10" t="str"/>
      <x:c r="P313" s="10" t="str"/>
      <x:c r="Q313" s="10" t="str"/>
      <x:c r="R313" s="10" t="str">
        <x:v>2026-08-22T21:50Z</x:v>
      </x:c>
      <x:c r="S313" s="10" t="str">
        <x:v>https://doi.org/10.1007/s44216-026-00080-0</x:v>
      </x:c>
    </x:row>
    <x:row r="314">
      <x:c r="A314" s="10" t="n">
        <x:f>'Ranked sources'!B314</x:f>
        <x:v>77</x:v>
      </x:c>
      <x:c r="B314" s="10" t="str">
        <x:v>International models of SME sustainable development: a comparative analysis of the EU, the USA, Japan and Republic of Moldova</x:v>
      </x:c>
      <x:c r="C314" s="10" t="str">
        <x:v>2026-07-01</x:v>
      </x:c>
      <x:c r="D314" s="10" t="str">
        <x:v>A</x:v>
      </x:c>
      <x:c r="E314" s="10" t="str">
        <x:v>Eastern European Journal for Regional Studies</x:v>
      </x:c>
      <x:c r="F314" s="10" t="str">
        <x:v>Anna Volosiuc</x:v>
      </x:c>
      <x:c r="G314" s="10" t="str">
        <x:v>peer-reviewed article</x:v>
      </x:c>
      <x:c r="H314" s="10" t="str">
        <x:v>Tier 2 broad journal</x:v>
      </x:c>
      <x:c r="I314" s="10" t="str">
        <x:v>direct</x:v>
      </x:c>
      <x:c r="J314" s="10" t="str"/>
      <x:c r="K314" s="10" t="str"/>
      <x:c r="L314" s="10" t="str"/>
      <x:c r="M314" s="10" t="str">
        <x:v>Moldovan SMEs remain weakly integrated into EU-aligned value chains despite regulatory alignment.</x:v>
      </x:c>
      <x:c r="N314" s="10" t="str">
        <x:v>Direct EU relevance (EU); R&amp;I evidence: innovation capacity; strategic evidence: substantive strategic evidence; bridge: title/abstract.</x:v>
      </x:c>
      <x:c r="O314" s="10" t="str">
        <x:v>rules-C</x:v>
      </x:c>
      <x:c r="P314" s="10" t="str"/>
      <x:c r="Q314" s="10" t="str"/>
      <x:c r="R314" s="10" t="str">
        <x:v>2026-08-23T21:11Z</x:v>
      </x:c>
      <x:c r="S314" s="10" t="str">
        <x:v>https://doi.org/10.53486/2537-6179.12-1.01</x:v>
      </x:c>
    </x:row>
    <x:row r="315">
      <x:c r="A315" s="10" t="n">
        <x:f>'Ranked sources'!B315</x:f>
        <x:v>77</x:v>
      </x:c>
      <x:c r="B315" s="10" t="str">
        <x:v>Portugal’s Productivity Gap vis-à-vis Europe and the United States</x:v>
      </x:c>
      <x:c r="C315" s="10" t="str">
        <x:v>2026-07-01</x:v>
      </x:c>
      <x:c r="D315" s="10" t="str">
        <x:v>A</x:v>
      </x:c>
      <x:c r="E315" s="10" t="str">
        <x:v>Selected Issues Papers</x:v>
      </x:c>
      <x:c r="F315" s="10" t="str">
        <x:v>Ippei Shibata</x:v>
      </x:c>
      <x:c r="G315" s="10" t="str">
        <x:v>peer-reviewed article</x:v>
      </x:c>
      <x:c r="H315" s="10" t="str">
        <x:v>Tier 2 broad journal</x:v>
      </x:c>
      <x:c r="I315" s="10" t="str">
        <x:v>direct</x:v>
      </x:c>
      <x:c r="J315" s="10" t="str"/>
      <x:c r="K315" s="10" t="str"/>
      <x:c r="L315" s="10" t="str"/>
      <x:c r="M315" s="10" t="str">
        <x:v>European tech leaders trail global peers partly because Europe invests less in R&amp;D and equity finance.</x:v>
      </x:c>
      <x:c r="N315" s="10" t="str">
        <x:v>Direct EU relevance (europe, portugal); R&amp;I evidence: r&amp;d; strategic evidence: substantive strategic evidence; bridge: title/abstract.</x:v>
      </x:c>
      <x:c r="O315" s="10" t="str">
        <x:v>conversion-C</x:v>
      </x:c>
      <x:c r="P315" s="10" t="str"/>
      <x:c r="Q315" s="10" t="str"/>
      <x:c r="R315" s="10" t="str">
        <x:v>2026-08-23T18:12Z</x:v>
      </x:c>
      <x:c r="S315" s="10" t="str">
        <x:v>https://doi.org/10.5089/9798229054652.018</x:v>
      </x:c>
    </x:row>
    <x:row r="316">
      <x:c r="A316" s="10" t="n">
        <x:f>'Ranked sources'!B316</x:f>
        <x:v>77</x:v>
      </x:c>
      <x:c r="B316" s="10" t="str">
        <x:v>ARTIFICIAL INTELLIGENCE IN FINANCIAL DECISION-MAKING AND COMPETITIVE ADVANTAGE: EVIDENCE FROM SELECTED EUROPEAN INDUSTRIAL FIRMS</x:v>
      </x:c>
      <x:c r="C316" s="10" t="str">
        <x:v>2026-06-30</x:v>
      </x:c>
      <x:c r="D316" s="10" t="str">
        <x:v>A</x:v>
      </x:c>
      <x:c r="E316" s="10" t="str">
        <x:v>AGORA INTERNATIONAL JOURNAL OF ECONOMICAL SCIENCES</x:v>
      </x:c>
      <x:c r="F316" s="10" t="str">
        <x:v>Fisnik Morina, Durim Selmonaj</x:v>
      </x:c>
      <x:c r="G316" s="10" t="str">
        <x:v>peer-reviewed article</x:v>
      </x:c>
      <x:c r="H316" s="10" t="str">
        <x:v>Tier 2 broad journal</x:v>
      </x:c>
      <x:c r="I316" s="10" t="str">
        <x:v>direct</x:v>
      </x:c>
      <x:c r="J316" s="10" t="str">
        <x:v>europe; european</x:v>
      </x:c>
      <x:c r="K316" s="10" t="str">
        <x:v>industrial innovation; ai + innovation</x:v>
      </x:c>
      <x:c r="L316" s="10" t="str"/>
      <x:c r="M316" s="10" t="str">
        <x:v>ARTIFICIAL INTELLIGENCE IN FINANCIAL DECISION-MAKING AND COMPETITIVE ADVANTAGE: EVIDENCE FROM SELECTED EUROPEAN INDUSTRIAL FIRMS. Siemens AG and Schneider Electric SE demonstrate a stronger AI-driven competitiveness model in which AI is closely linked to digital platforms, automation, industrial innovation, and sustainability-oriented value creation. This paper analyzes the role of artificial intelligence (AI) in improving financial decision-making and creating competitive advantage in selected European industrial companies.</x:v>
      </x:c>
      <x:c r="N316" s="10" t="str">
        <x:v>Direct EU relevance (europe, european); R&amp;I evidence: industrial innovation, ai + innovation; strategic evidence: substantive strategic evidence; bridge: title/abstract.</x:v>
      </x:c>
      <x:c r="O316" s="10" t="str"/>
      <x:c r="P316" s="10" t="str"/>
      <x:c r="Q316" s="10" t="str"/>
      <x:c r="R316" s="10" t="str">
        <x:v>2026-08-28T20:15Z</x:v>
      </x:c>
      <x:c r="S316" s="10" t="str">
        <x:v>https://doi.org/10.15837/aijes.v20i1.7635</x:v>
      </x:c>
    </x:row>
    <x:row r="317">
      <x:c r="A317" s="10" t="n">
        <x:f>'Ranked sources'!B317</x:f>
        <x:v>77</x:v>
      </x:c>
      <x:c r="B317" s="10" t="str">
        <x:v>General-Purpose AI under the EU AI Act: A Conceptual Allocation of Duties across the Value Chain</x:v>
      </x:c>
      <x:c r="C317" s="10" t="str">
        <x:v>2026-06-30</x:v>
      </x:c>
      <x:c r="D317" s="10" t="str">
        <x:v>A</x:v>
      </x:c>
      <x:c r="E317" s="10" t="str">
        <x:v>SCRIPTed: A Journal of Law, Technology &amp; Society</x:v>
      </x:c>
      <x:c r="F317" s="10" t="str">
        <x:v>Fabian Teichmann</x:v>
      </x:c>
      <x:c r="G317" s="10" t="str">
        <x:v>peer-reviewed article</x:v>
      </x:c>
      <x:c r="H317" s="10" t="str">
        <x:v>Tier 2 broad journal</x:v>
      </x:c>
      <x:c r="I317" s="10" t="str">
        <x:v>direct</x:v>
      </x:c>
      <x:c r="J317" s="10" t="str">
        <x:v>EU</x:v>
      </x:c>
      <x:c r="K317" s="10" t="str">
        <x:v>ai + competitiveness</x:v>
      </x:c>
      <x:c r="L317" s="10" t="str"/>
      <x:c r="M317" s="10" t="str">
        <x:v>as a global benchmark for balanced AI governance.</x:v>
      </x:c>
      <x:c r="N317" s="10" t="str">
        <x:v>Direct EU relevance (EU); R&amp;I evidence: ai + competitiveness; strategic evidence: substantive strategic evidence; bridge: title/abstract.</x:v>
      </x:c>
      <x:c r="O317" s="10" t="str"/>
      <x:c r="P317" s="10" t="str"/>
      <x:c r="Q317" s="10" t="str"/>
      <x:c r="R317" s="10" t="str">
        <x:v>2026-08-28T13:43Z</x:v>
      </x:c>
      <x:c r="S317" s="10" t="str">
        <x:v>https://doi.org/10.2218/scrip.12300</x:v>
      </x:c>
    </x:row>
    <x:row r="318">
      <x:c r="A318" s="10" t="n">
        <x:f>'Ranked sources'!B318</x:f>
        <x:v>77</x:v>
      </x:c>
      <x:c r="B318" s="10" t="str">
        <x:v>Greening the Gates or Guarding the Market? Green Protectionism and the Evolution of EU Trade Defence Instruments</x:v>
      </x:c>
      <x:c r="C318" s="10" t="str">
        <x:v>2026-06-30</x:v>
      </x:c>
      <x:c r="D318" s="10" t="str">
        <x:v>A</x:v>
      </x:c>
      <x:c r="E318" s="10" t="str">
        <x:v>Journal of Law &amp; Social Studies</x:v>
      </x:c>
      <x:c r="F318" s="10" t="str">
        <x:v>Dr. Muhammad Bilal</x:v>
      </x:c>
      <x:c r="G318" s="10" t="str">
        <x:v>peer-reviewed article</x:v>
      </x:c>
      <x:c r="H318" s="10" t="str">
        <x:v>Tier 2 broad journal</x:v>
      </x:c>
      <x:c r="I318" s="10" t="str">
        <x:v>direct</x:v>
      </x:c>
      <x:c r="J318" s="10" t="str"/>
      <x:c r="K318" s="10" t="str"/>
      <x:c r="L318" s="10" t="str"/>
      <x:c r="M318" s="10" t="str">
        <x:v>The EU says its new trade rules protect the climate. Trading partners say they protect EU industry.</x:v>
      </x:c>
      <x:c r="N318" s="10" t="str">
        <x:v>Direct EU relevance (EU); R&amp;I evidence: technology transfer; strategic evidence: foreign subsidies; bridge: title/abstract.</x:v>
      </x:c>
      <x:c r="O318" s="10" t="str"/>
      <x:c r="P318" s="10" t="str"/>
      <x:c r="Q318" s="10" t="str"/>
      <x:c r="R318" s="10" t="str">
        <x:v>2026-08-23T18:51Z</x:v>
      </x:c>
      <x:c r="S318" s="10" t="str">
        <x:v>https://doi.org/10.52279/jlss.08.02.208220</x:v>
      </x:c>
    </x:row>
    <x:row r="319">
      <x:c r="A319" s="10" t="n">
        <x:f>'Ranked sources'!B319</x:f>
        <x:v>77</x:v>
      </x:c>
      <x:c r="B319" s="10" t="str">
        <x:v>INNOVATIONS, FINANCIAL MARKETS DEVELOPMENT, CAPITAL INFLOWS, AND ECONOMIC GROWTH DYNAMICS IN EUROPEAN COUNTRIES</x:v>
      </x:c>
      <x:c r="C319" s="10" t="str">
        <x:v>2026-06-30</x:v>
      </x:c>
      <x:c r="D319" s="10" t="str">
        <x:v>A</x:v>
      </x:c>
      <x:c r="E319" s="10" t="str">
        <x:v>Financial and credit activity problems of theory and practice</x:v>
      </x:c>
      <x:c r="F319" s="10" t="str">
        <x:v>Olha Shkrumiak, Yuriy Bilenko</x:v>
      </x:c>
      <x:c r="G319" s="10" t="str">
        <x:v>peer-reviewed article</x:v>
      </x:c>
      <x:c r="H319" s="10" t="str">
        <x:v>Tier 2 broad journal</x:v>
      </x:c>
      <x:c r="I319" s="10" t="str">
        <x:v>direct</x:v>
      </x:c>
      <x:c r="J319" s="10" t="str"/>
      <x:c r="K319" s="10" t="str"/>
      <x:c r="L319" s="10" t="str"/>
      <x:c r="M319" s="10" t="str">
        <x:v>INNOVATIONS, FINANCIAL MARKETS DEVELOPMENT, CAPITAL INFLOWS, AND ECONOMIC GROWTH DYNAMICS IN EUROPEAN COUNTRIES.</x:v>
      </x:c>
      <x:c r="N319" s="10" t="str">
        <x:v>Direct EU relevance (europe, european); R&amp;I evidence: research and development, r&amp;d; strategic evidence: substantive strategic evidence; bridge: title/abstract.</x:v>
      </x:c>
      <x:c r="O319" s="10" t="str">
        <x:v>conversion-A</x:v>
      </x:c>
      <x:c r="P319" s="10" t="str"/>
      <x:c r="Q319" s="10" t="str"/>
      <x:c r="R319" s="10" t="str">
        <x:v>2026-08-24T07:09Z</x:v>
      </x:c>
      <x:c r="S319" s="10" t="str">
        <x:v>https://doi.org/10.55643/fcaptp.3.68.2026.5140</x:v>
      </x:c>
    </x:row>
    <x:row r="320">
      <x:c r="A320" s="10" t="n">
        <x:f>'Ranked sources'!B320</x:f>
        <x:v>77</x:v>
      </x:c>
      <x:c r="B320" s="10" t="str">
        <x:v>International investment in artificial intelligence: investment asymmetry and risks of technological dependence in EU countries</x:v>
      </x:c>
      <x:c r="C320" s="10" t="str">
        <x:v>2026-06-30</x:v>
      </x:c>
      <x:c r="D320" s="10" t="str">
        <x:v>A</x:v>
      </x:c>
      <x:c r="E320" s="10" t="str">
        <x:v>FINANCIAL AND CREDIT SYSTEMS: PROSPECTS FOR DEVELOPMENT</x:v>
      </x:c>
      <x:c r="F320" s="10" t="str">
        <x:v>Iryna Shkodina</x:v>
      </x:c>
      <x:c r="G320" s="10" t="str">
        <x:v>peer-reviewed article</x:v>
      </x:c>
      <x:c r="H320" s="10" t="str">
        <x:v>Tier 2 broad journal</x:v>
      </x:c>
      <x:c r="I320" s="10" t="str">
        <x:v>direct</x:v>
      </x:c>
      <x:c r="J320" s="10" t="str"/>
      <x:c r="K320" s="10" t="str"/>
      <x:c r="L320" s="10" t="str"/>
      <x:c r="M320" s="10" t="str">
        <x:v>International investment in AI: investment asymmetry and risks of technological dependence in EU countries.</x:v>
      </x:c>
      <x:c r="N320" s="10" t="str">
        <x:v>Direct EU relevance (EU); R&amp;I evidence: technology transfer, ai + research; strategic evidence: strategic autonomy; bridge: title/abstract.</x:v>
      </x:c>
      <x:c r="O320" s="10" t="str"/>
      <x:c r="P320" s="10" t="str"/>
      <x:c r="Q320" s="10" t="str"/>
      <x:c r="R320" s="10" t="str">
        <x:v>2026-08-23T09:12Z</x:v>
      </x:c>
      <x:c r="S320" s="10" t="str">
        <x:v>https://doi.org/10.26565/2786-4995-2026-2-14</x:v>
      </x:c>
    </x:row>
    <x:row r="321">
      <x:c r="A321" s="10" t="n">
        <x:f>'Ranked sources'!B321</x:f>
        <x:v>77</x:v>
      </x:c>
      <x:c r="B321" s="10" t="str">
        <x:v>Regional development under digital transition: Fintech, geopolitical shocks and sustainability in Eastern Europe</x:v>
      </x:c>
      <x:c r="C321" s="10" t="str">
        <x:v>2026-06-30</x:v>
      </x:c>
      <x:c r="D321" s="10" t="str">
        <x:v>A</x:v>
      </x:c>
      <x:c r="E321" s="10" t="str">
        <x:v>Romanian Journal of Regional Science</x:v>
      </x:c>
      <x:c r="F321" s="10" t="str">
        <x:v>Narcisa Roxana Moşteanu</x:v>
      </x:c>
      <x:c r="G321" s="10" t="str">
        <x:v>peer-reviewed article</x:v>
      </x:c>
      <x:c r="H321" s="10" t="str">
        <x:v>Tier 2 broad journal</x:v>
      </x:c>
      <x:c r="I321" s="10" t="str">
        <x:v>direct</x:v>
      </x:c>
      <x:c r="J321" s="10" t="str"/>
      <x:c r="K321" s="10" t="str"/>
      <x:c r="L321" s="10" t="str"/>
      <x:c r="M321" s="10" t="str">
        <x:v>Regional development under digital transition: Fintech, geopolitical shocks and sustainability in Eastern Europe.</x:v>
      </x:c>
      <x:c r="N321" s="10" t="str">
        <x:v>Direct EU relevance (europe); R&amp;I evidence: technology development; strategic evidence: geopolit; bridge: title/abstract.</x:v>
      </x:c>
      <x:c r="O321" s="10" t="str"/>
      <x:c r="P321" s="10" t="str"/>
      <x:c r="Q321" s="10" t="str"/>
      <x:c r="R321" s="10" t="str">
        <x:v>2026-08-23T12:46Z</x:v>
      </x:c>
      <x:c r="S321" s="10" t="str">
        <x:v>https://doi.org/10.61225/rjrs.2026.04</x:v>
      </x:c>
    </x:row>
    <x:row r="322">
      <x:c r="A322" s="10" t="n">
        <x:f>'Ranked sources'!B322</x:f>
        <x:v>77</x:v>
      </x:c>
      <x:c r="B322" s="10" t="str">
        <x:v>Impact of Digital Transformation on Organizational Performance in European SMEs</x:v>
      </x:c>
      <x:c r="C322" s="10" t="str">
        <x:v>2026-06-29</x:v>
      </x:c>
      <x:c r="D322" s="10" t="str">
        <x:v>A</x:v>
      </x:c>
      <x:c r="E322" s="10" t="str">
        <x:v>European Journal of Business and Strategic Management</x:v>
      </x:c>
      <x:c r="F322" s="10" t="str">
        <x:v>Alejandro García</x:v>
      </x:c>
      <x:c r="G322" s="10" t="str">
        <x:v>peer-reviewed article</x:v>
      </x:c>
      <x:c r="H322" s="10" t="str">
        <x:v>Tier 2 broad journal</x:v>
      </x:c>
      <x:c r="I322" s="10" t="str">
        <x:v>direct</x:v>
      </x:c>
      <x:c r="J322" s="10" t="str">
        <x:v>europe; european</x:v>
      </x:c>
      <x:c r="K322" s="10" t="str">
        <x:v>ai + funding</x:v>
      </x:c>
      <x:c r="L322" s="10" t="str"/>
      <x:c r="M322" s="10" t="str">
        <x:v>Impact of Digital Transformation on Organizational Performance in European SMEs.</x:v>
      </x:c>
      <x:c r="N322" s="10" t="str">
        <x:v>Direct EU relevance (europe, european); R&amp;I evidence: ai + funding; strategic evidence: substantive strategic evidence; bridge: title/abstract.</x:v>
      </x:c>
      <x:c r="O322" s="10" t="str"/>
      <x:c r="P322" s="10" t="str"/>
      <x:c r="Q322" s="10" t="str"/>
      <x:c r="R322" s="10" t="str">
        <x:v>2026-08-28T20:15Z</x:v>
      </x:c>
      <x:c r="S322" s="10" t="str">
        <x:v>https://doi.org/10.47604/ejbsm.3843</x:v>
      </x:c>
    </x:row>
    <x:row r="323">
      <x:c r="A323" s="10" t="n">
        <x:f>'Ranked sources'!B323</x:f>
        <x:v>77</x:v>
      </x:c>
      <x:c r="B323" s="10" t="str">
        <x:v>Does Entrepreneurial Churn Reach Incumbent R&amp;D? Corruption, Time Horizons, and Evidence from Large European Firms</x:v>
      </x:c>
      <x:c r="C323" s="10" t="str">
        <x:v>2026-06-26</x:v>
      </x:c>
      <x:c r="D323" s="10" t="str">
        <x:v>A</x:v>
      </x:c>
      <x:c r="E323" s="10" t="str">
        <x:v>Journal of the Knowledge Economy</x:v>
      </x:c>
      <x:c r="F323" s="10" t="str">
        <x:v>Giacomo Zatini, Armando della Porta</x:v>
      </x:c>
      <x:c r="G323" s="10" t="str">
        <x:v>peer-reviewed article</x:v>
      </x:c>
      <x:c r="H323" s="10" t="str">
        <x:v>Tier 2 trusted-publisher journal</x:v>
      </x:c>
      <x:c r="I323" s="10" t="str">
        <x:v>direct</x:v>
      </x:c>
      <x:c r="J323" s="10" t="str">
        <x:v>europe; european</x:v>
      </x:c>
      <x:c r="K323" s="10" t="str">
        <x:v>research and development; r&amp;d</x:v>
      </x:c>
      <x:c r="L323" s="10" t="str"/>
      <x:c r="M323" s="10" t="str">
        <x:v>Business registrations show no association with within-firm R&amp;D intensity.</x:v>
      </x:c>
      <x:c r="N323" s="10" t="str">
        <x:v>Direct European/EU relevance (europe, european); R&amp;I evidence: research and development, r&amp;d; strategic significance is not explicit in the source and should be assessed as a possible longer-run implication.</x:v>
      </x:c>
      <x:c r="O323" s="10" t="str"/>
      <x:c r="P323" s="10" t="str"/>
      <x:c r="Q323" s="10" t="str"/>
      <x:c r="R323" s="10" t="str">
        <x:v>2026-09-01T09:39Z</x:v>
      </x:c>
      <x:c r="S323" s="10" t="str">
        <x:v>https://doi.org/10.1007/s13132-026-03384-x</x:v>
      </x:c>
    </x:row>
    <x:row r="324">
      <x:c r="A324" s="10" t="n">
        <x:f>'Ranked sources'!B324</x:f>
        <x:v>77</x:v>
      </x:c>
      <x:c r="B324" s="10" t="str">
        <x:v>Strengthening translational medical research in Ireland: an interdisciplinary framework for clinician–scientist collaboration</x:v>
      </x:c>
      <x:c r="C324" s="10" t="str">
        <x:v>2026-06-26</x:v>
      </x:c>
      <x:c r="D324" s="10" t="str">
        <x:v>A</x:v>
      </x:c>
      <x:c r="E324" s="10" t="str">
        <x:v>Irish Journal of Medical Science (1971 -)</x:v>
      </x:c>
      <x:c r="F324" s="10" t="str">
        <x:v>Colin J. McMahon, Walter Kolch</x:v>
      </x:c>
      <x:c r="G324" s="10" t="str">
        <x:v>peer-reviewed article</x:v>
      </x:c>
      <x:c r="H324" s="10" t="str">
        <x:v>Tier 2 trusted-publisher journal</x:v>
      </x:c>
      <x:c r="I324" s="10" t="str">
        <x:v>direct</x:v>
      </x:c>
      <x:c r="J324" s="10" t="str">
        <x:v>ireland</x:v>
      </x:c>
      <x:c r="K324" s="10" t="str">
        <x:v>research funding; research programme; research program; research system</x:v>
      </x:c>
      <x:c r="L324" s="10" t="str"/>
      <x:c r="M324" s="10" t="str">
        <x:v>and funding barriers continue to limit integration.</x:v>
      </x:c>
      <x:c r="N324" s="10" t="str">
        <x:v>Direct European/EU relevance (ireland); R&amp;I evidence: research funding, research programme; strategic significance is not explicit in the source and should be assessed as a possible longer-run implication.</x:v>
      </x:c>
      <x:c r="O324" s="10" t="str">
        <x:v>knowledge-C</x:v>
      </x:c>
      <x:c r="P324" s="10" t="str"/>
      <x:c r="Q324" s="10" t="str"/>
      <x:c r="R324" s="10" t="str">
        <x:v>2026-09-01T09:50Z</x:v>
      </x:c>
      <x:c r="S324" s="10" t="str">
        <x:v>https://doi.org/10.1007/s11845-026-04525-6</x:v>
      </x:c>
    </x:row>
    <x:row r="325">
      <x:c r="A325" s="10" t="n">
        <x:f>'Ranked sources'!B325</x:f>
        <x:v>77</x:v>
      </x:c>
      <x:c r="B325" s="10" t="str">
        <x:v>Strengthening U.S. Global Leadership in Electric Vehicle Supply Chains Through AI-Driven Fintech Innovation: A Comprehensive Interdisciplinary Analysis</x:v>
      </x:c>
      <x:c r="C325" s="10" t="str">
        <x:v>2026-06-25</x:v>
      </x:c>
      <x:c r="D325" s="10" t="str">
        <x:v>A</x:v>
      </x:c>
      <x:c r="E325" s="10" t="str">
        <x:v>Journal of Economics Finance and Accounting Studies</x:v>
      </x:c>
      <x:c r="F325" s="10" t="str">
        <x:v>Adil Shah, Sabbir Ahammed Khan, Md Nurul Huda Razib</x:v>
      </x:c>
      <x:c r="G325" s="10" t="str">
        <x:v>peer-reviewed article</x:v>
      </x:c>
      <x:c r="H325" s="10" t="str">
        <x:v>Tier 2 broad journal</x:v>
      </x:c>
      <x:c r="I325" s="10" t="str">
        <x:v>direct</x:v>
      </x:c>
      <x:c r="J325" s="10" t="str"/>
      <x:c r="K325" s="10" t="str"/>
      <x:c r="L325" s="10" t="str"/>
      <x:c r="M325" s="10" t="str">
        <x:v>And the EU—the US must enhance supply-chain resilience, battery sourcing security, infrastructure financing.</x:v>
      </x:c>
      <x:c r="N325" s="10" t="str">
        <x:v>Direct EU relevance (european union); R&amp;I evidence: ai + innovation, artificial intelligence + innovation; strategic evidence: substantive strategic evidence; bridge: title/abstract.</x:v>
      </x:c>
      <x:c r="O325" s="10" t="str">
        <x:v>infrastructure-C</x:v>
      </x:c>
      <x:c r="P325" s="10" t="str"/>
      <x:c r="Q325" s="10" t="str"/>
      <x:c r="R325" s="10" t="str">
        <x:v>2026-08-23T19:53Z</x:v>
      </x:c>
      <x:c r="S325" s="10" t="str">
        <x:v>https://doi.org/10.32996/jefas.2026.8.7.6</x:v>
      </x:c>
    </x:row>
    <x:row r="326">
      <x:c r="A326" s="10" t="n">
        <x:f>'Ranked sources'!B326</x:f>
        <x:v>77</x:v>
      </x:c>
      <x:c r="B326" s="10" t="str">
        <x:v>Bridging the gender gap in the energy transition: addressing unmet aspirations and repellent effect in education and early career pathways in Italy, Germany and UK</x:v>
      </x:c>
      <x:c r="C326" s="10" t="str">
        <x:v>2026-06-24</x:v>
      </x:c>
      <x:c r="D326" s="10" t="str">
        <x:v>A</x:v>
      </x:c>
      <x:c r="E326" s="10" t="str">
        <x:v>Humanities and Social Sciences Communications</x:v>
      </x:c>
      <x:c r="F326" s="10" t="str">
        <x:v>Lucio Pisacane, Cloe Mirenda, Maria Camilla Fraudatario, Marta Warat, Yara Evans, Rocio Diaz-Chavez, Marie Zoe Bakalovic, Sabine Loos</x:v>
      </x:c>
      <x:c r="G326" s="10" t="str">
        <x:v>peer-reviewed article</x:v>
      </x:c>
      <x:c r="H326" s="10" t="str">
        <x:v>Tier 2 trusted-publisher journal</x:v>
      </x:c>
      <x:c r="I326" s="10" t="str">
        <x:v>direct</x:v>
      </x:c>
      <x:c r="J326" s="10" t="str">
        <x:v>germany; italy</x:v>
      </x:c>
      <x:c r="K326" s="10" t="str">
        <x:v>research and innovation; technological innovation</x:v>
      </x:c>
      <x:c r="L326" s="10" t="str"/>
      <x:c r="M326" s="10" t="str">
        <x:v>We argue that addressing these gaps requires a reconfiguration of curricula, pedagogical approaches.</x:v>
      </x:c>
      <x:c r="N326" s="10" t="str">
        <x:v>Direct European/EU relevance (germany, italy); R&amp;I evidence: research and innovation, technological innovation; strategic significance is not explicit in the source and should be assessed as a possible longer-run implication.</x:v>
      </x:c>
      <x:c r="O326" s="10" t="str"/>
      <x:c r="P326" s="10" t="str"/>
      <x:c r="Q326" s="10" t="str"/>
      <x:c r="R326" s="10" t="str">
        <x:v>2026-09-01T15:01Z</x:v>
      </x:c>
      <x:c r="S326" s="10" t="str">
        <x:v>https://doi.org/10.1057/s41599-026-07863-z</x:v>
      </x:c>
    </x:row>
    <x:row r="327">
      <x:c r="A327" s="10" t="n">
        <x:f>'Ranked sources'!B327</x:f>
        <x:v>77</x:v>
      </x:c>
      <x:c r="B327" s="10" t="str">
        <x:v>EU pharmaceutical reform: modulating incentives to improve innovation and access to medicines</x:v>
      </x:c>
      <x:c r="C327" s="10" t="str">
        <x:v>2026-06-24</x:v>
      </x:c>
      <x:c r="D327" s="10" t="str">
        <x:v>A</x:v>
      </x:c>
      <x:c r="E327" s="10" t="str">
        <x:v>EKONOMISTI</x:v>
      </x:c>
      <x:c r="F327" s="10" t="str">
        <x:v>Ketevan Omanadze, Tengiz Verulava</x:v>
      </x:c>
      <x:c r="G327" s="10" t="str">
        <x:v>peer-reviewed article</x:v>
      </x:c>
      <x:c r="H327" s="10" t="str">
        <x:v>Tier 2 broad journal</x:v>
      </x:c>
      <x:c r="I327" s="10" t="str">
        <x:v>direct</x:v>
      </x:c>
      <x:c r="J327" s="10" t="str"/>
      <x:c r="K327" s="10" t="str"/>
      <x:c r="L327" s="10" t="str"/>
      <x:c r="M327" s="10" t="str">
        <x:v>EU pharmaceutical reform: modulating incentives to improve innovation and access to medicines.</x:v>
      </x:c>
      <x:c r="N327" s="10" t="str">
        <x:v>Direct EU relevance (EU); R&amp;I evidence: r&amp;d, biotech + innovation; strategic evidence: geopolit, decoupling; bridge: title/abstract.</x:v>
      </x:c>
      <x:c r="O327" s="10" t="str"/>
      <x:c r="P327" s="10" t="str"/>
      <x:c r="Q327" s="10" t="str"/>
      <x:c r="R327" s="10" t="str">
        <x:v>2026-08-24T12:42Z</x:v>
      </x:c>
      <x:c r="S327" s="10" t="str">
        <x:v>https://doi.org/10.52340/ekonomisti.2026.02.15</x:v>
      </x:c>
    </x:row>
    <x:row r="328">
      <x:c r="A328" s="10" t="n">
        <x:f>'Ranked sources'!B328</x:f>
        <x:v>77</x:v>
      </x:c>
      <x:c r="B328" s="10" t="str">
        <x:v>Beyond primary patents: Strategic intellectual property frameworks for sustained pharmaceutical market dominance in US &amp; EU</x:v>
      </x:c>
      <x:c r="C328" s="10" t="str">
        <x:v>2026-06-23</x:v>
      </x:c>
      <x:c r="D328" s="10" t="str">
        <x:v>A</x:v>
      </x:c>
      <x:c r="E328" s="10" t="str">
        <x:v>Journal of Generic Medicines: The Business Journal for the Generic Medicines Sector</x:v>
      </x:c>
      <x:c r="F328" s="10" t="str">
        <x:v>Dhanushya Suresh Kumar, Vivek Reddy Murthannagari, Ganesh Gonna Nandi Krishnan, Vigneshwaran Gopal, Anishiya Michael, Arthy Ragupathi</x:v>
      </x:c>
      <x:c r="G328" s="10" t="str">
        <x:v>peer-reviewed article</x:v>
      </x:c>
      <x:c r="H328" s="10" t="str">
        <x:v>Tier 2 trusted-publisher journal</x:v>
      </x:c>
      <x:c r="I328" s="10" t="str">
        <x:v>direct</x:v>
      </x:c>
      <x:c r="J328" s="10" t="str">
        <x:v>EU</x:v>
      </x:c>
      <x:c r="K328" s="10" t="str">
        <x:v>research and development</x:v>
      </x:c>
      <x:c r="L328" s="10" t="str"/>
      <x:c r="M328" s="10" t="str">
        <x:v>Beyond primary patents: Strategic intellectual property frameworks for sustained pharmaceutical market dominance in US &amp; EU. Pharmaceutical industry is experiencing unprecedented difficulties in market exclusivity and recovery of the massive research and development expenditures. This review crucially examines the numerous approaches taken by pharmaceutical companies in terms of patenting their products to extend product life-cycle, create competitive barriers and effectively ensure their dominance as market leaders.</x:v>
      </x:c>
      <x:c r="N328" s="10" t="str">
        <x:v>Direct European/EU relevance (EU); R&amp;I evidence: research and development; strategic significance is not explicit in the source and should be assessed as a possible longer-run implication.</x:v>
      </x:c>
      <x:c r="O328" s="10" t="str"/>
      <x:c r="P328" s="10" t="str"/>
      <x:c r="Q328" s="10" t="str"/>
      <x:c r="R328" s="10" t="str">
        <x:v>2026-09-01T11:01Z</x:v>
      </x:c>
      <x:c r="S328" s="10" t="str">
        <x:v>https://doi.org/10.1177/17411343261459367</x:v>
      </x:c>
    </x:row>
    <x:row r="329">
      <x:c r="A329" s="10" t="n">
        <x:f>'Ranked sources'!B329</x:f>
        <x:v>77</x:v>
      </x:c>
      <x:c r="B329" s="10" t="str">
        <x:v>Importance of Taiwan for Western World: An Analysis</x:v>
      </x:c>
      <x:c r="C329" s="10" t="str">
        <x:v>2026-06-23</x:v>
      </x:c>
      <x:c r="D329" s="10" t="str">
        <x:v>A</x:v>
      </x:c>
      <x:c r="E329" s="10" t="str">
        <x:v>Global Foreign Policies Review</x:v>
      </x:c>
      <x:c r="F329" s="10" t="str">
        <x:v>Umar Farooq, Urwa Nasir, Anwar Ali</x:v>
      </x:c>
      <x:c r="G329" s="10" t="str">
        <x:v>peer-reviewed article</x:v>
      </x:c>
      <x:c r="H329" s="10" t="str">
        <x:v>Tier 2 broad journal</x:v>
      </x:c>
      <x:c r="I329" s="10" t="str">
        <x:v>direct</x:v>
      </x:c>
      <x:c r="J329" s="10" t="str"/>
      <x:c r="K329" s="10" t="str"/>
      <x:c r="L329" s="10" t="str"/>
      <x:c r="M329" s="10" t="str">
        <x:v>Taiwan’s strategic location in the Western Pacific, coupled with its technological capabilities, makes it an important area of interest to Western powers, especially the United States, and to the European Union, because of its economic potential. It explores how the semiconductor industry, trade routes, and Taiwan’s geopolitical location affect Western countries’ defensive, economic and strategic considerations, including possible dangers and the stakes if any further escalation in the Taiwan Strait occurs. Importance of Taiwan for Western World: An Analysis.</x:v>
      </x:c>
      <x:c r="N329" s="10" t="str">
        <x:v>Direct EU relevance (european union); R&amp;I evidence: technological capabilities; strategic evidence: geopolit; bridge: title/abstract.</x:v>
      </x:c>
      <x:c r="O329" s="10" t="str"/>
      <x:c r="P329" s="10" t="str"/>
      <x:c r="Q329" s="10" t="str"/>
      <x:c r="R329" s="10" t="str">
        <x:v>2026-08-23T08:43Z</x:v>
      </x:c>
      <x:c r="S329" s="10" t="str">
        <x:v>https://doi.org/10.31703/gfpr.2026(ix-ii).05</x:v>
      </x:c>
    </x:row>
    <x:row r="330">
      <x:c r="A330" s="10" t="n">
        <x:f>'Ranked sources'!B330</x:f>
        <x:v>77</x:v>
      </x:c>
      <x:c r="B330" s="10" t="str">
        <x:v>Reviewing former critical analyses of subsidy policies in Europe</x:v>
      </x:c>
      <x:c r="C330" s="10" t="str">
        <x:v>2026-06-23</x:v>
      </x:c>
      <x:c r="D330" s="10" t="str">
        <x:v>A</x:v>
      </x:c>
      <x:c r="E330" s="10" t="str">
        <x:v>Köz-gazdaság</x:v>
      </x:c>
      <x:c r="F330" s="10" t="str">
        <x:v>György Vas</x:v>
      </x:c>
      <x:c r="G330" s="10" t="str">
        <x:v>peer-reviewed article</x:v>
      </x:c>
      <x:c r="H330" s="10" t="str">
        <x:v>Tier 2 broad journal</x:v>
      </x:c>
      <x:c r="I330" s="10" t="str">
        <x:v>direct</x:v>
      </x:c>
      <x:c r="J330" s="10" t="str">
        <x:v>europe</x:v>
      </x:c>
      <x:c r="K330" s="10" t="str">
        <x:v>academic research</x:v>
      </x:c>
      <x:c r="L330" s="10" t="str"/>
      <x:c r="M330" s="10" t="str">
        <x:v>and clientelist structures constrain the long-term effectiveness of transfers.</x:v>
      </x:c>
      <x:c r="N330" s="10" t="str">
        <x:v>Direct EU relevance (europe); R&amp;I evidence: academic research; strategic evidence: substantive strategic evidence; bridge: title/abstract.</x:v>
      </x:c>
      <x:c r="O330" s="10" t="str"/>
      <x:c r="P330" s="10" t="str"/>
      <x:c r="Q330" s="10" t="str"/>
      <x:c r="R330" s="10" t="str">
        <x:v>2026-08-28T13:43Z</x:v>
      </x:c>
      <x:c r="S330" s="10" t="str">
        <x:v>https://doi.org/10.14267/retp2026.02.06</x:v>
      </x:c>
    </x:row>
    <x:row r="331">
      <x:c r="A331" s="10" t="n">
        <x:f>'Ranked sources'!B331</x:f>
        <x:v>77</x:v>
      </x:c>
      <x:c r="B331" s="10" t="str">
        <x:v>REFORMING THE INNOVATION ECOSYSTEM FOR NATIONAL SECURITY IN THE CONTEXT OF THE USA’S EXERCISE DESH-3 AND THE EVOLUTION OF THE CONFLICT IN UKRAINE: ADAPTATION OF THE GUIPRR MODEL IN THE ACADEMY OF ROMANIAN SCIENTISTS – MILITARY SCIENCES SECTION</x:v>
      </x:c>
      <x:c r="C331" s="10" t="str">
        <x:v>2026-06-22</x:v>
      </x:c>
      <x:c r="D331" s="10" t="str">
        <x:v>A</x:v>
      </x:c>
      <x:c r="E331" s="10" t="str">
        <x:v>Annals of the Academy of Romanian Scientists Series on Military Sciences</x:v>
      </x:c>
      <x:c r="F331" s="10" t="str">
        <x:v>Sorin TOPOR</x:v>
      </x:c>
      <x:c r="G331" s="10" t="str">
        <x:v>peer-reviewed article</x:v>
      </x:c>
      <x:c r="H331" s="10" t="str">
        <x:v>Tier 2 broad journal</x:v>
      </x:c>
      <x:c r="I331" s="10" t="str">
        <x:v>direct</x:v>
      </x:c>
      <x:c r="J331" s="10" t="str"/>
      <x:c r="K331" s="10" t="str"/>
      <x:c r="L331" s="10" t="str"/>
      <x:c r="M331" s="10" t="str">
        <x:v>REFORMING THE INNOVATION ECOSYSTEM FOR NATIONAL SECURITY IN THE CONTEXT OF THE USA’S EXERCISE DESH-3 AND THE EVOLUTION OF THE CONFLICT IN UKRAINE: ADAPTATION OF THE GUIPRR MODEL IN THE ACADEMY OF ROMANIAN SCIENTISTS – MILITARY SCIENCES SECTION. The research is based on an empirical documentary analysis, specialized literature, case studies and examples of good practices in military innovation, through a mixed methodology. Structural changes in the international security environment, accentuated by the evolution of the war in Ukraine and the strategic competition between great powers, have highlighted the decisive role of technological innovation in the field of national security.</x:v>
      </x:c>
      <x:c r="N331" s="10" t="str">
        <x:v>Direct EU relevance (romanian); R&amp;I evidence: innovation ecosystem, technological innovation; strategic evidence: strategic competition, national security; bridge: sentence.</x:v>
      </x:c>
      <x:c r="O331" s="10" t="str"/>
      <x:c r="P331" s="10" t="str"/>
      <x:c r="Q331" s="10" t="str"/>
      <x:c r="R331" s="10" t="str">
        <x:v>2026-08-22T19:22Z</x:v>
      </x:c>
      <x:c r="S331" s="10" t="str">
        <x:v>https://doi.org/10.56082/annalsarscimilit.2026.2.52</x:v>
      </x:c>
    </x:row>
    <x:row r="332">
      <x:c r="A332" s="10" t="n">
        <x:f>'Ranked sources'!B332</x:f>
        <x:v>77</x:v>
      </x:c>
      <x:c r="B332" s="10" t="str">
        <x:v>The Impact of Interest Rates on Venture Capital Availability in Europe</x:v>
      </x:c>
      <x:c r="C332" s="10" t="str">
        <x:v>2026-06-21</x:v>
      </x:c>
      <x:c r="D332" s="10" t="str">
        <x:v>A</x:v>
      </x:c>
      <x:c r="E332" s="10" t="str">
        <x:v>Aalto University</x:v>
      </x:c>
      <x:c r="F332" s="10" t="str">
        <x:v>Noora Saksa</x:v>
      </x:c>
      <x:c r="G332" s="10" t="str">
        <x:v>peer-reviewed article</x:v>
      </x:c>
      <x:c r="H332" s="10" t="str">
        <x:v>Tier 2</x:v>
      </x:c>
      <x:c r="I332" s="10" t="str">
        <x:v>direct</x:v>
      </x:c>
      <x:c r="J332" s="10" t="str">
        <x:v>europe</x:v>
      </x:c>
      <x:c r="K332" s="10" t="str">
        <x:v>innovation ecosystem; technological innovation; artificial intelligence + innovation</x:v>
      </x:c>
      <x:c r="L332" s="10" t="str"/>
      <x:c r="M332" s="10" t="str">
        <x:v>Instead, the study shows a more nuanced reallocation of funds.</x:v>
      </x:c>
      <x:c r="N332" s="10" t="str">
        <x:v>Direct European/EU relevance (europe); R&amp;I evidence: innovation ecosystem, technological innovation; strategic significance is not explicit in the source and should be assessed as a possible longer-run implication.</x:v>
      </x:c>
      <x:c r="O332" s="10" t="str">
        <x:v>conversion-A</x:v>
      </x:c>
      <x:c r="P332" s="10" t="str"/>
      <x:c r="Q332" s="10" t="str"/>
      <x:c r="R332" s="10" t="str">
        <x:v>2026-09-01T18:33Z</x:v>
      </x:c>
      <x:c r="S332" s="10" t="str">
        <x:v>https://aaltodoc.aalto.fi/handle/123456789/147233</x:v>
      </x:c>
    </x:row>
    <x:row r="333">
      <x:c r="A333" s="10" t="n">
        <x:f>'Ranked sources'!B333</x:f>
        <x:v>77</x:v>
      </x:c>
      <x:c r="B333" s="10" t="str">
        <x:v>Green patenting within R&amp;D host regions: technology sourcing and reverse spillover effects</x:v>
      </x:c>
      <x:c r="C333" s="10" t="str">
        <x:v>2026-06-20</x:v>
      </x:c>
      <x:c r="D333" s="10" t="str">
        <x:v>A</x:v>
      </x:c>
      <x:c r="E333" s="10" t="str">
        <x:v>Eurasian economic review :</x:v>
      </x:c>
      <x:c r="F333" s="10" t="str">
        <x:v>Loreta Calzaretta, Anna Maria Ferragina</x:v>
      </x:c>
      <x:c r="G333" s="10" t="str">
        <x:v>peer-reviewed article</x:v>
      </x:c>
      <x:c r="H333" s="10" t="str">
        <x:v>Tier 2 trusted-publisher journal</x:v>
      </x:c>
      <x:c r="I333" s="10" t="str">
        <x:v>direct</x:v>
      </x:c>
      <x:c r="J333" s="10" t="str">
        <x:v>europe; european</x:v>
      </x:c>
      <x:c r="K333" s="10" t="str">
        <x:v>r&amp;d; technological capabilities</x:v>
      </x:c>
      <x:c r="L333" s="10" t="str"/>
      <x:c r="M333" s="10" t="str">
        <x:v>To address potential endogeneity concerns, we implement a Control Function Approach (CFA).</x:v>
      </x:c>
      <x:c r="N333" s="10" t="str">
        <x:v>Direct European/EU relevance (europe, european); R&amp;I evidence: r&amp;d, technological capabilities; strategic significance is not explicit in the source and should be assessed as a possible longer-run implication.</x:v>
      </x:c>
      <x:c r="O333" s="10" t="str"/>
      <x:c r="P333" s="10" t="str"/>
      <x:c r="Q333" s="10" t="str"/>
      <x:c r="R333" s="10" t="str">
        <x:v>2026-09-01T14:15Z</x:v>
      </x:c>
      <x:c r="S333" s="10" t="str">
        <x:v>https://doi.org/10.1007/s40821-026-00362-w</x:v>
      </x:c>
    </x:row>
    <x:row r="334">
      <x:c r="A334" s="10" t="n">
        <x:f>'Ranked sources'!B334</x:f>
        <x:v>77</x:v>
      </x:c>
      <x:c r="B334" s="10" t="str">
        <x:v>Bulgaria’s Readiness for the CRMA: A State Administration Perspective on Institutional, Technological and Socio-Economic Factors</x:v>
      </x:c>
      <x:c r="C334" s="10" t="str">
        <x:v>2026-06-19</x:v>
      </x:c>
      <x:c r="D334" s="10" t="str">
        <x:v>A</x:v>
      </x:c>
      <x:c r="E334" s="10" t="str">
        <x:v>Economic Studies (Ikonomicheski Izsledvania)</x:v>
      </x:c>
      <x:c r="F334" s="10" t="str">
        <x:v>Ivaylo Yankov</x:v>
      </x:c>
      <x:c r="G334" s="10" t="str">
        <x:v>peer-reviewed article</x:v>
      </x:c>
      <x:c r="H334" s="10" t="str">
        <x:v>Tier 2 broad journal</x:v>
      </x:c>
      <x:c r="I334" s="10" t="str">
        <x:v>direct</x:v>
      </x:c>
      <x:c r="J334" s="10" t="str"/>
      <x:c r="K334" s="10" t="str"/>
      <x:c r="L334" s="10" t="str"/>
      <x:c r="M334" s="10" t="str">
        <x:v>The paper analyses the structural determinants shaping Bulgaria’s readiness to participate in European strategic value chains for critical raw materials under the Critical Raw Materials Act (CRMA). Based on three in-depth interviews with senior representatives of the public administration, the analysis reconstructs the administrative perceptions of the technological capabilities, regulatory effectiveness and socio-economic constraints relevant to the CRMA implementation. Second, it integrates the empirical findings into a multi-layered theoretical framework linking technological paradigms, sectoral innovation systems and institutional coordination.</x:v>
      </x:c>
      <x:c r="N334" s="10" t="str">
        <x:v>Direct EU relevance (bulgaria); R&amp;I evidence: innovation system, technological capabilities; strategic evidence: critical raw materials; bridge: title/abstract.</x:v>
      </x:c>
      <x:c r="O334" s="10" t="str"/>
      <x:c r="P334" s="10" t="str"/>
      <x:c r="Q334" s="10" t="str"/>
      <x:c r="R334" s="10" t="str">
        <x:v>2026-08-26T02:00Z</x:v>
      </x:c>
      <x:c r="S334" s="10" t="str">
        <x:v>https://doi.org/10.56497/esj260603</x:v>
      </x:c>
    </x:row>
    <x:row r="335">
      <x:c r="A335" s="10" t="n">
        <x:f>'Ranked sources'!B335</x:f>
        <x:v>77</x:v>
      </x:c>
      <x:c r="B335" s="10" t="str">
        <x:v>DETERRENCE STRATEGIES FOR SMALL AND MEDIUM-SIZED STATES ON NATO’S EASTERN FLANK: THE CASE OF ROMANIA IN THE NEW SECURITY CONTEXT</x:v>
      </x:c>
      <x:c r="C335" s="10" t="str">
        <x:v>2026-06-17</x:v>
      </x:c>
      <x:c r="D335" s="10" t="str">
        <x:v>A</x:v>
      </x:c>
      <x:c r="E335" s="10" t="str">
        <x:v>Strategic Impact</x:v>
      </x:c>
      <x:c r="F335" s="10" t="str">
        <x:v>Sorin TOPOR</x:v>
      </x:c>
      <x:c r="G335" s="10" t="str">
        <x:v>peer-reviewed article</x:v>
      </x:c>
      <x:c r="H335" s="10" t="str">
        <x:v>Tier 2 broad journal</x:v>
      </x:c>
      <x:c r="I335" s="10" t="str">
        <x:v>direct</x:v>
      </x:c>
      <x:c r="J335" s="10" t="str">
        <x:v>romania</x:v>
      </x:c>
      <x:c r="K335" s="10" t="str">
        <x:v>technological capabilities</x:v>
      </x:c>
      <x:c r="L335" s="10" t="str"/>
      <x:c r="M335" s="10" t="str">
        <x:v>Using a comparative methodology (MSSD) and the TOWS matrix, the study proposes the transition from norm-based deterrence to deterrence through denial, supported by societal resilience and advanced technological capabilities.The conclusions of the paper argue the reality that Romania cannot compete symmetrically with a nuclear and cyber power (e.g. The war in Ukraine has rewritten the parameters of international security and put military deterrence back at the heart of the European security architecture. Nevertheless, Romania can attain a level of effective deterrence by combining internal defence development measures and the consolidation of political-military alliances (NATO, EU).</x:v>
      </x:c>
      <x:c r="N335" s="10" t="str">
        <x:v>Direct EU relevance (romania); R&amp;I evidence: technological capabilities; strategic evidence: substantive strategic evidence; bridge: title/abstract.</x:v>
      </x:c>
      <x:c r="O335" s="10" t="str"/>
      <x:c r="P335" s="10" t="str"/>
      <x:c r="Q335" s="10" t="str"/>
      <x:c r="R335" s="10" t="str">
        <x:v>2026-08-30T15:54Z</x:v>
      </x:c>
      <x:c r="S335" s="10" t="str">
        <x:v>https://doi.org/10.53477/1842-9904-25-32</x:v>
      </x:c>
    </x:row>
    <x:row r="336">
      <x:c r="A336" s="10" t="n">
        <x:f>'Ranked sources'!B336</x:f>
        <x:v>77</x:v>
      </x:c>
      <x:c r="B336" s="10" t="str">
        <x:v>MODEL OF EUROPEAN INTEGRATION OF R&amp;D INSTITUTIONS OF THE NAS OF UKRAINE IN THE CONTEXT OF UKRAINE’S INTEGRATION INTO THE EUROPEAN UNION</x:v>
      </x:c>
      <x:c r="C336" s="10" t="str">
        <x:v>2026-06-17</x:v>
      </x:c>
      <x:c r="D336" s="10" t="str">
        <x:v>A</x:v>
      </x:c>
      <x:c r="E336" s="10" t="str">
        <x:v>Science and Innovation</x:v>
      </x:c>
      <x:c r="F336" s="10" t="str">
        <x:v>Iu. NIKITIN</x:v>
      </x:c>
      <x:c r="G336" s="10" t="str">
        <x:v>peer-reviewed article</x:v>
      </x:c>
      <x:c r="H336" s="10" t="str">
        <x:v>Tier 2 broad journal</x:v>
      </x:c>
      <x:c r="I336" s="10" t="str">
        <x:v>direct</x:v>
      </x:c>
      <x:c r="J336" s="10" t="str"/>
      <x:c r="K336" s="10" t="str"/>
      <x:c r="L336" s="10" t="str"/>
      <x:c r="M336" s="10" t="str">
        <x:v>The European Research Area (ERA), as a key component of the European innovation ecosystem, has formed a consolidated policy framework in research and innovation, bringing together resources and stakeholders to generate new knowledge and scale innovation solutions.Problem Statement. Structurally, the model defines the integration of R&amp;D institutions of the NAS of Ukraine into the European Research Area within the broader process of integrating Ukraine’s innovation ecosystem into the European innovation ecosystem.Conclusions. In the context of Ukraine’s integration into the European Union and the integration of Ukraine’s national research space into the European Research Area, determining the place and role of R&amp;D institutions of the NAS of Ukraine in the processes of European integration has become an important and relevant task.Purpose.</x:v>
      </x:c>
      <x:c r="N336" s="10" t="str">
        <x:v>Direct EU relevance (european union, europe); R&amp;I evidence: research and innovation, european research area; strategic evidence: substantive strategic evidence; bridge: title/abstract.</x:v>
      </x:c>
      <x:c r="O336" s="10" t="str"/>
      <x:c r="P336" s="10" t="str"/>
      <x:c r="Q336" s="10" t="str"/>
      <x:c r="R336" s="10" t="str">
        <x:v>2026-08-23T18:51Z</x:v>
      </x:c>
      <x:c r="S336" s="10" t="str">
        <x:v>https://doi.org/10.15407/scine22.03.045</x:v>
      </x:c>
    </x:row>
    <x:row r="337">
      <x:c r="A337" s="10" t="n">
        <x:f>'Ranked sources'!B337</x:f>
        <x:v>77</x:v>
      </x:c>
      <x:c r="B337" s="10" t="str">
        <x:v>Can european law keep pace with biomedical innovation? The reinvention of transplantation regulation</x:v>
      </x:c>
      <x:c r="C337" s="10" t="str">
        <x:v>2026-06-16</x:v>
      </x:c>
      <x:c r="D337" s="10" t="str">
        <x:v>A</x:v>
      </x:c>
      <x:c r="E337" s="10" t="str">
        <x:v>Transplant International</x:v>
      </x:c>
      <x:c r="F337" s="10" t="str">
        <x:v>Olivier Thaunat, Frank J. M. F. Dor, Umberto Cillo, Gabriel C. Oniscu, Ekaterine Berishvili</x:v>
      </x:c>
      <x:c r="G337" s="10" t="str">
        <x:v>peer-reviewed article</x:v>
      </x:c>
      <x:c r="H337" s="10" t="str">
        <x:v>Tier 2 broad journal</x:v>
      </x:c>
      <x:c r="I337" s="10" t="str">
        <x:v>direct</x:v>
      </x:c>
      <x:c r="J337" s="10" t="str">
        <x:v>europe; european</x:v>
      </x:c>
      <x:c r="K337" s="10" t="str">
        <x:v>biotechnology + innovation</x:v>
      </x:c>
      <x:c r="L337" s="10" t="str"/>
      <x:c r="M337" s="10" t="str">
        <x:v>Can european law keep pace with biomedical innovation?</x:v>
      </x:c>
      <x:c r="N337" s="10" t="str">
        <x:v>Direct EU relevance (europe, european); R&amp;I evidence: biotechnology + innovation; strategic evidence: substantive strategic evidence; bridge: title/abstract.</x:v>
      </x:c>
      <x:c r="O337" s="10" t="str"/>
      <x:c r="P337" s="10" t="str"/>
      <x:c r="Q337" s="10" t="str"/>
      <x:c r="R337" s="10" t="str">
        <x:v>2026-08-31T05:44Z</x:v>
      </x:c>
      <x:c r="S337" s="10" t="str">
        <x:v>https://doi.org/10.3389/ti.2026.16976</x:v>
      </x:c>
    </x:row>
    <x:row r="338">
      <x:c r="A338" s="10" t="n">
        <x:f>'Ranked sources'!B338</x:f>
        <x:v>77</x:v>
      </x:c>
      <x:c r="B338" s="10" t="str">
        <x:v>Identifying barriers and policy priorities for rare disease research in underrepresented European countries</x:v>
      </x:c>
      <x:c r="C338" s="10" t="str">
        <x:v>2026-06-13</x:v>
      </x:c>
      <x:c r="D338" s="10" t="str">
        <x:v>A</x:v>
      </x:c>
      <x:c r="E338" s="10" t="str">
        <x:v>European Journal of Public Health</x:v>
      </x:c>
      <x:c r="F338" s="10" t="str">
        <x:v>Baiba Lace, Inna Inashkina, Dorica Dan, Ariane Weinman, Pauline Adam, Oleg Kvlividze, Birute Tumiene, Anabela Isidro, et al.</x:v>
      </x:c>
      <x:c r="G338" s="10" t="str">
        <x:v>peer-reviewed article</x:v>
      </x:c>
      <x:c r="H338" s="10" t="str">
        <x:v>Tier 2 broad journal</x:v>
      </x:c>
      <x:c r="I338" s="10" t="str">
        <x:v>direct</x:v>
      </x:c>
      <x:c r="J338" s="10" t="str">
        <x:v>europe; european; european countries</x:v>
      </x:c>
      <x:c r="K338" s="10" t="str">
        <x:v>research capacity</x:v>
      </x:c>
      <x:c r="L338" s="10" t="str"/>
      <x:c r="M338" s="10" t="str">
        <x:v>Identifying barriers and policy priorities for rare disease research in underrepresented European countries. A modified Delphi approach without formal consensus thresholds of 186 respondents highlighted fragmented or outdated policies and heterogeneous funding. Key priorities include access to genetic testing and essential services to support uniform care and shared research capacity.</x:v>
      </x:c>
      <x:c r="N338" s="10" t="str">
        <x:v>Direct EU relevance (europe, european); R&amp;I evidence: research capacity; strategic evidence: substantive strategic evidence; bridge: title/abstract.</x:v>
      </x:c>
      <x:c r="O338" s="10" t="str"/>
      <x:c r="P338" s="10" t="str"/>
      <x:c r="Q338" s="10" t="str"/>
      <x:c r="R338" s="10" t="str">
        <x:v>2026-08-30T09:41Z</x:v>
      </x:c>
      <x:c r="S338" s="10" t="str">
        <x:v>https://doi.org/10.1093/eurpub/ckag103</x:v>
      </x:c>
    </x:row>
    <x:row r="339">
      <x:c r="A339" s="10" t="n">
        <x:f>'Ranked sources'!B339</x:f>
        <x:v>77</x:v>
      </x:c>
      <x:c r="B339" s="10" t="str">
        <x:v>Perceptions of challenges in clinical pediatric research: a survey of Italian pediatricians</x:v>
      </x:c>
      <x:c r="C339" s="10" t="str">
        <x:v>2026-06-12</x:v>
      </x:c>
      <x:c r="D339" s="10" t="str">
        <x:v>A</x:v>
      </x:c>
      <x:c r="E339" s="10" t="str">
        <x:v>Italian Journal of Pediatrics</x:v>
      </x:c>
      <x:c r="F339" s="10" t="str">
        <x:v>Alberto Eugenio Tozzi, Ileana Croci, Claudio Pignata, Rino Agostiniani, Viviana Moschese</x:v>
      </x:c>
      <x:c r="G339" s="10" t="str">
        <x:v>peer-reviewed article</x:v>
      </x:c>
      <x:c r="H339" s="10" t="str">
        <x:v>Tier 2 broad journal</x:v>
      </x:c>
      <x:c r="I339" s="10" t="str">
        <x:v>direct</x:v>
      </x:c>
      <x:c r="J339" s="10" t="str">
        <x:v>italian</x:v>
      </x:c>
      <x:c r="K339" s="10" t="str">
        <x:v>research capacity</x:v>
      </x:c>
      <x:c r="L339" s="10" t="str"/>
      <x:c r="M339" s="10" t="str">
        <x:v>and methodological barriers that may hinder their participation in scientific activities.</x:v>
      </x:c>
      <x:c r="N339" s="10" t="str">
        <x:v>Direct EU relevance (italian); R&amp;I evidence: research capacity; strategic evidence: substantive strategic evidence; bridge: title/abstract.</x:v>
      </x:c>
      <x:c r="O339" s="10" t="str"/>
      <x:c r="P339" s="10" t="str"/>
      <x:c r="Q339" s="10" t="str"/>
      <x:c r="R339" s="10" t="str">
        <x:v>2026-08-30T12:37Z</x:v>
      </x:c>
      <x:c r="S339" s="10" t="str">
        <x:v>https://doi.org/10.1186/s13052-026-02282-x</x:v>
      </x:c>
    </x:row>
    <x:row r="340">
      <x:c r="A340" s="10" t="n">
        <x:f>'Ranked sources'!B340</x:f>
        <x:v>77</x:v>
      </x:c>
      <x:c r="B340" s="10" t="str">
        <x:v>Natural Disaster, (re)active Cities and Knowledge Flow: Exploring the Synergies Between Urban Development, Public R&amp;D Investment, and Students’ Attractiveness</x:v>
      </x:c>
      <x:c r="C340" s="10" t="str">
        <x:v>2026-06-11</x:v>
      </x:c>
      <x:c r="D340" s="10" t="str">
        <x:v>A</x:v>
      </x:c>
      <x:c r="E340" s="10" t="str">
        <x:v>Journal of the Knowledge Economy</x:v>
      </x:c>
      <x:c r="F340" s="10" t="str">
        <x:v>Filippo Marchesani, Francesca Masciarelli</x:v>
      </x:c>
      <x:c r="G340" s="10" t="str">
        <x:v>peer-reviewed article</x:v>
      </x:c>
      <x:c r="H340" s="10" t="str">
        <x:v>Tier 2 trusted-publisher journal</x:v>
      </x:c>
      <x:c r="I340" s="10" t="str">
        <x:v>direct</x:v>
      </x:c>
      <x:c r="J340" s="10" t="str">
        <x:v>italy</x:v>
      </x:c>
      <x:c r="K340" s="10" t="str">
        <x:v>r&amp;d</x:v>
      </x:c>
      <x:c r="L340" s="10" t="str"/>
      <x:c r="M340" s="10" t="str">
        <x:v>and practitioners in developing urban planning and policy post-event.</x:v>
      </x:c>
      <x:c r="N340" s="10" t="str">
        <x:v>Direct European/EU relevance (italy); R&amp;I evidence: r&amp;d; strategic significance is not explicit in the source and should be assessed as a possible longer-run implication.</x:v>
      </x:c>
      <x:c r="O340" s="10" t="str"/>
      <x:c r="P340" s="10" t="str"/>
      <x:c r="Q340" s="10" t="str"/>
      <x:c r="R340" s="10" t="str">
        <x:v>2026-09-01T15:48Z</x:v>
      </x:c>
      <x:c r="S340" s="10" t="str">
        <x:v>https://doi.org/10.1007/s13132-026-03332-9</x:v>
      </x:c>
    </x:row>
    <x:row r="341">
      <x:c r="A341" s="10" t="n">
        <x:f>'Ranked sources'!B341</x:f>
        <x:v>77</x:v>
      </x:c>
      <x:c r="B341" s="10" t="str">
        <x:v>Utility effectiveness, composite indicators and ‘benefit of the doubt’ models: How important are preferences when evaluating the performance of innovation systems?</x:v>
      </x:c>
      <x:c r="C341" s="10" t="str">
        <x:v>2026-06-11</x:v>
      </x:c>
      <x:c r="D341" s="10" t="str">
        <x:v>A</x:v>
      </x:c>
      <x:c r="E341" s="10" t="str">
        <x:v>Socio-Economic Planning Sciences</x:v>
      </x:c>
      <x:c r="F341" s="10" t="str">
        <x:v>José L. Zofío, Juan Aparicio, Javier Barbero, Jon Mikel Zabala‐Iturriagagoitia</x:v>
      </x:c>
      <x:c r="G341" s="10" t="str">
        <x:v>peer-reviewed article</x:v>
      </x:c>
      <x:c r="H341" s="10" t="str">
        <x:v>Tier 2 trusted-publisher journal</x:v>
      </x:c>
      <x:c r="I341" s="10" t="str">
        <x:v>direct</x:v>
      </x:c>
      <x:c r="J341" s="10" t="str">
        <x:v>europe; european; european countries</x:v>
      </x:c>
      <x:c r="K341" s="10" t="str">
        <x:v>innovation system</x:v>
      </x:c>
      <x:c r="L341" s="10" t="str"/>
      <x:c r="M341" s="10" t="str">
        <x:v>showing that the practical impact of choosing one utility specification over another.</x:v>
      </x:c>
      <x:c r="N341" s="10" t="str">
        <x:v>Direct European/EU relevance (europe, european); R&amp;I evidence: innovation system; strategic significance is not explicit in the source and should be assessed as a possible longer-run implication.</x:v>
      </x:c>
      <x:c r="O341" s="10" t="str"/>
      <x:c r="P341" s="10" t="str"/>
      <x:c r="Q341" s="10" t="str"/>
      <x:c r="R341" s="10" t="str">
        <x:v>2026-09-02T10:20Z</x:v>
      </x:c>
      <x:c r="S341" s="10" t="str">
        <x:v>https://doi.org/10.1016/j.seps.2026.102528</x:v>
      </x:c>
    </x:row>
    <x:row r="342">
      <x:c r="A342" s="10" t="n">
        <x:f>'Ranked sources'!B342</x:f>
        <x:v>77</x:v>
      </x:c>
      <x:c r="B342" s="10" t="str">
        <x:v>A Tale of Two Worlds: Exploring the Range and Depth of NGO–Academic Collaboration in International Development Across Europe</x:v>
      </x:c>
      <x:c r="C342" s="10" t="str">
        <x:v>2026-06-10</x:v>
      </x:c>
      <x:c r="D342" s="10" t="str">
        <x:v>A</x:v>
      </x:c>
      <x:c r="E342" s="10" t="str">
        <x:v>Journal of International Development</x:v>
      </x:c>
      <x:c r="F342" s="10" t="str">
        <x:v>Sebastian Heinen, Stefan Cibian, Petra Dannecker, Lenka Duskova, Magdolna Sass, Lau Schulpen, Katja Bender</x:v>
      </x:c>
      <x:c r="G342" s="10" t="str">
        <x:v>peer-reviewed article</x:v>
      </x:c>
      <x:c r="H342" s="10" t="str">
        <x:v>Tier 2 trusted-publisher journal</x:v>
      </x:c>
      <x:c r="I342" s="10" t="str">
        <x:v>direct</x:v>
      </x:c>
      <x:c r="J342" s="10" t="str">
        <x:v>europe</x:v>
      </x:c>
      <x:c r="K342" s="10" t="str">
        <x:v>academic research</x:v>
      </x:c>
      <x:c r="L342" s="10" t="str"/>
      <x:c r="M342" s="10" t="str">
        <x:v>as barriers to, NGO–academic collaboration and find that joint research conduct is rare.</x:v>
      </x:c>
      <x:c r="N342" s="10" t="str">
        <x:v>Direct European/EU relevance (europe); R&amp;I evidence: academic research; strategic significance is not explicit in the source and should be assessed as a possible longer-run implication.</x:v>
      </x:c>
      <x:c r="O342" s="10" t="str"/>
      <x:c r="P342" s="10" t="str"/>
      <x:c r="Q342" s="10" t="str"/>
      <x:c r="R342" s="10" t="str">
        <x:v>2026-09-02T07:38Z</x:v>
      </x:c>
      <x:c r="S342" s="10" t="str">
        <x:v>https://doi.org/10.1002/jid.70094</x:v>
      </x:c>
    </x:row>
    <x:row r="343">
      <x:c r="A343" s="10" t="n">
        <x:f>'Ranked sources'!B343</x:f>
        <x:v>77</x:v>
      </x:c>
      <x:c r="B343" s="10" t="str">
        <x:v>AI ‐Driven Risk Governance for SMEs : From Predictive Analytics to Strategic Competitiveness</x:v>
      </x:c>
      <x:c r="C343" s="10" t="str">
        <x:v>2026-06-10</x:v>
      </x:c>
      <x:c r="D343" s="10" t="str">
        <x:v>A</x:v>
      </x:c>
      <x:c r="E343" s="10" t="str">
        <x:v>Strategic Change</x:v>
      </x:c>
      <x:c r="F343" s="10" t="str">
        <x:v>Davide Liberato lo Conte, Giuseppe Sancetta, Nicola Cucari, Octavio Escobar</x:v>
      </x:c>
      <x:c r="G343" s="10" t="str">
        <x:v>peer-reviewed article</x:v>
      </x:c>
      <x:c r="H343" s="10" t="str">
        <x:v>Tier 2 trusted-publisher journal</x:v>
      </x:c>
      <x:c r="I343" s="10" t="str">
        <x:v>direct</x:v>
      </x:c>
      <x:c r="J343" s="10" t="str">
        <x:v>italian</x:v>
      </x:c>
      <x:c r="K343" s="10" t="str">
        <x:v>ai + competitiveness; ai + research</x:v>
      </x:c>
      <x:c r="L343" s="10" t="str">
        <x:v>geopolit</x:v>
      </x:c>
      <x:c r="M343" s="10" t="str">
        <x:v>AI ‐Driven Risk Governance for SMEs : From Predictive Analytics to Strategic Competitiveness.</x:v>
      </x:c>
      <x:c r="N343" s="10" t="str">
        <x:v>Direct European/EU relevance (italian); R&amp;I evidence: ai + competitiveness, ai + research; strategic evidence: geopolit; bridge: sentence.</x:v>
      </x:c>
      <x:c r="O343" s="10" t="str">
        <x:v>rules-C</x:v>
      </x:c>
      <x:c r="P343" s="10" t="str"/>
      <x:c r="Q343" s="10" t="str"/>
      <x:c r="R343" s="10" t="str">
        <x:v>2026-09-02T07:38Z</x:v>
      </x:c>
      <x:c r="S343" s="10" t="str">
        <x:v>https://doi.org/10.1002/jsc.70097</x:v>
      </x:c>
    </x:row>
    <x:row r="344">
      <x:c r="A344" s="10" t="n">
        <x:f>'Ranked sources'!B344</x:f>
        <x:v>77</x:v>
      </x:c>
      <x:c r="B344" s="10" t="str">
        <x:v>Professional development of educational researchers in cross-sector and cross-border mobility: evidence from a reflexive study of the EdTech Talents project</x:v>
      </x:c>
      <x:c r="C344" s="10" t="str">
        <x:v>2026-06-10</x:v>
      </x:c>
      <x:c r="D344" s="10" t="str">
        <x:v>A</x:v>
      </x:c>
      <x:c r="E344" s="10" t="str">
        <x:v>Higher Education, Skills and Work-Based Learning</x:v>
      </x:c>
      <x:c r="F344" s="10" t="str">
        <x:v>Janika Leoste, Larissa Jõgi, Ugljesa Marjanovic, Slavko Rakic, Piedad Tolmos</x:v>
      </x:c>
      <x:c r="G344" s="10" t="str">
        <x:v>peer-reviewed article</x:v>
      </x:c>
      <x:c r="H344" s="10" t="str">
        <x:v>Tier 2 broad journal</x:v>
      </x:c>
      <x:c r="I344" s="10" t="str">
        <x:v>direct</x:v>
      </x:c>
      <x:c r="J344" s="10" t="str"/>
      <x:c r="K344" s="10" t="str"/>
      <x:c r="L344" s="10" t="str"/>
      <x:c r="M344" s="10" t="str">
        <x:v>The study examines how cross-border and cross-sector researcher mobility, implemented through the Horizon Europe EdTech Talents project, contributes to the professional development of educational researchers beyond traditional academic performance indicators. Practical implications The study offers actionable insights for policymakers and research organizations designing mobility schemes aimed at strengthening innovation ecosystems and promoting sustainable knowledge circulation. These transformations have widened gaps between educational technology (EdTech) companies and educational researchers, as well as between advanced and widening research systems.</x:v>
      </x:c>
      <x:c r="N344" s="10" t="str">
        <x:v>Direct EU relevance (horizon europe); R&amp;I evidence: horizon europe, research system; strategic evidence: research-talent allocation / brain drain; bridge: sentence.</x:v>
      </x:c>
      <x:c r="O344" s="10" t="str">
        <x:v>knowledge-A</x:v>
      </x:c>
      <x:c r="P344" s="10" t="str"/>
      <x:c r="Q344" s="10" t="str"/>
      <x:c r="R344" s="10" t="str">
        <x:v>2026-08-23T19:53Z</x:v>
      </x:c>
      <x:c r="S344" s="10" t="str">
        <x:v>https://doi.org/10.1108/heswbl-08-2025-0364</x:v>
      </x:c>
    </x:row>
    <x:row r="345">
      <x:c r="A345" s="10" t="n">
        <x:f>'Ranked sources'!B345</x:f>
        <x:v>77</x:v>
      </x:c>
      <x:c r="B345" s="10" t="str">
        <x:v>The Effects of Investment in Education and Training on Productivity Growth in the European Union</x:v>
      </x:c>
      <x:c r="C345" s="10" t="str">
        <x:v>2026-06-08</x:v>
      </x:c>
      <x:c r="D345" s="10" t="str">
        <x:v>A</x:v>
      </x:c>
      <x:c r="E345" s="10" t="str">
        <x:v>Review of Income and Wealth</x:v>
      </x:c>
      <x:c r="F345" s="10" t="str">
        <x:v>Iulia Siedschlag, Juan Duran</x:v>
      </x:c>
      <x:c r="G345" s="10" t="str">
        <x:v>peer-reviewed article</x:v>
      </x:c>
      <x:c r="H345" s="10" t="str">
        <x:v>Tier 2 trusted-publisher journal</x:v>
      </x:c>
      <x:c r="I345" s="10" t="str">
        <x:v>direct</x:v>
      </x:c>
      <x:c r="J345" s="10" t="str">
        <x:v>european union; europe; european</x:v>
      </x:c>
      <x:c r="K345" s="10" t="str">
        <x:v>research and development; r&amp;d</x:v>
      </x:c>
      <x:c r="L345" s="10" t="str"/>
      <x:c r="M345" s="10" t="str">
        <x:v>ABSTRACT This paper examines how on‐the‐job training affects labor productivity growth, both directly and through its interaction with other intangible assets such as knowledge codified in software and databases, research and development (R&amp;D) and intellectual property assets, organizational know‐how and branding. The Effects of Investment in Education and Training on Productivity Growth in the European Union. Using EUKLEMS &amp; INTANProd data over 2010–2021 for 17 industries in 28 countries, we apply a difference‐in‐differences approach within an augmented production function.</x:v>
      </x:c>
      <x:c r="N345" s="10" t="str">
        <x:v>Direct European/EU relevance (european union, europe); R&amp;I evidence: research and development, r&amp;d; strategic significance is not explicit in the source and should be assessed as a possible longer-run implication.</x:v>
      </x:c>
      <x:c r="O345" s="10" t="str">
        <x:v>conversion-A</x:v>
      </x:c>
      <x:c r="P345" s="10" t="str"/>
      <x:c r="Q345" s="10" t="str"/>
      <x:c r="R345" s="10" t="str">
        <x:v>2026-09-01T12:05Z</x:v>
      </x:c>
      <x:c r="S345" s="10" t="str">
        <x:v>https://doi.org/10.1111/roiw.70077</x:v>
      </x:c>
    </x:row>
    <x:row r="346">
      <x:c r="A346" s="10" t="n">
        <x:f>'Ranked sources'!B346</x:f>
        <x:v>77</x:v>
      </x:c>
      <x:c r="B346" s="10" t="str">
        <x:v>THE IMPACT OF EU, US, AND CHINESE TRADE POLICIES ON GLOBAL ELECTRIC VEHICLE SALES</x:v>
      </x:c>
      <x:c r="C346" s="10" t="str">
        <x:v>2026-06-08</x:v>
      </x:c>
      <x:c r="D346" s="10" t="str">
        <x:v>A</x:v>
      </x:c>
      <x:c r="E346" s="10" t="str">
        <x:v>Economic Scope</x:v>
      </x:c>
      <x:c r="F346" s="10" t="str">
        <x:v>Tetiana Miroshnychenko</x:v>
      </x:c>
      <x:c r="G346" s="10" t="str">
        <x:v>peer-reviewed article</x:v>
      </x:c>
      <x:c r="H346" s="10" t="str">
        <x:v>Tier 2 broad journal</x:v>
      </x:c>
      <x:c r="I346" s="10" t="str">
        <x:v>direct</x:v>
      </x:c>
      <x:c r="J346" s="10" t="str"/>
      <x:c r="K346" s="10" t="str"/>
      <x:c r="L346" s="10" t="str"/>
      <x:c r="M346" s="10" t="str">
        <x:v>The expansion of global EV sales is determined not only by technological innovation and environmental objectives.</x:v>
      </x:c>
      <x:c r="N346" s="10" t="str">
        <x:v>Direct EU relevance (EU); R&amp;I evidence: technological innovation; strategic evidence: substantive strategic evidence; bridge: title/abstract.</x:v>
      </x:c>
      <x:c r="O346" s="10" t="str"/>
      <x:c r="P346" s="10" t="str"/>
      <x:c r="Q346" s="10" t="str"/>
      <x:c r="R346" s="10" t="str">
        <x:v>2026-08-23T18:51Z</x:v>
      </x:c>
      <x:c r="S346" s="10" t="str">
        <x:v>https://doi.org/10.30838/ep.213.20-26</x:v>
      </x:c>
    </x:row>
    <x:row r="347">
      <x:c r="A347" s="10" t="n">
        <x:f>'Ranked sources'!B347</x:f>
        <x:v>77</x:v>
      </x:c>
      <x:c r="B347" s="10" t="str">
        <x:v>Social Cohesion Reduced to Social Ties? Sport, Leisure, and the Limits of Migrant Inclusion in Spain</x:v>
      </x:c>
      <x:c r="C347" s="10" t="str">
        <x:v>2026-06-04</x:v>
      </x:c>
      <x:c r="D347" s="10" t="str">
        <x:v>A</x:v>
      </x:c>
      <x:c r="E347" s="10" t="str">
        <x:v>International Journal of the Sociology of Leisure</x:v>
      </x:c>
      <x:c r="F347" s="10" t="str">
        <x:v>Noemi García-Arjona, Anthony Forestier, Julien Puech</x:v>
      </x:c>
      <x:c r="G347" s="10" t="str">
        <x:v>peer-reviewed article</x:v>
      </x:c>
      <x:c r="H347" s="10" t="str">
        <x:v>Tier 2 trusted-publisher journal</x:v>
      </x:c>
      <x:c r="I347" s="10" t="str">
        <x:v>direct</x:v>
      </x:c>
      <x:c r="J347" s="10" t="str">
        <x:v>spain</x:v>
      </x:c>
      <x:c r="K347" s="10" t="str">
        <x:v>research programme; research program</x:v>
      </x:c>
      <x:c r="L347" s="10" t="str"/>
      <x:c r="M347" s="10" t="str">
        <x:v>Social Cohesion Reduced to Social Ties?</x:v>
      </x:c>
      <x:c r="N347" s="10" t="str">
        <x:v>Direct European/EU relevance (spain); R&amp;I evidence: research programme, research program; strategic significance is not explicit in the source and should be assessed as a possible longer-run implication.</x:v>
      </x:c>
      <x:c r="O347" s="10" t="str"/>
      <x:c r="P347" s="10" t="str"/>
      <x:c r="Q347" s="10" t="str"/>
      <x:c r="R347" s="10" t="str">
        <x:v>2026-09-01T20:02Z</x:v>
      </x:c>
      <x:c r="S347" s="10" t="str">
        <x:v>https://doi.org/10.1007/s41978-026-00214-x</x:v>
      </x:c>
    </x:row>
    <x:row r="348">
      <x:c r="A348" s="10" t="n">
        <x:f>'Ranked sources'!B348</x:f>
        <x:v>77</x:v>
      </x:c>
      <x:c r="B348" s="10" t="str">
        <x:v>The Performance of EU Member States in Terms of Industry 5.0</x:v>
      </x:c>
      <x:c r="C348" s="10" t="str">
        <x:v>2026-06-02</x:v>
      </x:c>
      <x:c r="D348" s="10" t="str">
        <x:v>A</x:v>
      </x:c>
      <x:c r="E348" s="10" t="str">
        <x:v>MANAGEMENT AND ECONOMICS REVIEW</x:v>
      </x:c>
      <x:c r="F348" s="10" t="str">
        <x:v>Adrian PETRE</x:v>
      </x:c>
      <x:c r="G348" s="10" t="str">
        <x:v>peer-reviewed article</x:v>
      </x:c>
      <x:c r="H348" s="10" t="str">
        <x:v>Tier 2 broad journal</x:v>
      </x:c>
      <x:c r="I348" s="10" t="str">
        <x:v>direct</x:v>
      </x:c>
      <x:c r="J348" s="10" t="str">
        <x:v>member state; member states; EU</x:v>
      </x:c>
      <x:c r="K348" s="10" t="str">
        <x:v>technological innovation</x:v>
      </x:c>
      <x:c r="L348" s="10" t="str"/>
      <x:c r="M348" s="10" t="str">
        <x:v>The Performance of EU Member States in Terms of Industry 5.0.</x:v>
      </x:c>
      <x:c r="N348" s="10" t="str">
        <x:v>Direct EU relevance (member state, member states); R&amp;I evidence: technological innovation; strategic evidence: substantive strategic evidence; bridge: title/abstract.</x:v>
      </x:c>
      <x:c r="O348" s="10" t="str">
        <x:v>conversion-A</x:v>
      </x:c>
      <x:c r="P348" s="10" t="str"/>
      <x:c r="Q348" s="10" t="str"/>
      <x:c r="R348" s="10" t="str">
        <x:v>2026-08-29T10:39Z</x:v>
      </x:c>
      <x:c r="S348" s="10" t="str">
        <x:v>https://doi.org/10.24818/mer/2026.02-05</x:v>
      </x:c>
    </x:row>
    <x:row r="349">
      <x:c r="A349" s="10" t="n">
        <x:f>'Ranked sources'!B349</x:f>
        <x:v>77</x:v>
      </x:c>
      <x:c r="B349" s="10" t="str">
        <x:v>DIGITAL INNOVATION HUBS AS A TOOL FOR INTEGRATING SCIENCE AND AGRIBUSINESS IN THE EUROPEAN UNION</x:v>
      </x:c>
      <x:c r="C349" s="10" t="str">
        <x:v>2026-06-01</x:v>
      </x:c>
      <x:c r="D349" s="10" t="str">
        <x:v>A</x:v>
      </x:c>
      <x:c r="E349" s="10" t="str">
        <x:v>AIC: economics, management</x:v>
      </x:c>
      <x:c r="F349" s="10" t="str">
        <x:v>Ivan Stepanovich Sandu, Vasilii Ivanovich Nechaev, Anna Revazovna KHarebava, Anna Aleksandrovna Guseva</x:v>
      </x:c>
      <x:c r="G349" s="10" t="str">
        <x:v>peer-reviewed article</x:v>
      </x:c>
      <x:c r="H349" s="10" t="str">
        <x:v>Tier 2 broad journal</x:v>
      </x:c>
      <x:c r="I349" s="10" t="str">
        <x:v>direct</x:v>
      </x:c>
      <x:c r="J349" s="10" t="str">
        <x:v>european union; europe; european</x:v>
      </x:c>
      <x:c r="K349" s="10" t="str">
        <x:v>technology development</x:v>
      </x:c>
      <x:c r="L349" s="10" t="str"/>
      <x:c r="M349" s="10" t="str">
        <x:v>The multi-level architecture of hub interaction is explored.</x:v>
      </x:c>
      <x:c r="N349" s="10" t="str">
        <x:v>Direct EU relevance (european union, europe); R&amp;I evidence: technology development; strategic evidence: substantive strategic evidence; bridge: title/abstract.</x:v>
      </x:c>
      <x:c r="O349" s="10" t="str"/>
      <x:c r="P349" s="10" t="str"/>
      <x:c r="Q349" s="10" t="str"/>
      <x:c r="R349" s="10" t="str">
        <x:v>2026-08-30T10:34Z</x:v>
      </x:c>
      <x:c r="S349" s="10" t="str">
        <x:v>https://doi.org/10.33305/266-131</x:v>
      </x:c>
    </x:row>
    <x:row r="350">
      <x:c r="A350" s="10" t="n">
        <x:f>'Ranked sources'!B350</x:f>
        <x:v>77</x:v>
      </x:c>
      <x:c r="B350" s="10" t="str">
        <x:v>New EU Industrial Policy Trends as a Basis for Developing a Resilient Industrial Workforce Provision System</x:v>
      </x:c>
      <x:c r="C350" s="10" t="str">
        <x:v>2026-06-01</x:v>
      </x:c>
      <x:c r="D350" s="10" t="str">
        <x:v>A</x:v>
      </x:c>
      <x:c r="E350" s="10" t="str">
        <x:v>European Journal of Sustainable Development</x:v>
      </x:c>
      <x:c r="F350" s="10" t="str">
        <x:v>Olga Novikova, Oksana Pankova, Yaroslav OSTAFIYCHUK, Oleksandr Kasperovich, Nadiya Azmuk, Олена Хандій, Maxym Buchniev</x:v>
      </x:c>
      <x:c r="G350" s="10" t="str">
        <x:v>peer-reviewed article</x:v>
      </x:c>
      <x:c r="H350" s="10" t="str">
        <x:v>Tier 2 broad journal</x:v>
      </x:c>
      <x:c r="I350" s="10" t="str">
        <x:v>direct</x:v>
      </x:c>
      <x:c r="J350" s="10" t="str">
        <x:v>EU</x:v>
      </x:c>
      <x:c r="K350" s="10" t="str">
        <x:v>academic research</x:v>
      </x:c>
      <x:c r="L350" s="10" t="str"/>
      <x:c r="M350" s="10" t="str">
        <x:v>New EU Industrial Policy Trends as a Basis for Developing a Resilient Industrial Workforce Provision System.</x:v>
      </x:c>
      <x:c r="N350" s="10" t="str">
        <x:v>Direct EU relevance (EU); R&amp;I evidence: academic research; strategic evidence: substantive strategic evidence; bridge: title/abstract.</x:v>
      </x:c>
      <x:c r="O350" s="10" t="str"/>
      <x:c r="P350" s="10" t="str"/>
      <x:c r="Q350" s="10" t="str"/>
      <x:c r="R350" s="10" t="str">
        <x:v>2026-08-29T10:39Z</x:v>
      </x:c>
      <x:c r="S350" s="10" t="str">
        <x:v>https://doi.org/10.14207/ejsd.2026.v15n2p261</x:v>
      </x:c>
    </x:row>
    <x:row r="351">
      <x:c r="A351" s="10" t="n">
        <x:f>'Ranked sources'!B351</x:f>
        <x:v>77</x:v>
      </x:c>
      <x:c r="B351" s="10" t="str">
        <x:v>Top 10 risks for mining companies extracting critical materials in a navi environment</x:v>
      </x:c>
      <x:c r="C351" s="10" t="str">
        <x:v>2026-06-01</x:v>
      </x:c>
      <x:c r="D351" s="10" t="str">
        <x:v>A</x:v>
      </x:c>
      <x:c r="E351" s="10" t="str">
        <x:v>Economic Herald of SHEI USUCT</x:v>
      </x:c>
      <x:c r="F351" s="10" t="str">
        <x:v>Maryna Ivanova, S. О. Pomohaiev</x:v>
      </x:c>
      <x:c r="G351" s="10" t="str">
        <x:v>peer-reviewed article</x:v>
      </x:c>
      <x:c r="H351" s="10" t="str">
        <x:v>Tier 2 broad journal</x:v>
      </x:c>
      <x:c r="I351" s="10" t="str">
        <x:v>direct</x:v>
      </x:c>
      <x:c r="J351" s="10" t="str"/>
      <x:c r="K351" s="10" t="str"/>
      <x:c r="L351" s="10" t="str"/>
      <x:c r="M351" s="10" t="str">
        <x:v>And Ukraine’s prospects for joining the EU’s strategic resource supply system.</x:v>
      </x:c>
      <x:c r="N351" s="10" t="str">
        <x:v>Direct EU relevance (european union); R&amp;I evidence: technological capabilities; strategic evidence: geopolit, critical minerals; bridge: sentence.</x:v>
      </x:c>
      <x:c r="O351" s="10" t="str">
        <x:v>infrastructure-A</x:v>
      </x:c>
      <x:c r="P351" s="10" t="str"/>
      <x:c r="Q351" s="10" t="str"/>
      <x:c r="R351" s="10" t="str">
        <x:v>2026-08-24T05:33Z</x:v>
      </x:c>
      <x:c r="S351" s="10" t="str">
        <x:v>https://doi.org/10.32434/2415-3974-2026-23-1-85-96</x:v>
      </x:c>
    </x:row>
    <x:row r="352">
      <x:c r="A352" s="10" t="n">
        <x:f>'Ranked sources'!B352</x:f>
        <x:v>77</x:v>
      </x:c>
      <x:c r="B352" s="10" t="str">
        <x:v>EUROPEAN CHIPS ACT 2.0: STRATEGIC AUTONOMY AND TECHNOLOGICAL LEADERSHIP OF THE EU IN THE GLOBAL SEMICONDUCTOR ECOSYSTEM</x:v>
      </x:c>
      <x:c r="C352" s="10" t="str">
        <x:v>2026-05-30</x:v>
      </x:c>
      <x:c r="D352" s="10" t="str">
        <x:v>A</x:v>
      </x:c>
      <x:c r="E352" s="10" t="str">
        <x:v>Scientific notes of Taurida National V.I. Vernadsky University. Series: Juridical Sciences</x:v>
      </x:c>
      <x:c r="F352" s="10" t="str">
        <x:v>O. K. Tsyren</x:v>
      </x:c>
      <x:c r="G352" s="10" t="str">
        <x:v>peer-reviewed article</x:v>
      </x:c>
      <x:c r="H352" s="10" t="str">
        <x:v>Tier 2 broad journal</x:v>
      </x:c>
      <x:c r="I352" s="10" t="str">
        <x:v>direct</x:v>
      </x:c>
      <x:c r="J352" s="10" t="str"/>
      <x:c r="K352" s="10" t="str"/>
      <x:c r="L352" s="10" t="str"/>
      <x:c r="M352" s="10" t="str">
        <x:v>Chips policy targets EU semiconductor autonomy and technological leadership.</x:v>
      </x:c>
      <x:c r="N352" s="10" t="str">
        <x:v>Direct EU relevance (EU, europe); R&amp;I evidence: semiconductor + technological leadership; strategic evidence: strategic autonomy; bridge: sentence.</x:v>
      </x:c>
      <x:c r="O352" s="10" t="str">
        <x:v>infrastructure-A</x:v>
      </x:c>
      <x:c r="P352" s="10" t="str"/>
      <x:c r="Q352" s="10" t="str"/>
      <x:c r="R352" s="10" t="str">
        <x:v>2026-08-22T22:08Z</x:v>
      </x:c>
      <x:c r="S352" s="10" t="str">
        <x:v>https://doi.org/10.32782/tnu-2707-0581/2026.3/10</x:v>
      </x:c>
    </x:row>
    <x:row r="353">
      <x:c r="A353" s="10" t="n">
        <x:f>'Ranked sources'!B353</x:f>
        <x:v>77</x:v>
      </x:c>
      <x:c r="B353" s="10" t="str">
        <x:v>RESTRUCTURING UKRAINE’S ECONOMY THROUGH EU ACQUIS IMPLEMENTATION: A MULTI-DIMENSIONAL COMPETITIVENESS FRAMEWORK</x:v>
      </x:c>
      <x:c r="C353" s="10" t="str">
        <x:v>2026-05-29</x:v>
      </x:c>
      <x:c r="D353" s="10" t="str">
        <x:v>A</x:v>
      </x:c>
      <x:c r="E353" s="10" t="str">
        <x:v>Baltic Journal of Economic Studies</x:v>
      </x:c>
      <x:c r="F353" s="10" t="str">
        <x:v>Olena Zayats</x:v>
      </x:c>
      <x:c r="G353" s="10" t="str">
        <x:v>peer-reviewed article</x:v>
      </x:c>
      <x:c r="H353" s="10" t="str">
        <x:v>Tier 2 broad journal</x:v>
      </x:c>
      <x:c r="I353" s="10" t="str">
        <x:v>direct</x:v>
      </x:c>
      <x:c r="J353" s="10" t="str">
        <x:v>EU</x:v>
      </x:c>
      <x:c r="K353" s="10" t="str">
        <x:v>innovation policy; r&amp;d</x:v>
      </x:c>
      <x:c r="L353" s="10" t="str"/>
      <x:c r="M353" s="10" t="str">
        <x:v>The methodology is firmly rooted in the JRC-OECD Handbook on Composite Indicators.</x:v>
      </x:c>
      <x:c r="N353" s="10" t="str">
        <x:v>Direct EU relevance (EU); R&amp;I evidence: innovation policy, r&amp;d; strategic evidence: substantive strategic evidence; bridge: title/abstract.</x:v>
      </x:c>
      <x:c r="O353" s="10" t="str">
        <x:v>conversion-A</x:v>
      </x:c>
      <x:c r="P353" s="10" t="str"/>
      <x:c r="Q353" s="10" t="str"/>
      <x:c r="R353" s="10" t="str">
        <x:v>2026-08-28T13:43Z</x:v>
      </x:c>
      <x:c r="S353" s="10" t="str">
        <x:v>https://doi.org/10.30525/2256-0742/2026-12-2-432-445</x:v>
      </x:c>
    </x:row>
    <x:row r="354">
      <x:c r="A354" s="10" t="n">
        <x:f>'Ranked sources'!B354</x:f>
        <x:v>77</x:v>
      </x:c>
      <x:c r="B354" s="10" t="str">
        <x:v>A Research Agenda for the Greek Semiconductors Sector Ecosystem: Enabling the Transition from Emerging Capabilities to Strategic Integration</x:v>
      </x:c>
      <x:c r="C354" s="10" t="str">
        <x:v>2026-05-28</x:v>
      </x:c>
      <x:c r="D354" s="10" t="str">
        <x:v>A</x:v>
      </x:c>
      <x:c r="E354" s="10" t="str">
        <x:v>Journal of the Knowledge Economy</x:v>
      </x:c>
      <x:c r="F354" s="10" t="str">
        <x:v>Nikos Karampekios, Konstantinos Sioumalas-Christodoulou, Antonios Angelakis, Elias G. Carayannis</x:v>
      </x:c>
      <x:c r="G354" s="10" t="str">
        <x:v>peer-reviewed article</x:v>
      </x:c>
      <x:c r="H354" s="10" t="str">
        <x:v>Tier 2 broad journal</x:v>
      </x:c>
      <x:c r="I354" s="10" t="str">
        <x:v>direct</x:v>
      </x:c>
      <x:c r="J354" s="10" t="str">
        <x:v>greek</x:v>
      </x:c>
      <x:c r="K354" s="10" t="str">
        <x:v>r&amp;d; technological innovation; semiconductor + innovation</x:v>
      </x:c>
      <x:c r="L354" s="10" t="str">
        <x:v>geopolit</x:v>
      </x:c>
      <x:c r="M354" s="10" t="str">
        <x:v>including the Covid-19 pandemic and geopolitical tensions, have amplified attention toward semiconductor ecosystems.</x:v>
      </x:c>
      <x:c r="N354" s="10" t="str">
        <x:v>Direct EU relevance (greek); R&amp;I evidence: r&amp;d, technological innovation; strategic evidence: geopolit; bridge: sentence.</x:v>
      </x:c>
      <x:c r="O354" s="10" t="str"/>
      <x:c r="P354" s="10" t="str"/>
      <x:c r="Q354" s="10" t="str"/>
      <x:c r="R354" s="10" t="str">
        <x:v>2026-08-31T05:44Z</x:v>
      </x:c>
      <x:c r="S354" s="10" t="str">
        <x:v>https://doi.org/10.1007/s13132-026-03305-y</x:v>
      </x:c>
    </x:row>
    <x:row r="355">
      <x:c r="A355" s="10" t="n">
        <x:f>'Ranked sources'!B355</x:f>
        <x:v>77</x:v>
      </x:c>
      <x:c r="B355" s="10" t="str">
        <x:v>The Path to Future‐Proof Photovoltaics in Europe: Current Status and Impact of Technological Innovation on Reliable and Bankable Photovoltaics</x:v>
      </x:c>
      <x:c r="C355" s="10" t="str">
        <x:v>2026-05-28</x:v>
      </x:c>
      <x:c r="D355" s="10" t="str">
        <x:v>A</x:v>
      </x:c>
      <x:c r="E355" s="10" t="str">
        <x:v>Advanced Energy and Sustainability Research</x:v>
      </x:c>
      <x:c r="F355" s="10" t="str">
        <x:v>Ulrike Jahn, Paula Sánchez‐Friera, David Moser, Marcello Pereira Passaro, Delfina Munoz, Sandra Gallmetzer, Stefano Nicola Granata, Sascha Lindig, et al.</x:v>
      </x:c>
      <x:c r="G355" s="10" t="str">
        <x:v>peer-reviewed article</x:v>
      </x:c>
      <x:c r="H355" s="10" t="str">
        <x:v>Tier 2 trusted-publisher journal</x:v>
      </x:c>
      <x:c r="I355" s="10" t="str">
        <x:v>direct</x:v>
      </x:c>
      <x:c r="J355" s="10" t="str">
        <x:v>europe</x:v>
      </x:c>
      <x:c r="K355" s="10" t="str">
        <x:v>technological innovation</x:v>
      </x:c>
      <x:c r="L355" s="10" t="str"/>
      <x:c r="M355" s="10" t="str">
        <x:v>and PV system level can affect the reliability, durability.</x:v>
      </x:c>
      <x:c r="N355" s="10" t="str">
        <x:v>Direct European/EU relevance (europe); R&amp;I evidence: technological innovation; strategic significance is not explicit in the source and should be assessed as a possible longer-run implication.</x:v>
      </x:c>
      <x:c r="O355" s="10" t="str">
        <x:v>infrastructure-A</x:v>
      </x:c>
      <x:c r="P355" s="10" t="str"/>
      <x:c r="Q355" s="10" t="str"/>
      <x:c r="R355" s="10" t="str">
        <x:v>2026-09-02T07:38Z</x:v>
      </x:c>
      <x:c r="S355" s="10" t="str">
        <x:v>https://doi.org/10.1002/aesr.202500200</x:v>
      </x:c>
    </x:row>
    <x:row r="356">
      <x:c r="A356" s="10" t="n">
        <x:f>'Ranked sources'!B356</x:f>
        <x:v>77</x:v>
      </x:c>
      <x:c r="B356" s="10" t="str">
        <x:v>Why promising ATMPs fail to reach patients: a qualitative stakeholder-informed analysis of cell therapy access in Europe</x:v>
      </x:c>
      <x:c r="C356" s="10" t="str">
        <x:v>2026-05-23</x:v>
      </x:c>
      <x:c r="D356" s="10" t="str">
        <x:v>A</x:v>
      </x:c>
      <x:c r="E356" s="10" t="str">
        <x:v>Journal of Translational Medicine</x:v>
      </x:c>
      <x:c r="F356" s="10" t="str">
        <x:v>Giuseppe Di Mauro, Maria Pachetti, Christian Ploner, Michele De Luca, Graziella Pellegrini, Elisa Gambini, Massimo Moretti, Antonio Sfiligoj, et al.</x:v>
      </x:c>
      <x:c r="G356" s="10" t="str">
        <x:v>peer-reviewed article</x:v>
      </x:c>
      <x:c r="H356" s="10" t="str">
        <x:v>Tier 2 broad journal</x:v>
      </x:c>
      <x:c r="I356" s="10" t="str">
        <x:v>direct</x:v>
      </x:c>
      <x:c r="J356" s="10" t="str">
        <x:v>europe</x:v>
      </x:c>
      <x:c r="K356" s="10" t="str">
        <x:v>innovation ecosystem</x:v>
      </x:c>
      <x:c r="L356" s="10" t="str"/>
      <x:c r="M356" s="10" t="str">
        <x:v>and rare diseases with high unmet medical need.</x:v>
      </x:c>
      <x:c r="N356" s="10" t="str">
        <x:v>Direct EU relevance (europe); R&amp;I evidence: innovation ecosystem; strategic evidence: substantive strategic evidence; bridge: title/abstract.</x:v>
      </x:c>
      <x:c r="O356" s="10" t="str"/>
      <x:c r="P356" s="10" t="str"/>
      <x:c r="Q356" s="10" t="str"/>
      <x:c r="R356" s="10" t="str">
        <x:v>2026-08-30T09:58Z</x:v>
      </x:c>
      <x:c r="S356" s="10" t="str">
        <x:v>https://doi.org/10.1186/s12967-026-08303-x</x:v>
      </x:c>
    </x:row>
    <x:row r="357">
      <x:c r="A357" s="10" t="n">
        <x:f>'Ranked sources'!B357</x:f>
        <x:v>77</x:v>
      </x:c>
      <x:c r="B357" s="10" t="str">
        <x:v>Innovating beyond Earth: strategic business models in the New Space Economy</x:v>
      </x:c>
      <x:c r="C357" s="10" t="str">
        <x:v>2026-05-22</x:v>
      </x:c>
      <x:c r="D357" s="10" t="str">
        <x:v>A</x:v>
      </x:c>
      <x:c r="E357" s="10" t="str">
        <x:v>Journal of Industrial and Business Economics</x:v>
      </x:c>
      <x:c r="F357" s="10" t="str">
        <x:v>Chiara Cannavale, Lorenza Claudio, Nohaila Kartti, Giuseppe Franzese</x:v>
      </x:c>
      <x:c r="G357" s="10" t="str">
        <x:v>peer-reviewed article</x:v>
      </x:c>
      <x:c r="H357" s="10" t="str">
        <x:v>Tier 2 trusted-publisher journal</x:v>
      </x:c>
      <x:c r="I357" s="10" t="str">
        <x:v>direct</x:v>
      </x:c>
      <x:c r="J357" s="10" t="str">
        <x:v>italian</x:v>
      </x:c>
      <x:c r="K357" s="10" t="str">
        <x:v>technological innovation; academic research</x:v>
      </x:c>
      <x:c r="L357" s="10" t="str"/>
      <x:c r="M357" s="10" t="str">
        <x:v>However, academic research has largely neglected the understanding of how space startups construct and adapt their business models. Our findings suggest the existence of an interpretative framework of the main strategic choices startups adopt to balance technological innovation, institutional engagement, and environmental sustainability. Innovating beyond Earth: strategic business models in the New Space Economy.</x:v>
      </x:c>
      <x:c r="N357" s="10" t="str">
        <x:v>Direct European/EU relevance (italian); R&amp;I evidence: technological innovation, academic research; strategic significance is not explicit in the source and should be assessed as a possible longer-run implication.</x:v>
      </x:c>
      <x:c r="O357" s="10" t="str"/>
      <x:c r="P357" s="10" t="str"/>
      <x:c r="Q357" s="10" t="str"/>
      <x:c r="R357" s="10" t="str">
        <x:v>2026-09-02T10:20Z</x:v>
      </x:c>
      <x:c r="S357" s="10" t="str">
        <x:v>https://doi.org/10.1007/s40812-026-00407-1</x:v>
      </x:c>
    </x:row>
    <x:row r="358">
      <x:c r="A358" s="10" t="n">
        <x:f>'Ranked sources'!B358</x:f>
        <x:v>77</x:v>
      </x:c>
      <x:c r="B358" s="10" t="str">
        <x:v>Species identification, discovery, and biomonitoring: Strategic priorities for DNA barcoding in Europe, set in a global context</x:v>
      </x:c>
      <x:c r="C358" s="10" t="str">
        <x:v>2026-05-22</x:v>
      </x:c>
      <x:c r="D358" s="10" t="str">
        <x:v>A</x:v>
      </x:c>
      <x:c r="E358" s="10" t="str">
        <x:v>BioScience</x:v>
      </x:c>
      <x:c r="F358" s="10" t="str">
        <x:v>Peter M Hollingsworth, Kasia Fantoni, Dimitris Koureas, Marine Arakelyan, Filippos A Aravanopoulos, Karolina Bacela-Spychalska, Liliana Ballesteros-Mejia, Pedro Beja, et al.</x:v>
      </x:c>
      <x:c r="G358" s="10" t="str">
        <x:v>peer-reviewed article</x:v>
      </x:c>
      <x:c r="H358" s="10" t="str">
        <x:v>Tier 2 trusted-publisher journal</x:v>
      </x:c>
      <x:c r="I358" s="10" t="str">
        <x:v>direct</x:v>
      </x:c>
      <x:c r="J358" s="10" t="str">
        <x:v>europe</x:v>
      </x:c>
      <x:c r="K358" s="10" t="str">
        <x:v>research infrastructure; research infrastructures</x:v>
      </x:c>
      <x:c r="L358" s="10" t="str"/>
      <x:c r="M358" s="10" t="str">
        <x:v>The mission of iBOL Europe is to produce, curate.</x:v>
      </x:c>
      <x:c r="N358" s="10" t="str">
        <x:v>Direct European/EU relevance (europe); R&amp;I evidence: research infrastructure, research infrastructures; strategic significance is not explicit in the source and should be assessed as a possible longer-run implication.</x:v>
      </x:c>
      <x:c r="O358" s="10" t="str"/>
      <x:c r="P358" s="10" t="str"/>
      <x:c r="Q358" s="10" t="str"/>
      <x:c r="R358" s="10" t="str">
        <x:v>2026-09-01T11:11Z</x:v>
      </x:c>
      <x:c r="S358" s="10" t="str">
        <x:v>https://doi.org/10.1093/biosci/biag052</x:v>
      </x:c>
    </x:row>
    <x:row r="359">
      <x:c r="A359" s="10" t="n">
        <x:f>'Ranked sources'!B359</x:f>
        <x:v>77</x:v>
      </x:c>
      <x:c r="B359" s="10" t="str">
        <x:v>Adaptation of Ukrainian legislation to EU standards in the field of scientific and technical cooperation in the agro-industrial complex</x:v>
      </x:c>
      <x:c r="C359" s="10" t="str">
        <x:v>2026-05-18</x:v>
      </x:c>
      <x:c r="D359" s="10" t="str">
        <x:v>A</x:v>
      </x:c>
      <x:c r="E359" s="10" t="str">
        <x:v>Law and innovative society</x:v>
      </x:c>
      <x:c r="F359" s="10" t="str">
        <x:v>Anna Liubchych</x:v>
      </x:c>
      <x:c r="G359" s="10" t="str">
        <x:v>peer-reviewed article</x:v>
      </x:c>
      <x:c r="H359" s="10" t="str">
        <x:v>Tier 2 broad journal</x:v>
      </x:c>
      <x:c r="I359" s="10" t="str">
        <x:v>direct</x:v>
      </x:c>
      <x:c r="J359" s="10" t="str">
        <x:v>EU</x:v>
      </x:c>
      <x:c r="K359" s="10" t="str">
        <x:v>technology transfer</x:v>
      </x:c>
      <x:c r="L359" s="10" t="str"/>
      <x:c r="M359" s="10" t="str">
        <x:v>The author proposes a conceptual framework for the phased adaptation of the regulatory base.</x:v>
      </x:c>
      <x:c r="N359" s="10" t="str">
        <x:v>Direct EU relevance (EU); R&amp;I evidence: technology transfer; strategic evidence: substantive strategic evidence; bridge: title/abstract.</x:v>
      </x:c>
      <x:c r="O359" s="10" t="str"/>
      <x:c r="P359" s="10" t="str"/>
      <x:c r="Q359" s="10" t="str"/>
      <x:c r="R359" s="10" t="str">
        <x:v>2026-08-28T13:43Z</x:v>
      </x:c>
      <x:c r="S359" s="10" t="str">
        <x:v>https://doi.org/10.37772/2309-9275-2026-1(26)-6</x:v>
      </x:c>
    </x:row>
    <x:row r="360">
      <x:c r="A360" s="10" t="n">
        <x:f>'Ranked sources'!B360</x:f>
        <x:v>77</x:v>
      </x:c>
      <x:c r="B360" s="10" t="str">
        <x:v>INTERNATIONAL VENTURE FINANCING OF INNOVATIVE STARTUPS</x:v>
      </x:c>
      <x:c r="C360" s="10" t="str">
        <x:v>2026-05-14</x:v>
      </x:c>
      <x:c r="D360" s="10" t="str">
        <x:v>A</x:v>
      </x:c>
      <x:c r="E360" s="10" t="str">
        <x:v>Economic Scope</x:v>
      </x:c>
      <x:c r="F360" s="10" t="str">
        <x:v>Ihor Krupka</x:v>
      </x:c>
      <x:c r="G360" s="10" t="str">
        <x:v>peer-reviewed article</x:v>
      </x:c>
      <x:c r="H360" s="10" t="str">
        <x:v>Tier 2 broad journal</x:v>
      </x:c>
      <x:c r="I360" s="10" t="str">
        <x:v>direct</x:v>
      </x:c>
      <x:c r="J360" s="10" t="str">
        <x:v>europe; european</x:v>
      </x:c>
      <x:c r="K360" s="10" t="str">
        <x:v>innovation system; innovation ecosystem; deep tech; artificial intelligence + funding</x:v>
      </x:c>
      <x:c r="L360" s="10" t="str">
        <x:v>geopolit</x:v>
      </x:c>
      <x:c r="M360" s="10" t="str">
        <x:v>The theoretical and practical significance of this research is driven by the evolving nature of venture capital.</x:v>
      </x:c>
      <x:c r="N360" s="10" t="str">
        <x:v>Direct EU relevance (europe, european); R&amp;I evidence: innovation system, innovation ecosystem; strategic evidence: geopolit; bridge: sentence.</x:v>
      </x:c>
      <x:c r="O360" s="10" t="str">
        <x:v>conversion-A</x:v>
      </x:c>
      <x:c r="P360" s="10" t="str"/>
      <x:c r="Q360" s="10" t="str"/>
      <x:c r="R360" s="10" t="str">
        <x:v>2026-08-29T16:45Z</x:v>
      </x:c>
      <x:c r="S360" s="10" t="str">
        <x:v>https://doi.org/10.30838/ep.212.367-376</x:v>
      </x:c>
    </x:row>
    <x:row r="361">
      <x:c r="A361" s="10" t="n">
        <x:f>'Ranked sources'!B361</x:f>
        <x:v>77</x:v>
      </x:c>
      <x:c r="B361" s="10" t="str">
        <x:v>Pathways to EU decarbonization: the role of green investment and R&amp;D activity</x:v>
      </x:c>
      <x:c r="C361" s="10" t="str">
        <x:v>2026-05-13</x:v>
      </x:c>
      <x:c r="D361" s="10" t="str">
        <x:v>A</x:v>
      </x:c>
      <x:c r="E361" s="10" t="str">
        <x:v>Sustainability Science</x:v>
      </x:c>
      <x:c r="F361" s="10" t="str">
        <x:v>Aleksy Kwilinski, O. Lyulyov, Tetyana Pimonenko</x:v>
      </x:c>
      <x:c r="G361" s="10" t="str">
        <x:v>peer-reviewed article</x:v>
      </x:c>
      <x:c r="H361" s="10" t="str">
        <x:v>Tier 2 trusted-publisher journal</x:v>
      </x:c>
      <x:c r="I361" s="10" t="str">
        <x:v>direct</x:v>
      </x:c>
      <x:c r="J361" s="10" t="str">
        <x:v>EU</x:v>
      </x:c>
      <x:c r="K361" s="10" t="str">
        <x:v>r&amp;d</x:v>
      </x:c>
      <x:c r="L361" s="10" t="str"/>
      <x:c r="M361" s="10" t="str">
        <x:v>and governance jointly shape national decarbonization pathways.</x:v>
      </x:c>
      <x:c r="N361" s="10" t="str">
        <x:v>Direct European/EU relevance (EU); R&amp;I evidence: r&amp;d; strategic significance is not explicit in the source and should be assessed as a possible longer-run implication.</x:v>
      </x:c>
      <x:c r="O361" s="10" t="str">
        <x:v>conversion-A</x:v>
      </x:c>
      <x:c r="P361" s="10" t="str"/>
      <x:c r="Q361" s="10" t="str"/>
      <x:c r="R361" s="10" t="str">
        <x:v>2026-09-01T09:06Z</x:v>
      </x:c>
      <x:c r="S361" s="10" t="str">
        <x:v>https://doi.org/10.1007/s11625-026-01852-6</x:v>
      </x:c>
    </x:row>
    <x:row r="362">
      <x:c r="A362" s="10" t="n">
        <x:f>'Ranked sources'!B362</x:f>
        <x:v>77</x:v>
      </x:c>
      <x:c r="B362" s="10" t="str">
        <x:v>DIGITAL TECHNOLOGIES AS KEY VECTORS OF MODERNIZATION OF UKRAINE’S MILITARY-INDUSTRIAL POTENTIAL</x:v>
      </x:c>
      <x:c r="C362" s="10" t="str">
        <x:v>2026-05-12</x:v>
      </x:c>
      <x:c r="D362" s="10" t="str">
        <x:v>A</x:v>
      </x:c>
      <x:c r="E362" s="10" t="str">
        <x:v>Social Development Economic and Legal Issues</x:v>
      </x:c>
      <x:c r="F362" s="10" t="str">
        <x:v>Andriy Shakhovets</x:v>
      </x:c>
      <x:c r="G362" s="10" t="str">
        <x:v>peer-reviewed article</x:v>
      </x:c>
      <x:c r="H362" s="10" t="str">
        <x:v>Tier 2 broad journal</x:v>
      </x:c>
      <x:c r="I362" s="10" t="str">
        <x:v>direct</x:v>
      </x:c>
      <x:c r="J362" s="10" t="str"/>
      <x:c r="K362" s="10" t="str"/>
      <x:c r="L362" s="10" t="str"/>
      <x:c r="M362" s="10" t="str">
        <x:v>And strengthening international technological partnerships with NATO and EU member states.</x:v>
      </x:c>
      <x:c r="N362" s="10" t="str">
        <x:v>Direct EU relevance (member state, member states); R&amp;I evidence: artificial intelligence + startup; strategic evidence: technological sovereignty, national security; bridge: title/abstract.</x:v>
      </x:c>
      <x:c r="O362" s="10" t="str">
        <x:v>conversion-C</x:v>
      </x:c>
      <x:c r="P362" s="10" t="str"/>
      <x:c r="Q362" s="10" t="str"/>
      <x:c r="R362" s="10" t="str">
        <x:v>2026-08-23T09:12Z</x:v>
      </x:c>
      <x:c r="S362" s="10" t="str">
        <x:v>https://doi.org/10.70651/3083-6018/2026.5.17</x:v>
      </x:c>
    </x:row>
    <x:row r="363">
      <x:c r="A363" s="10" t="n">
        <x:f>'Ranked sources'!B363</x:f>
        <x:v>77</x:v>
      </x:c>
      <x:c r="B363" s="10" t="str">
        <x:v>Green manufacturing under geopolitical uncertainty: the role of artificial intelligence, environmental policy, and information in European car makers</x:v>
      </x:c>
      <x:c r="C363" s="10" t="str">
        <x:v>2026-05-11</x:v>
      </x:c>
      <x:c r="D363" s="10" t="str">
        <x:v>A</x:v>
      </x:c>
      <x:c r="E363" s="10" t="str">
        <x:v>Quality &amp; Quantity</x:v>
      </x:c>
      <x:c r="F363" s="10" t="str">
        <x:v>Muhammad Salman</x:v>
      </x:c>
      <x:c r="G363" s="10" t="str">
        <x:v>peer-reviewed article</x:v>
      </x:c>
      <x:c r="H363" s="10" t="str">
        <x:v>Tier 2 broad journal</x:v>
      </x:c>
      <x:c r="I363" s="10" t="str">
        <x:v>direct</x:v>
      </x:c>
      <x:c r="J363" s="10" t="str">
        <x:v>europe; european</x:v>
      </x:c>
      <x:c r="K363" s="10" t="str">
        <x:v>technological capabilities</x:v>
      </x:c>
      <x:c r="L363" s="10" t="str">
        <x:v>geopolit</x:v>
      </x:c>
      <x:c r="M363" s="10" t="str">
        <x:v>and information in European car makers.</x:v>
      </x:c>
      <x:c r="N363" s="10" t="str">
        <x:v>Direct EU relevance (europe, european); R&amp;I evidence: technological capabilities; strategic evidence: geopolit; bridge: sentence.</x:v>
      </x:c>
      <x:c r="O363" s="10" t="str"/>
      <x:c r="P363" s="10" t="str"/>
      <x:c r="Q363" s="10" t="str"/>
      <x:c r="R363" s="10" t="str">
        <x:v>2026-08-31T06:02Z</x:v>
      </x:c>
      <x:c r="S363" s="10" t="str">
        <x:v>https://doi.org/10.1007/s11135-026-02824-9</x:v>
      </x:c>
    </x:row>
    <x:row r="364">
      <x:c r="A364" s="10" t="n">
        <x:f>'Ranked sources'!B364</x:f>
        <x:v>77</x:v>
      </x:c>
      <x:c r="B364" s="10" t="str">
        <x:v>The European semiconductor ecosystem: Regional development in a geopolitical context development in a geopolitical context</x:v>
      </x:c>
      <x:c r="C364" s="10" t="str">
        <x:v>2026-05-08</x:v>
      </x:c>
      <x:c r="D364" s="10" t="str">
        <x:v>A</x:v>
      </x:c>
      <x:c r="E364" s="10" t="str">
        <x:v>Central European Journal of Geography and Sustainable Development</x:v>
      </x:c>
      <x:c r="F364" s="10" t="str">
        <x:v>Vasile Popa</x:v>
      </x:c>
      <x:c r="G364" s="10" t="str">
        <x:v>peer-reviewed article</x:v>
      </x:c>
      <x:c r="H364" s="10" t="str">
        <x:v>Tier 2 broad journal</x:v>
      </x:c>
      <x:c r="I364" s="10" t="str">
        <x:v>direct</x:v>
      </x:c>
      <x:c r="J364" s="10" t="str"/>
      <x:c r="K364" s="10" t="str"/>
      <x:c r="L364" s="10" t="str"/>
      <x:c r="M364" s="10" t="str">
        <x:v>The European semiconductor ecosystem: Regional development in a geopolitical context development in a geopolitical context. The results show a diversified but unbalanced European semiconductor ecosystem, with research and development activities in almost all European countries, but the production of semiconductor equipment and devices is concentrated in a few countries in central and western Europe. This research aimed to analyse the European semiconductor ecosystem in terms of its regional development, Europe's position in the supply chain and the measures taken to reduce dependence on external markets.</x:v>
      </x:c>
      <x:c r="N364" s="10" t="str">
        <x:v>Direct EU relevance (europe, european); R&amp;I evidence: research and development, semiconductor + research; strategic evidence: geopolit; bridge: title/abstract.</x:v>
      </x:c>
      <x:c r="O364" s="10" t="str">
        <x:v>infrastructure-A</x:v>
      </x:c>
      <x:c r="P364" s="10" t="str"/>
      <x:c r="Q364" s="10" t="str"/>
      <x:c r="R364" s="10" t="str">
        <x:v>2026-08-23T14:37Z</x:v>
      </x:c>
      <x:c r="S364" s="10" t="str">
        <x:v>https://doi.org/10.51865/cejgsd.2026.8.1.1</x:v>
      </x:c>
    </x:row>
    <x:row r="365">
      <x:c r="A365" s="10" t="n">
        <x:f>'Ranked sources'!B365</x:f>
        <x:v>77</x:v>
      </x:c>
      <x:c r="B365" s="10" t="str">
        <x:v>EU scientific diplomacy as a tool of strategic autonomy</x:v>
      </x:c>
      <x:c r="C365" s="10" t="str">
        <x:v>2026-05-07</x:v>
      </x:c>
      <x:c r="D365" s="10" t="str">
        <x:v>A</x:v>
      </x:c>
      <x:c r="E365" s="10" t="str">
        <x:v>MGIMO Review of International Relations</x:v>
      </x:c>
      <x:c r="F365" s="10" t="str">
        <x:v>O. A. Krasnyak</x:v>
      </x:c>
      <x:c r="G365" s="10" t="str">
        <x:v>peer-reviewed article</x:v>
      </x:c>
      <x:c r="H365" s="10" t="str">
        <x:v>Tier 2 broad journal</x:v>
      </x:c>
      <x:c r="I365" s="10" t="str">
        <x:v>direct</x:v>
      </x:c>
      <x:c r="J365" s="10" t="str"/>
      <x:c r="K365" s="10" t="str"/>
      <x:c r="L365" s="10" t="str"/>
      <x:c r="M365" s="10" t="str">
        <x:v>as an instrument of external action aimed at strengthening the EU’s international actorness, autonomy.</x:v>
      </x:c>
      <x:c r="N365" s="10" t="str">
        <x:v>Direct EU relevance (EU); R&amp;I evidence: science diplomacy, scientific cooperation; strategic evidence: geopolit, strategic autonomy; bridge: sentence.</x:v>
      </x:c>
      <x:c r="O365" s="10" t="str">
        <x:v>knowledge-B</x:v>
      </x:c>
      <x:c r="P365" s="10" t="str"/>
      <x:c r="Q365" s="10" t="str"/>
      <x:c r="R365" s="10" t="str">
        <x:v>2026-08-24T09:50Z</x:v>
      </x:c>
      <x:c r="S365" s="10" t="str">
        <x:v>https://doi.org/10.24833/2071-8160-2026-2-107-24-46</x:v>
      </x:c>
    </x:row>
    <x:row r="366">
      <x:c r="A366" s="10" t="n">
        <x:f>'Ranked sources'!B366</x:f>
        <x:v>77</x:v>
      </x:c>
      <x:c r="B366" s="10" t="str">
        <x:v>Health AI research capacity and equity-adjusted patient value in 27 European Union countries: an ecological panel study, 2011–2024</x:v>
      </x:c>
      <x:c r="C366" s="10" t="str">
        <x:v>2026-05-07</x:v>
      </x:c>
      <x:c r="D366" s="10" t="str">
        <x:v>A</x:v>
      </x:c>
      <x:c r="E366" s="10" t="str">
        <x:v>BMC Public Health</x:v>
      </x:c>
      <x:c r="F366" s="10" t="str">
        <x:v>Horia Iuga, Mehmet Ali Balcı, Iulia Cristina Iuga, Ömer Akgüller</x:v>
      </x:c>
      <x:c r="G366" s="10" t="str">
        <x:v>peer-reviewed article</x:v>
      </x:c>
      <x:c r="H366" s="10" t="str">
        <x:v>Tier 2 broad journal</x:v>
      </x:c>
      <x:c r="I366" s="10" t="str">
        <x:v>direct</x:v>
      </x:c>
      <x:c r="J366" s="10" t="str">
        <x:v>european union; europe; european</x:v>
      </x:c>
      <x:c r="K366" s="10" t="str">
        <x:v>research capacity; ai + research; artificial intelligence + research</x:v>
      </x:c>
      <x:c r="L366" s="10" t="str"/>
      <x:c r="M366" s="10" t="str">
        <x:v>Most available evaluations focus on the performance of individual-level algorithms rather than system-wide effects.</x:v>
      </x:c>
      <x:c r="N366" s="10" t="str">
        <x:v>Direct EU relevance (european union, europe); R&amp;I evidence: research capacity, ai + research; strategic evidence: substantive strategic evidence; bridge: title/abstract.</x:v>
      </x:c>
      <x:c r="O366" s="10" t="str"/>
      <x:c r="P366" s="10" t="str"/>
      <x:c r="Q366" s="10" t="str"/>
      <x:c r="R366" s="10" t="str">
        <x:v>2026-08-30T12:17Z</x:v>
      </x:c>
      <x:c r="S366" s="10" t="str">
        <x:v>https://doi.org/10.1186/s12889-026-27676-8</x:v>
      </x:c>
    </x:row>
    <x:row r="367">
      <x:c r="A367" s="10" t="n">
        <x:f>'Ranked sources'!B367</x:f>
        <x:v>77</x:v>
      </x:c>
      <x:c r="B367" s="10" t="str">
        <x:v>China and Central and Eastern European Countries within 14+1 cooperation challenges</x:v>
      </x:c>
      <x:c r="C367" s="10" t="str">
        <x:v>2026-05-05</x:v>
      </x:c>
      <x:c r="D367" s="10" t="str">
        <x:v>A</x:v>
      </x:c>
      <x:c r="E367" s="10" t="str">
        <x:v>Polemos - Međunarodne studije</x:v>
      </x:c>
      <x:c r="F367" s="10" t="str">
        <x:v>Jelena Levak, Anita Britvec, Robert Bošnjak</x:v>
      </x:c>
      <x:c r="G367" s="10" t="str">
        <x:v>peer-reviewed article</x:v>
      </x:c>
      <x:c r="H367" s="10" t="str">
        <x:v>Tier 2 broad journal</x:v>
      </x:c>
      <x:c r="I367" s="10" t="str">
        <x:v>direct</x:v>
      </x:c>
      <x:c r="J367" s="10" t="str"/>
      <x:c r="K367" s="10" t="str"/>
      <x:c r="L367" s="10" t="str"/>
      <x:c r="M367" s="10" t="str">
        <x:v>Special attention is paid to the role of technological innovations.</x:v>
      </x:c>
      <x:c r="N367" s="10" t="str">
        <x:v>Direct EU relevance (europe, european); R&amp;I evidence: technological innovation, ai + innovation; strategic evidence: geopolit; bridge: title/abstract.</x:v>
      </x:c>
      <x:c r="O367" s="10" t="str"/>
      <x:c r="P367" s="10" t="str"/>
      <x:c r="Q367" s="10" t="str"/>
      <x:c r="R367" s="10" t="str">
        <x:v>2026-08-26T10:34Z</x:v>
      </x:c>
      <x:c r="S367" s="10" t="str">
        <x:v>https://doi.org/10.46672/po-mest.29.1-2.6</x:v>
      </x:c>
    </x:row>
    <x:row r="368">
      <x:c r="A368" s="10" t="n">
        <x:f>'Ranked sources'!B368</x:f>
        <x:v>77</x:v>
      </x:c>
      <x:c r="B368" s="10" t="str">
        <x:v>The European Commission as an engine for international cooperation</x:v>
      </x:c>
      <x:c r="C368" s="10" t="str">
        <x:v>2026-05-05</x:v>
      </x:c>
      <x:c r="D368" s="10" t="str">
        <x:v>A</x:v>
      </x:c>
      <x:c r="E368" s="10" t="str">
        <x:v>Impact</x:v>
      </x:c>
      <x:c r="F368" s="10" t="str">
        <x:v>Lucy Annette</x:v>
      </x:c>
      <x:c r="G368" s="10" t="str">
        <x:v>peer-reviewed article</x:v>
      </x:c>
      <x:c r="H368" s="10" t="str">
        <x:v>Tier 2 broad journal</x:v>
      </x:c>
      <x:c r="I368" s="10" t="str">
        <x:v>direct</x:v>
      </x:c>
      <x:c r="J368" s="10" t="str"/>
      <x:c r="K368" s="10" t="str"/>
      <x:c r="L368" s="10" t="str"/>
      <x:c r="M368" s="10" t="str">
        <x:v>Horizon Europe is key to facilitating global collaboration in R&amp;I.</x:v>
      </x:c>
      <x:c r="N368" s="10" t="str">
        <x:v>Direct EU relevance (european commission, europe); R&amp;I evidence: research and innovation, horizon europe; strategic evidence: substantive strategic evidence; bridge: title/abstract.</x:v>
      </x:c>
      <x:c r="O368" s="10" t="str"/>
      <x:c r="P368" s="10" t="str"/>
      <x:c r="Q368" s="10" t="str"/>
      <x:c r="R368" s="10" t="str">
        <x:v>2026-08-23T20:52Z</x:v>
      </x:c>
      <x:c r="S368" s="10" t="str">
        <x:v>https://doi.org/10.21820/23987073.2026.1.35</x:v>
      </x:c>
    </x:row>
    <x:row r="369">
      <x:c r="A369" s="10" t="n">
        <x:f>'Ranked sources'!B369</x:f>
        <x:v>77</x:v>
      </x:c>
      <x:c r="B369" s="10" t="str">
        <x:v>DIGITAL INNOVATION AND ECONOMIC GROWTH IN SOUTHEAST EUROPE</x:v>
      </x:c>
      <x:c r="C369" s="10" t="str">
        <x:v>2026-05-02</x:v>
      </x:c>
      <x:c r="D369" s="10" t="str">
        <x:v>A</x:v>
      </x:c>
      <x:c r="E369" s="10" t="str">
        <x:v>European Vector of Economic Development</x:v>
      </x:c>
      <x:c r="F369" s="10" t="str">
        <x:v>Sara Drakul</x:v>
      </x:c>
      <x:c r="G369" s="10" t="str">
        <x:v>peer-reviewed article</x:v>
      </x:c>
      <x:c r="H369" s="10" t="str">
        <x:v>Tier 2 broad journal</x:v>
      </x:c>
      <x:c r="I369" s="10" t="str">
        <x:v>direct</x:v>
      </x:c>
      <x:c r="J369" s="10" t="str"/>
      <x:c r="K369" s="10" t="str"/>
      <x:c r="L369" s="10" t="str"/>
      <x:c r="M369" s="10" t="str">
        <x:v>And more developed innovation ecosystems tend to achieve better economic outcomes.</x:v>
      </x:c>
      <x:c r="N369" s="10" t="str">
        <x:v>Direct EU relevance (europe); R&amp;I evidence: innovation ecosystem, innovation performance; strategic evidence: substantive strategic evidence; bridge: title/abstract.</x:v>
      </x:c>
      <x:c r="O369" s="10" t="str"/>
      <x:c r="P369" s="10" t="str"/>
      <x:c r="Q369" s="10" t="str"/>
      <x:c r="R369" s="10" t="str">
        <x:v>2026-08-23T18:22Z</x:v>
      </x:c>
      <x:c r="S369" s="10" t="str">
        <x:v>https://doi.org/10.32342/3041-2153-2026-1-40-5</x:v>
      </x:c>
    </x:row>
    <x:row r="370">
      <x:c r="A370" s="10" t="n">
        <x:f>'Ranked sources'!B370</x:f>
        <x:v>77</x:v>
      </x:c>
      <x:c r="B370" s="10" t="str">
        <x:v>Regional disparities in the transition to industry 5.0: an algorithmic approach to digitization</x:v>
      </x:c>
      <x:c r="C370" s="10" t="str">
        <x:v>2026-05-02</x:v>
      </x:c>
      <x:c r="D370" s="10" t="str">
        <x:v>A</x:v>
      </x:c>
      <x:c r="E370" s="10" t="str">
        <x:v>Economic Change and Restructuring</x:v>
      </x:c>
      <x:c r="F370" s="10" t="str">
        <x:v>Monica Laura Zlati, Camelia Madalina Beldiman, Iulian Vasiliev, Valentin-Marian Antohi, Costinela Fortea</x:v>
      </x:c>
      <x:c r="G370" s="10" t="str">
        <x:v>peer-reviewed article</x:v>
      </x:c>
      <x:c r="H370" s="10" t="str">
        <x:v>Tier 2 trusted-publisher journal</x:v>
      </x:c>
      <x:c r="I370" s="10" t="str">
        <x:v>direct</x:v>
      </x:c>
      <x:c r="J370" s="10" t="str">
        <x:v>europe; european union; european; EU</x:v>
      </x:c>
      <x:c r="K370" s="10" t="str">
        <x:v>research and development; r&amp;d; research capacity; ai + research</x:v>
      </x:c>
      <x:c r="L370" s="10" t="str"/>
      <x:c r="M370" s="10" t="str">
        <x:v>which show that human-capital endowment, R&amp;D (research and development) intensity, high-technology employment.</x:v>
      </x:c>
      <x:c r="N370" s="10" t="str">
        <x:v>Direct European/EU relevance (europe, european union); R&amp;I evidence: research and development, r&amp;d; strategic evidence: dependence_control, competition_capability, resilience; bridge: title/abstract.</x:v>
      </x:c>
      <x:c r="O370" s="10" t="str"/>
      <x:c r="P370" s="10" t="str"/>
      <x:c r="Q370" s="10" t="str"/>
      <x:c r="R370" s="10" t="str">
        <x:v>2026-09-01T11:01Z</x:v>
      </x:c>
      <x:c r="S370" s="10" t="str">
        <x:v>https://doi.org/10.1007/s10644-026-09988-2</x:v>
      </x:c>
    </x:row>
    <x:row r="371">
      <x:c r="A371" s="10" t="n">
        <x:f>'Ranked sources'!B371</x:f>
        <x:v>77</x:v>
      </x:c>
      <x:c r="B371" s="10" t="str">
        <x:v>The Taboo of Withdrawal: Firsthand Perspectives From Former Doctoral Candidates in Poland and Portugal</x:v>
      </x:c>
      <x:c r="C371" s="10" t="str">
        <x:v>2026-05-02</x:v>
      </x:c>
      <x:c r="D371" s="10" t="str">
        <x:v>A</x:v>
      </x:c>
      <x:c r="E371" s="10" t="str">
        <x:v>Higher Education Quarterly</x:v>
      </x:c>
      <x:c r="F371" s="10" t="str">
        <x:v>Patrícia Alves, Marta Kowalczuk‐Walędziak, Amélia Lopes, Izabela Krasnicka, Isabel Menezes</x:v>
      </x:c>
      <x:c r="G371" s="10" t="str">
        <x:v>peer-reviewed article</x:v>
      </x:c>
      <x:c r="H371" s="10" t="str">
        <x:v>Tier 2 trusted-publisher journal</x:v>
      </x:c>
      <x:c r="I371" s="10" t="str">
        <x:v>direct</x:v>
      </x:c>
      <x:c r="J371" s="10" t="str">
        <x:v>poland; portugal</x:v>
      </x:c>
      <x:c r="K371" s="10" t="str">
        <x:v>doctoral candidates</x:v>
      </x:c>
      <x:c r="L371" s="10" t="str"/>
      <x:c r="M371" s="10" t="str">
        <x:v>The Taboo of Withdrawal: Firsthand Perspectives From Former Doctoral Candidates in Poland and Portugal.</x:v>
      </x:c>
      <x:c r="N371" s="10" t="str">
        <x:v>Direct European/EU relevance (poland, portugal); R&amp;I evidence: doctoral candidates; strategic significance is not explicit in the source and should be assessed as a possible longer-run implication.</x:v>
      </x:c>
      <x:c r="O371" s="10" t="str"/>
      <x:c r="P371" s="10" t="str"/>
      <x:c r="Q371" s="10" t="str"/>
      <x:c r="R371" s="10" t="str">
        <x:v>2026-09-02T06:06Z</x:v>
      </x:c>
      <x:c r="S371" s="10" t="str">
        <x:v>https://doi.org/10.1111/hequ.70141</x:v>
      </x:c>
    </x:row>
    <x:row r="372">
      <x:c r="A372" s="10" t="n">
        <x:f>'Ranked sources'!B372</x:f>
        <x:v>77</x:v>
      </x:c>
      <x:c r="B372" s="10" t="str">
        <x:v>Implementing Sweden’s Biobank Act (2023:38): Insights and Lessons for International Collaboration in Health Research</x:v>
      </x:c>
      <x:c r="C372" s="10" t="str">
        <x:v>2026-05-01</x:v>
      </x:c>
      <x:c r="D372" s="10" t="str">
        <x:v>A</x:v>
      </x:c>
      <x:c r="E372" s="10" t="str">
        <x:v>Biopreservation and Biobanking</x:v>
      </x:c>
      <x:c r="F372" s="10" t="str">
        <x:v>Jennifer Viberg Johansson, Mio Fredriksson</x:v>
      </x:c>
      <x:c r="G372" s="10" t="str">
        <x:v>peer-reviewed article</x:v>
      </x:c>
      <x:c r="H372" s="10" t="str">
        <x:v>Tier 2 broad journal</x:v>
      </x:c>
      <x:c r="I372" s="10" t="str">
        <x:v>direct</x:v>
      </x:c>
      <x:c r="J372" s="10" t="str"/>
      <x:c r="K372" s="10" t="str"/>
      <x:c r="L372" s="10" t="str"/>
      <x:c r="M372" s="10" t="str">
        <x:v>Different biobank rules across Europe can help or hinder international health research.</x:v>
      </x:c>
      <x:c r="N372" s="10" t="str">
        <x:v>Direct EU relevance (sweden); R&amp;I evidence: research infrastructure; strategic evidence: substantive strategic evidence; bridge: title/abstract.</x:v>
      </x:c>
      <x:c r="O372" s="10" t="str"/>
      <x:c r="P372" s="10" t="str"/>
      <x:c r="Q372" s="10" t="str"/>
      <x:c r="R372" s="10" t="str">
        <x:v>2026-08-23T21:11Z</x:v>
      </x:c>
      <x:c r="S372" s="10" t="str">
        <x:v>https://doi.org/10.1177/19475535261432944</x:v>
      </x:c>
    </x:row>
    <x:row r="373">
      <x:c r="A373" s="10" t="n">
        <x:f>'Ranked sources'!B373</x:f>
        <x:v>76</x:v>
      </x:c>
      <x:c r="B373" s="10" t="str">
        <x:v>Co-creating climate-resilient cities: a multi-method participatory approach for future scenario building and prioritization</x:v>
      </x:c>
      <x:c r="C373" s="10" t="str">
        <x:v>2026-08-07</x:v>
      </x:c>
      <x:c r="D373" s="10" t="str">
        <x:v>B</x:v>
      </x:c>
      <x:c r="E373" s="10" t="str">
        <x:v>European Journal of Futures Research</x:v>
      </x:c>
      <x:c r="F373" s="10" t="str">
        <x:v>Havva Ebrahimipour, Monika Mačiulienė, Anna Maria Kotrikla, Franz-Ferdinand Rothe, Gintarė Gulevičiūtė, Aelita Skaržauskienė, Kristina Kovaitė, Amalia Polydoropoulou, et al.</x:v>
      </x:c>
      <x:c r="G373" s="10" t="str">
        <x:v>peer-reviewed article</x:v>
      </x:c>
      <x:c r="H373" s="10" t="str">
        <x:v>Tier 2 comparable</x:v>
      </x:c>
      <x:c r="I373" s="10" t="str">
        <x:v>derived</x:v>
      </x:c>
      <x:c r="J373" s="10" t="str">
        <x:v>method suitable for analysing future EU R&amp;I/geopolitics</x:v>
      </x:c>
      <x:c r="K373" s="10" t="str"/>
      <x:c r="L373" s="10" t="str"/>
      <x:c r="M373" s="10" t="str">
        <x:v>The framework was deployed in two diverse European Living Labs, the Mediterranean island of Chios, Greece.</x:v>
      </x:c>
      <x:c r="N373" s="10" t="str">
        <x:v>Method contribution for understanding the future of Strand A (scenario building); suitable context: research, governance.</x:v>
      </x:c>
      <x:c r="O373" s="10" t="str"/>
      <x:c r="P373" s="10" t="str"/>
      <x:c r="Q373" s="10" t="str"/>
      <x:c r="R373" s="10" t="str">
        <x:v>2026-08-23T11:30Z</x:v>
      </x:c>
      <x:c r="S373" s="10" t="str">
        <x:v>https://doi.org/10.1186/s40309-026-00291-x</x:v>
      </x:c>
    </x:row>
    <x:row r="374">
      <x:c r="A374" s="10" t="n">
        <x:f>'Ranked sources'!B374</x:f>
        <x:v>76</x:v>
      </x:c>
      <x:c r="B374" s="10" t="str">
        <x:v>Supercomputers, artificial intelligence and Europe’s technological sovereignty</x:v>
      </x:c>
      <x:c r="C374" s="10" t="str">
        <x:v>2026-08-03</x:v>
      </x:c>
      <x:c r="D374" s="10" t="str">
        <x:v>A</x:v>
      </x:c>
      <x:c r="E374" s="10" t="str">
        <x:v>Proceedings of the European Academy of Sciences and Arts</x:v>
      </x:c>
      <x:c r="F374" s="10" t="str">
        <x:v>Michael Molls; Ulrich Marsch; Klaus Mainzer; Arndt Bode</x:v>
      </x:c>
      <x:c r="G374" s="10" t="str">
        <x:v>manual-verified scholarly/policy source</x:v>
      </x:c>
      <x:c r="H374" s="10" t="str">
        <x:v>Tier 2 broad journal</x:v>
      </x:c>
      <x:c r="I374" s="10" t="str">
        <x:v>direct</x:v>
      </x:c>
      <x:c r="J374" s="10" t="str"/>
      <x:c r="K374" s="10" t="str"/>
      <x:c r="L374" s="10" t="str"/>
      <x:c r="M374" s="10" t="str">
        <x:v>A European policy roadmap links supercomputing and AI capacity to technological sovereignty and to Europe’s position in intensifying economic and geopolitical competition.</x:v>
      </x:c>
      <x:c r="N374" s="10" t="str">
        <x:v>Direct EU/European relevance verified in the underlying source; substantive R&amp;I mechanism and geopolitical/economic-security bridge verified by manual source review.</x:v>
      </x:c>
      <x:c r="O374" s="10" t="str"/>
      <x:c r="P374" s="10" t="str"/>
      <x:c r="Q374" s="10" t="str">
        <x:v>manual</x:v>
      </x:c>
      <x:c r="R374" s="10" t="n">
        <x:v>46261.277083333334</x:v>
      </x:c>
      <x:c r="S374" s="10" t="str">
        <x:v>https://www.peasa.eu/site/article/view/88</x:v>
      </x:c>
    </x:row>
    <x:row r="375">
      <x:c r="A375" s="10" t="n">
        <x:f>'Ranked sources'!B375</x:f>
        <x:v>76</x:v>
      </x:c>
      <x:c r="B375" s="10" t="str">
        <x:v>A Multi-Method Field–Topic–Technology (FTT) Approach with Dual-Path Integration for Identifying Key Core Technologies</x:v>
      </x:c>
      <x:c r="C375" s="10" t="str">
        <x:v>2026-07-29</x:v>
      </x:c>
      <x:c r="D375" s="10" t="str">
        <x:v>B</x:v>
      </x:c>
      <x:c r="E375" s="10" t="str">
        <x:v>Journal of Data and Information Science</x:v>
      </x:c>
      <x:c r="F375" s="10" t="str">
        <x:v>Chao Tang, Yan Qi, Haiyun Xu, Shuying Li, Zenghui Yue, Robin Haunschild</x:v>
      </x:c>
      <x:c r="G375" s="10" t="str">
        <x:v>peer-reviewed article</x:v>
      </x:c>
      <x:c r="H375" s="10" t="str">
        <x:v>Tier 2 broad journal</x:v>
      </x:c>
      <x:c r="I375" s="10" t="str">
        <x:v>derived</x:v>
      </x:c>
      <x:c r="J375" s="10" t="str"/>
      <x:c r="K375" s="10" t="str"/>
      <x:c r="L375" s="10" t="str"/>
      <x:c r="M375" s="10" t="str">
        <x:v>Practical implications The proposed FTT approach supports technology intelligence and strategic decision-making through KCT identification and technological evolution tracking. Abstract Purpose As technological competition increasingly becomes the focus of global attention, identifying key core technologies (KCTs) is of great significance for seizing the technological high ground, promoting national economic development, and safeguarding national security. It can be extended to other patent‑rich technology fields to support R&amp;D planning and policy formulation.</x:v>
      </x:c>
      <x:c r="N375" s="10" t="str">
        <x:v>Method contribution for understanding the future of Strand A (technology intelligence); suitable context: research, innovation.</x:v>
      </x:c>
      <x:c r="O375" s="10" t="str"/>
      <x:c r="P375" s="10" t="str"/>
      <x:c r="Q375" s="10" t="str"/>
      <x:c r="R375" s="10" t="str">
        <x:v>2026-08-23T20:52Z</x:v>
      </x:c>
      <x:c r="S375" s="10" t="str">
        <x:v>https://doi.org/10.1515/jdis-2025-0120</x:v>
      </x:c>
    </x:row>
    <x:row r="376">
      <x:c r="A376" s="10" t="n">
        <x:f>'Ranked sources'!B376</x:f>
        <x:v>76</x:v>
      </x:c>
      <x:c r="B376" s="10" t="str">
        <x:v>A Participatory Future Scenario-Building Methodology for Europe’s Just Transition by Sectors: The FITTER-EU Case</x:v>
      </x:c>
      <x:c r="C376" s="10" t="str">
        <x:v>2026-07-09</x:v>
      </x:c>
      <x:c r="D376" s="10" t="str">
        <x:v>B</x:v>
      </x:c>
      <x:c r="E376" s="10" t="str">
        <x:v>Politics and Governance</x:v>
      </x:c>
      <x:c r="F376" s="10" t="str">
        <x:v>Laura Armayones Carranza, Lluis Vine Rius</x:v>
      </x:c>
      <x:c r="G376" s="10" t="str">
        <x:v>peer-reviewed article</x:v>
      </x:c>
      <x:c r="H376" s="10" t="str">
        <x:v>Tier 2 broad journal</x:v>
      </x:c>
      <x:c r="I376" s="10" t="str">
        <x:v>derived</x:v>
      </x:c>
      <x:c r="J376" s="10" t="str"/>
      <x:c r="K376" s="10" t="str"/>
      <x:c r="L376" s="10" t="str"/>
      <x:c r="M376" s="10" t="str">
        <x:v>The twin transition—green and digital—is a European Commission priority.</x:v>
      </x:c>
      <x:c r="N376" s="10" t="str">
        <x:v>Method contribution for understanding the future of Strand A (scenario building); suitable context: research, innovation.</x:v>
      </x:c>
      <x:c r="O376" s="10" t="str"/>
      <x:c r="P376" s="10" t="str"/>
      <x:c r="Q376" s="10" t="str"/>
      <x:c r="R376" s="10" t="str">
        <x:v>2026-08-23T10:57Z</x:v>
      </x:c>
      <x:c r="S376" s="10" t="str">
        <x:v>https://doi.org/10.17645/pag.12281</x:v>
      </x:c>
    </x:row>
    <x:row r="377">
      <x:c r="A377" s="10" t="n">
        <x:f>'Ranked sources'!B377</x:f>
        <x:v>76</x:v>
      </x:c>
      <x:c r="B377" s="10" t="str">
        <x:v>AgentProphet: Source-Aware Multi-Agent Emerging Technology Forecasting for Upstream Decision-Making in AI-Based IoT Systems</x:v>
      </x:c>
      <x:c r="C377" s="10" t="str">
        <x:v>2026-07-06</x:v>
      </x:c>
      <x:c r="D377" s="10" t="str">
        <x:v>B</x:v>
      </x:c>
      <x:c r="E377" s="10" t="str">
        <x:v>Applied Sciences</x:v>
      </x:c>
      <x:c r="F377" s="10" t="str">
        <x:v>Taorui Chen, Huan Wang, Kai Guo</x:v>
      </x:c>
      <x:c r="G377" s="10" t="str">
        <x:v>peer-reviewed article</x:v>
      </x:c>
      <x:c r="H377" s="10" t="str">
        <x:v>Tier 2 broad journal</x:v>
      </x:c>
      <x:c r="I377" s="10" t="str">
        <x:v>derived</x:v>
      </x:c>
      <x:c r="J377" s="10" t="str"/>
      <x:c r="K377" s="10" t="str"/>
      <x:c r="L377" s="10" t="str"/>
      <x:c r="M377" s="10" t="str">
        <x:v>This paper proposes AgentProphet, a source-aware multi-agent framework for emerging AI technology forecasting in AI-based IoT systems. AgentProphet: Source-Aware Multi-Agent Emerging Technology Forecasting for Upstream Decision-Making in AI-Based IoT Systems. AI-based internet of things (IoT) systems increasingly require upstream decision-making mechanisms to identify emerging technologies that may shape future sensing–memory–communication–computation capabilities (SMCC).</x:v>
      </x:c>
      <x:c r="N377" s="10" t="str">
        <x:v>Method contribution for understanding the future of Strand A (technology forecasting); suitable context: technology, policy.</x:v>
      </x:c>
      <x:c r="O377" s="10" t="str"/>
      <x:c r="P377" s="10" t="str"/>
      <x:c r="Q377" s="10" t="str"/>
      <x:c r="R377" s="10" t="str">
        <x:v>2026-08-23T15:42Z</x:v>
      </x:c>
      <x:c r="S377" s="10" t="str">
        <x:v>https://doi.org/10.3390/app16136787</x:v>
      </x:c>
    </x:row>
    <x:row r="378">
      <x:c r="A378" s="10" t="n">
        <x:f>'Ranked sources'!B378</x:f>
        <x:v>76</x:v>
      </x:c>
      <x:c r="B378" s="10" t="str">
        <x:v>A Data-Driven Roadmapping Framework for Resilient Disaster Management</x:v>
      </x:c>
      <x:c r="C378" s="10" t="str">
        <x:v>2026-05-12</x:v>
      </x:c>
      <x:c r="D378" s="10" t="str">
        <x:v>B</x:v>
      </x:c>
      <x:c r="E378" s="10" t="str">
        <x:v>Journal of Innovation Management</x:v>
      </x:c>
      <x:c r="F378" s="10" t="str">
        <x:v>Dilek Çetindamar, Youngjung Geum, Robert Phaal</x:v>
      </x:c>
      <x:c r="G378" s="10" t="str">
        <x:v>peer-reviewed article</x:v>
      </x:c>
      <x:c r="H378" s="10" t="str">
        <x:v>Tier 2 broad journal</x:v>
      </x:c>
      <x:c r="I378" s="10" t="str">
        <x:v>derived</x:v>
      </x:c>
      <x:c r="J378" s="10" t="str"/>
      <x:c r="K378" s="10" t="str"/>
      <x:c r="L378" s="10" t="str"/>
      <x:c r="M378" s="10" t="str">
        <x:v>A Data-Driven Roadmapping Framework for Resilient Disaster Management.</x:v>
      </x:c>
      <x:c r="N378" s="10" t="str">
        <x:v>Method contribution for understanding the future of Strand A (roadmapping); suitable context: research, innovation.</x:v>
      </x:c>
      <x:c r="O378" s="10" t="str"/>
      <x:c r="P378" s="10" t="str"/>
      <x:c r="Q378" s="10" t="str"/>
      <x:c r="R378" s="10" t="str">
        <x:v>2026-08-23T10:57Z</x:v>
      </x:c>
      <x:c r="S378" s="10" t="str">
        <x:v>https://doi.org/10.24840/2183-0606_014.001_0001</x:v>
      </x:c>
    </x:row>
    <x:row r="379">
      <x:c r="A379" s="10" t="n">
        <x:f>'Ranked sources'!B379</x:f>
        <x:v>76</x:v>
      </x:c>
      <x:c r="B379" s="10" t="str">
        <x:v>Macrohistorical Cycle Synchronization as a Method for Long‐Range Foresight: The Ten Mega Epochs Model</x:v>
      </x:c>
      <x:c r="C379" s="10" t="str">
        <x:v>2026-05-04</x:v>
      </x:c>
      <x:c r="D379" s="10" t="str">
        <x:v>B</x:v>
      </x:c>
      <x:c r="E379" s="10" t="str">
        <x:v>FUTURES &amp; FORESIGHT SCIENCE</x:v>
      </x:c>
      <x:c r="F379" s="10" t="str">
        <x:v>Tuomo Kuosa</x:v>
      </x:c>
      <x:c r="G379" s="10" t="str">
        <x:v>peer-reviewed article</x:v>
      </x:c>
      <x:c r="H379" s="10" t="str">
        <x:v>Tier 2 comparable</x:v>
      </x:c>
      <x:c r="I379" s="10" t="str">
        <x:v>derived</x:v>
      </x:c>
      <x:c r="J379" s="10" t="str"/>
      <x:c r="K379" s="10" t="str"/>
      <x:c r="L379" s="10" t="str"/>
      <x:c r="M379" s="10" t="str">
        <x:v>This article introduces macrohistorical cycle synchronization as a foresight methodology for analysing such deep‐time transformations. The method extends strategic foresight beyond near‐term trend analysis toward a science of long‐range anticipation, linking techno‐social‐economical transformation, institutional evolution, and civilisational renewal in a single temporal framework. Macrohistorical Cycle Synchronization as a Method for Long‐Range Foresight: The Ten Mega Epochs Model.</x:v>
      </x:c>
      <x:c r="N379" s="10" t="str">
        <x:v>Method contribution for understanding the future of Strand A (strategic foresight, foresight methodology); suitable context: research, science.</x:v>
      </x:c>
      <x:c r="O379" s="10" t="str"/>
      <x:c r="P379" s="10" t="str"/>
      <x:c r="Q379" s="10" t="str"/>
      <x:c r="R379" s="10" t="str">
        <x:v>2026-08-23T10:57Z</x:v>
      </x:c>
      <x:c r="S379" s="10" t="str">
        <x:v>https://doi.org/10.1002/ffo2.70042</x:v>
      </x:c>
    </x:row>
    <x:row r="380">
      <x:c r="A380" s="10" t="n">
        <x:f>'Ranked sources'!B380</x:f>
        <x:v>76</x:v>
      </x:c>
      <x:c r="B380" s="10" t="str">
        <x:v>New institutional economics outlook for uncovering frictions in implementing the new Philippine graduate education policy</x:v>
      </x:c>
      <x:c r="C380" s="10" t="str">
        <x:v>2026-05-01</x:v>
      </x:c>
      <x:c r="D380" s="10" t="str">
        <x:v>B</x:v>
      </x:c>
      <x:c r="E380" s="10" t="str">
        <x:v>Journal of Science and Technology Policy Management</x:v>
      </x:c>
      <x:c r="F380" s="10" t="str">
        <x:v>Lanndon Ocampo, Francisco Largo</x:v>
      </x:c>
      <x:c r="G380" s="10" t="str">
        <x:v>peer-reviewed article</x:v>
      </x:c>
      <x:c r="H380" s="10" t="str">
        <x:v>Tier 2 broad journal</x:v>
      </x:c>
      <x:c r="I380" s="10" t="str">
        <x:v>derived</x:v>
      </x:c>
      <x:c r="J380" s="10" t="str"/>
      <x:c r="K380" s="10" t="str"/>
      <x:c r="L380" s="10" t="str"/>
      <x:c r="M380" s="10" t="str">
        <x:v>Knowledge production is an essential component of economic growth.</x:v>
      </x:c>
      <x:c r="N380" s="10" t="str">
        <x:v>Method contribution for understanding the future of Strand A (strategic foresight); suitable context: research, policy.</x:v>
      </x:c>
      <x:c r="O380" s="10" t="str"/>
      <x:c r="P380" s="10" t="str"/>
      <x:c r="Q380" s="10" t="str"/>
      <x:c r="R380" s="10" t="str">
        <x:v>2026-08-23T10:57Z</x:v>
      </x:c>
      <x:c r="S380" s="10" t="str">
        <x:v>https://doi.org/10.1108/jstpm-06-2025-0285</x:v>
      </x:c>
    </x:row>
    <x:row r="381">
      <x:c r="A381" s="10" t="n">
        <x:f>'Ranked sources'!B381</x:f>
        <x:v>75</x:v>
      </x:c>
      <x:c r="B381" s="10" t="str">
        <x:v>India has an ambitious plan to lure scientists back — will it work? Initiatives to attract Indian researchers who are working abroad do not offer long-term income security, some scientists say. News | 01 SEP 2026</x:v>
      </x:c>
      <x:c r="C381" s="10" t="str">
        <x:v>2026-09-01</x:v>
      </x:c>
      <x:c r="D381" s="10" t="str">
        <x:v>C</x:v>
      </x:c>
      <x:c r="E381" s="10" t="str">
        <x:v>Nature</x:v>
      </x:c>
      <x:c r="F381" s="10" t="str"/>
      <x:c r="G381" s="10" t="str">
        <x:v>policy / strategy</x:v>
      </x:c>
      <x:c r="H381" s="10" t="str"/>
      <x:c r="I381" s="10" t="str"/>
      <x:c r="J381" s="10" t="str"/>
      <x:c r="K381" s="10" t="str"/>
      <x:c r="L381" s="10" t="str"/>
      <x:c r="M381" s="10" t="str">
        <x:v>India has an ambitious plan to lure scientists back — will it work?.</x:v>
      </x:c>
      <x:c r="N381" s="10" t="str">
        <x:v>This can change Europe's ability to attract, retain and circulate researchers, with direct effects on research capacity and competitiveness.</x:v>
      </x:c>
      <x:c r="O381" s="10" t="str"/>
      <x:c r="P381" s="10" t="str"/>
      <x:c r="Q381" s="10" t="str">
        <x:v>direct_top_journal_hub</x:v>
      </x:c>
      <x:c r="R381" s="10" t="str">
        <x:v>2026-09-01T23:09Z</x:v>
      </x:c>
      <x:c r="S381" s="10" t="str">
        <x:v>https://www.nature.com/articles/d41586-026-02636-9</x:v>
      </x:c>
    </x:row>
    <x:row r="382">
      <x:c r="A382" s="10" t="n">
        <x:f>'Ranked sources'!B382</x:f>
        <x:v>74</x:v>
      </x:c>
      <x:c r="B382" s="10" t="str">
        <x:v>Mapping Non-Monetary Values in Data Sharing: Development and Validation of an SSH Framework Across Sectors</x:v>
      </x:c>
      <x:c r="C382" s="10" t="str">
        <x:v>2026-05-26</x:v>
      </x:c>
      <x:c r="D382" s="10" t="str">
        <x:v>B</x:v>
      </x:c>
      <x:c r="E382" s="10" t="str">
        <x:v>Open Research Europe</x:v>
      </x:c>
      <x:c r="F382" s="10" t="str">
        <x:v>Margit Hofer, Daniela Fuchs, Eduardo Vyhmeister, Agnieszka Rausch</x:v>
      </x:c>
      <x:c r="G382" s="10" t="str">
        <x:v>peer-reviewed article</x:v>
      </x:c>
      <x:c r="H382" s="10" t="str">
        <x:v>Tier 2 broad journal</x:v>
      </x:c>
      <x:c r="I382" s="10" t="str">
        <x:v>derived</x:v>
      </x:c>
      <x:c r="J382" s="10" t="str"/>
      <x:c r="K382" s="10" t="str"/>
      <x:c r="L382" s="10" t="str"/>
      <x:c r="M382" s="10" t="str">
        <x:v>Background Data sharing is increasingly recognised as essential for innovation, sustainability.</x:v>
      </x:c>
      <x:c r="N382" s="10" t="str">
        <x:v>Method contribution for understanding the future of Strand A (backcasting); suitable context: research, science.</x:v>
      </x:c>
      <x:c r="O382" s="10" t="str"/>
      <x:c r="P382" s="10" t="str"/>
      <x:c r="Q382" s="10" t="str"/>
      <x:c r="R382" s="10" t="str">
        <x:v>2026-08-23T19:34Z</x:v>
      </x:c>
      <x:c r="S382" s="10" t="str">
        <x:v>https://doi.org/10.12688/openreseurope.23548.1</x:v>
      </x:c>
    </x:row>
    <x:row r="383">
      <x:c r="A383" s="10" t="n">
        <x:f>'Ranked sources'!B383</x:f>
        <x:v>71</x:v>
      </x:c>
      <x:c r="B383" s="10" t="str">
        <x:v>SEMI Europe | EU Policy Brief | April 2026</x:v>
      </x:c>
      <x:c r="C383" s="10" t="str">
        <x:v>2026-05-27</x:v>
      </x:c>
      <x:c r="D383" s="10" t="str">
        <x:v>A</x:v>
      </x:c>
      <x:c r="E383" s="10" t="str">
        <x:v>SEMI Europe</x:v>
      </x:c>
      <x:c r="F383" s="10" t="str">
        <x:v>SEMI Europe</x:v>
      </x:c>
      <x:c r="G383" s="10" t="str">
        <x:v>manual-verified scholarly/policy source</x:v>
      </x:c>
      <x:c r="H383" s="10" t="str">
        <x:v>Tier 3 specialist</x:v>
      </x:c>
      <x:c r="I383" s="10" t="str">
        <x:v>direct</x:v>
      </x:c>
      <x:c r="J383" s="10" t="str"/>
      <x:c r="K383" s="10" t="str"/>
      <x:c r="L383" s="10" t="str"/>
      <x:c r="M383" s="10" t="str">
        <x:v>The April policy brief tracks fast-moving EU semiconductor and industrial policy alongside US–EU critical-minerals coordination and tightening US chip controls, placing European chip capacity in a geopolitical policy cycle.</x:v>
      </x:c>
      <x:c r="N383" s="10" t="str">
        <x:v>Direct EU/European relevance verified in the underlying source; substantive R&amp;I mechanism and geopolitical/economic-security bridge verified by manual source review.</x:v>
      </x:c>
      <x:c r="O383" s="10" t="str">
        <x:v>infrastructure-C</x:v>
      </x:c>
      <x:c r="P383" s="10" t="str"/>
      <x:c r="Q383" s="10" t="str">
        <x:v>manual</x:v>
      </x:c>
      <x:c r="R383" s="10" t="n">
        <x:v>46261.277083333334</x:v>
      </x:c>
      <x:c r="S383" s="10" t="str">
        <x:v>https://www.semi.org/sites/semi.org/files/2026-05/European_Policy_Brief_April_%202026.pdf</x:v>
      </x:c>
    </x:row>
    <x:row r="384">
      <x:c r="A384" s="10" t="n">
        <x:f>'Ranked sources'!B384</x:f>
        <x:v>70</x:v>
      </x:c>
      <x:c r="B384" s="10" t="str">
        <x:v>A Multi-agent Approach to Technology Intelligence: From Patents to Market Signals with Large Language Models</x:v>
      </x:c>
      <x:c r="C384" s="10" t="str">
        <x:v>2026-08-25</x:v>
      </x:c>
      <x:c r="D384" s="10" t="str">
        <x:v>B</x:v>
      </x:c>
      <x:c r="E384" s="10" t="str">
        <x:v>European Conference on Knowledge Management</x:v>
      </x:c>
      <x:c r="F384" s="10" t="str">
        <x:v>Jan Černý</x:v>
      </x:c>
      <x:c r="G384" s="10" t="str">
        <x:v>peer-reviewed article</x:v>
      </x:c>
      <x:c r="H384" s="10" t="str">
        <x:v>Tier 2 broad journal</x:v>
      </x:c>
      <x:c r="I384" s="10" t="str">
        <x:v>derived</x:v>
      </x:c>
      <x:c r="J384" s="10" t="str"/>
      <x:c r="K384" s="10" t="str"/>
      <x:c r="L384" s="10" t="str"/>
      <x:c r="M384" s="10" t="str">
        <x:v>A Multi-agent Approach to Technology Intelligence: From Patents to Market Signals with Large Language Models.</x:v>
      </x:c>
      <x:c r="N384" s="10" t="str">
        <x:v>Method contribution for understanding the future of Strand A (technology intelligence); suitable context: technology, technological.</x:v>
      </x:c>
      <x:c r="O384" s="10" t="str"/>
      <x:c r="P384" s="10" t="str"/>
      <x:c r="Q384" s="10" t="str"/>
      <x:c r="R384" s="10" t="str">
        <x:v>2026-08-26T11:34Z</x:v>
      </x:c>
      <x:c r="S384" s="10" t="str">
        <x:v>https://doi.org/10.34190/eckm.27.1.5344</x:v>
      </x:c>
    </x:row>
    <x:row r="385">
      <x:c r="A385" s="10" t="n">
        <x:f>'Ranked sources'!B385</x:f>
        <x:v>70</x:v>
      </x:c>
      <x:c r="B385" s="10" t="str">
        <x:v>Forest pests on the move: Adapting horizon scanning methodology to assess climate-driven range expansion in forest pests</x:v>
      </x:c>
      <x:c r="C385" s="10" t="str">
        <x:v>2026-08-17</x:v>
      </x:c>
      <x:c r="D385" s="10" t="str">
        <x:v>B</x:v>
      </x:c>
      <x:c r="E385" s="10" t="str">
        <x:v>ARPHA Conference Abstracts</x:v>
      </x:c>
      <x:c r="F385" s="10" t="str">
        <x:v>Deah Lieurance, Annette Evans, Julie Lockwood, Cesilia Aguilar, Sofia Al-Shayeb, Coleman Earnest, Laura Meyerson, Alanna Richman, et al.</x:v>
      </x:c>
      <x:c r="G385" s="10" t="str">
        <x:v>peer-reviewed article</x:v>
      </x:c>
      <x:c r="H385" s="10" t="str">
        <x:v>Tier 2 broad journal</x:v>
      </x:c>
      <x:c r="I385" s="10" t="str">
        <x:v>derived</x:v>
      </x:c>
      <x:c r="J385" s="10" t="str"/>
      <x:c r="K385" s="10" t="str"/>
      <x:c r="L385" s="10" t="str"/>
      <x:c r="M385" s="10" t="str">
        <x:v>Horizon scanning is adapted to climate-driven forest-pest range expansion.</x:v>
      </x:c>
      <x:c r="N385" s="10" t="str">
        <x:v>Method contribution for understanding the future of Strand A (horizon scanning); suitable context: strategic/public-policy futures.</x:v>
      </x:c>
      <x:c r="O385" s="10" t="str"/>
      <x:c r="P385" s="10" t="str"/>
      <x:c r="Q385" s="10" t="str"/>
      <x:c r="R385" s="10" t="str">
        <x:v>2026-08-23T08:43Z</x:v>
      </x:c>
      <x:c r="S385" s="10" t="str">
        <x:v>https://doi.org/10.3897/aca.9.e202193</x:v>
      </x:c>
    </x:row>
    <x:row r="386">
      <x:c r="A386" s="10" t="n">
        <x:f>'Ranked sources'!B386</x:f>
        <x:v>70</x:v>
      </x:c>
      <x:c r="B386" s="10" t="str">
        <x:v>Chips Act 2.0, Part 1: Europe’s second semiconductor push</x:v>
      </x:c>
      <x:c r="C386" s="10" t="str">
        <x:v>2026-08-12</x:v>
      </x:c>
      <x:c r="D386" s="10" t="str">
        <x:v>A</x:v>
      </x:c>
      <x:c r="E386" s="10" t="str">
        <x:v>eeNews Europe</x:v>
      </x:c>
      <x:c r="F386" s="10" t="str">
        <x:v>eeNews Europe</x:v>
      </x:c>
      <x:c r="G386" s="10" t="str">
        <x:v>manual-verified scholarly/policy source</x:v>
      </x:c>
      <x:c r="H386" s="10" t="str">
        <x:v>Tier 2 comparable</x:v>
      </x:c>
      <x:c r="I386" s="10" t="str">
        <x:v>direct</x:v>
      </x:c>
      <x:c r="J386" s="10" t="str"/>
      <x:c r="K386" s="10" t="str"/>
      <x:c r="L386" s="10" t="str"/>
      <x:c r="M386" s="10" t="str">
        <x:v>Chips Act 2.0, Part 1: Europe’s second semiconductor push.</x:v>
      </x:c>
      <x:c r="N386"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386" s="10" t="str">
        <x:v>rules-D</x:v>
      </x:c>
      <x:c r="P386" s="10" t="str"/>
      <x:c r="Q386" s="10" t="str">
        <x:v>manual</x:v>
      </x:c>
      <x:c r="R386" s="10" t="str">
        <x:v>2026-08-26T09:42Z</x:v>
      </x:c>
      <x:c r="S386" s="10" t="str">
        <x:v>https://www.eenewseurope.com/en/chips-act-2-europe-second-semiconductor-push/</x:v>
      </x:c>
    </x:row>
    <x:row r="387">
      <x:c r="A387" s="10" t="n">
        <x:f>'Ranked sources'!B387</x:f>
        <x:v>70</x:v>
      </x:c>
      <x:c r="B387" s="10" t="str">
        <x:v>Design and Application of Weak Signal Detection Method Based on the Four-Dimensional Bistable Stochastic Resonance System</x:v>
      </x:c>
      <x:c r="C387" s="10" t="str">
        <x:v>2026-07-18</x:v>
      </x:c>
      <x:c r="D387" s="10" t="str">
        <x:v>B</x:v>
      </x:c>
      <x:c r="E387" s="10" t="str">
        <x:v>Fluctuation and Noise Letters</x:v>
      </x:c>
      <x:c r="F387" s="10" t="str">
        <x:v>Qi Chen, Wenxin Yu</x:v>
      </x:c>
      <x:c r="G387" s="10" t="str">
        <x:v>peer-reviewed article</x:v>
      </x:c>
      <x:c r="H387" s="10" t="str">
        <x:v>Tier 2 broad journal</x:v>
      </x:c>
      <x:c r="I387" s="10" t="str">
        <x:v>derived</x:v>
      </x:c>
      <x:c r="J387" s="10" t="str"/>
      <x:c r="K387" s="10" t="str"/>
      <x:c r="L387" s="10" t="str"/>
      <x:c r="M387" s="10" t="str">
        <x:v>Weak-signal methods can detect early strategic change before it becomes an established trend.</x:v>
      </x:c>
      <x:c r="N387" s="10" t="str">
        <x:v>Method contribution for understanding the future of Strand A (weak signal detection); suitable context: research.</x:v>
      </x:c>
      <x:c r="O387" s="10" t="str"/>
      <x:c r="P387" s="10" t="str"/>
      <x:c r="Q387" s="10" t="str"/>
      <x:c r="R387" s="10" t="str">
        <x:v>2026-08-23T18:12Z</x:v>
      </x:c>
      <x:c r="S387" s="10" t="str">
        <x:v>https://doi.org/10.1142/s0219477526500525</x:v>
      </x:c>
    </x:row>
    <x:row r="388">
      <x:c r="A388" s="10" t="n">
        <x:f>'Ranked sources'!B388</x:f>
        <x:v>70</x:v>
      </x:c>
      <x:c r="B388" s="10" t="str">
        <x:v>Does Europe Really Have a Plan for Tech Sovereignty? Tech Policy Press (AI hype and European policymaking series)</x:v>
      </x:c>
      <x:c r="C388" s="10" t="str">
        <x:v>2026-06-29</x:v>
      </x:c>
      <x:c r="D388" s="10" t="str">
        <x:v>A</x:v>
      </x:c>
      <x:c r="E388" s="10" t="str">
        <x:v>Tech Policy Press</x:v>
      </x:c>
      <x:c r="F388" s="10" t="str">
        <x:v>Cecilia Rikap</x:v>
      </x:c>
      <x:c r="G388" s="10" t="str">
        <x:v>manual-verified scholarly/policy source</x:v>
      </x:c>
      <x:c r="H388" s="10" t="str">
        <x:v>Tier 2 comparable</x:v>
      </x:c>
      <x:c r="I388" s="10" t="str">
        <x:v>direct</x:v>
      </x:c>
      <x:c r="J388" s="10" t="str"/>
      <x:c r="K388" s="10" t="str"/>
      <x:c r="L388" s="10" t="str"/>
      <x:c r="M388" s="10" t="str">
        <x:v>Does Europe Really Have a Plan for Tech Sovereignty? Tech Policy Press (AI hype and European policymaking series).</x:v>
      </x:c>
      <x:c r="N388" s="10" t="str">
        <x:v>Direct EU relevance (reviewed underlying source establishes EU/European scope); R&amp;I evidence: reviewed underlying source establishes substantive R&amp;I mechanism; strategic evidence: reviewed underlying source establishes geopolitical/economic-security mechanism; bridge: reviewed_source.</x:v>
      </x:c>
      <x:c r="O388" s="10" t="str"/>
      <x:c r="P388" s="10" t="str"/>
      <x:c r="Q388" s="10" t="str">
        <x:v>manual</x:v>
      </x:c>
      <x:c r="R388" s="10" t="str">
        <x:v>2026-08-25T09:39Z</x:v>
      </x:c>
      <x:c r="S388" s="10" t="str">
        <x:v>https://www.techpolicy.press/does-europe-really-have-a-plan-for-tech-sovereignty/</x:v>
      </x:c>
    </x:row>
    <x:row r="389">
      <x:c r="A389" s="10" t="n">
        <x:f>'Ranked sources'!B389</x:f>
        <x:v>70</x:v>
      </x:c>
      <x:c r="B389" s="10" t="str">
        <x:v>Doctoral collaboration with society: Drivers, success factors and ways forward</x:v>
      </x:c>
      <x:c r="C389" s="10" t="str">
        <x:v>2026-06-18</x:v>
      </x:c>
      <x:c r="D389" s="10" t="str">
        <x:v>A</x:v>
      </x:c>
      <x:c r="E389" s="10" t="str">
        <x:v>European University Association</x:v>
      </x:c>
      <x:c r="F389" s="10" t="str">
        <x:v>Katerina Topalidou</x:v>
      </x:c>
      <x:c r="G389" s="10" t="str">
        <x:v>institutional report</x:v>
      </x:c>
      <x:c r="H389" s="10" t="str">
        <x:v>Tier 1</x:v>
      </x:c>
      <x:c r="I389" s="10" t="str">
        <x:v>direct</x:v>
      </x:c>
      <x:c r="J389" s="10" t="str">
        <x:v>european commission; european research area; european union; member state</x:v>
      </x:c>
      <x:c r="K389" s="10" t="str">
        <x:v>european research area; research excellence; innovation ecosystem; doctoral candidates</x:v>
      </x:c>
      <x:c r="L389" s="10" t="str">
        <x:v>geopolit</x:v>
      </x:c>
      <x:c r="M389" s="10" t="str">
        <x:v>Doctoral collaboration with society: Drivers, success factors and ways forward.</x:v>
      </x:c>
      <x:c r="N389" s="10" t="str">
        <x:v>Direct European/EU relevance (european commission, european research area); R&amp;I evidence: european research area, research excellence; strategic evidence: geopolit; bridge: title/abstract.</x:v>
      </x:c>
      <x:c r="O389" s="10" t="str"/>
      <x:c r="P389" s="10" t="str"/>
      <x:c r="Q389" s="10" t="str"/>
      <x:c r="R389" s="10" t="str">
        <x:v>2026-09-01T09:06Z</x:v>
      </x:c>
      <x:c r="S389" s="10" t="str">
        <x:v>https://eua.eu/images/publications/Publication_PDFs/CDE_TPG_Report_Doctoral_collaboration_with_society_online.pdf</x:v>
      </x:c>
    </x:row>
    <x:row r="390">
      <x:c r="A390" s="10" t="n">
        <x:f>'Ranked sources'!B390</x:f>
        <x:v>70</x:v>
      </x:c>
      <x:c r="B390" s="10" t="str">
        <x:v>Strategic Leadership in Multinational FMCG Corporations: Managing Regional Market Complexity in Emerging Economies</x:v>
      </x:c>
      <x:c r="C390" s="10" t="str">
        <x:v>2026-06-01</x:v>
      </x:c>
      <x:c r="D390" s="10" t="str">
        <x:v>B</x:v>
      </x:c>
      <x:c r="E390" s="10" t="str">
        <x:v>Research Journal in Business and Economics</x:v>
      </x:c>
      <x:c r="F390" s="10" t="str">
        <x:v>Konstantin Yakimov</x:v>
      </x:c>
      <x:c r="G390" s="10" t="str">
        <x:v>peer-reviewed article</x:v>
      </x:c>
      <x:c r="H390" s="10" t="str">
        <x:v>Tier 2 broad journal</x:v>
      </x:c>
      <x:c r="I390" s="10" t="str">
        <x:v>derived</x:v>
      </x:c>
      <x:c r="J390" s="10" t="str"/>
      <x:c r="K390" s="10" t="str"/>
      <x:c r="L390" s="10" t="str"/>
      <x:c r="M390" s="10" t="str">
        <x:v>This research proposes a new model called the Adaptive Regional Complexity Leadership Model (ARCLM), combining strategic foresight, glocal execution, and agile orchestration. Strategic Leadership in Multinational FMCG Corporations: Managing Regional Market Complexity in Emerging Economies. The original study explores the impact of strategic leadership within multinational FMCG firms on successful handling of regional market complexity within emerging economies.</x:v>
      </x:c>
      <x:c r="N390" s="10" t="str">
        <x:v>Method contribution for understanding the future of Strand A (strategic foresight); suitable context: research.</x:v>
      </x:c>
      <x:c r="O390" s="10" t="str"/>
      <x:c r="P390" s="10" t="str"/>
      <x:c r="Q390" s="10" t="str"/>
      <x:c r="R390" s="10" t="str">
        <x:v>2026-08-23T18:51Z</x:v>
      </x:c>
      <x:c r="S390" s="10" t="str">
        <x:v>https://doi.org/10.61424/rjbe.v4i2.889</x:v>
      </x:c>
    </x:row>
    <x:row r="391">
      <x:c r="A391" s="10" t="n">
        <x:f>'Ranked sources'!B391</x:f>
        <x:v>70</x:v>
      </x:c>
      <x:c r="B391" s="10" t="str">
        <x:v>Transformative pathways toward just and sustainable urban mobility in Kampala: A backcasting and adaptation approach</x:v>
      </x:c>
      <x:c r="C391" s="10" t="str">
        <x:v>2026-06-01</x:v>
      </x:c>
      <x:c r="D391" s="10" t="str">
        <x:v>B</x:v>
      </x:c>
      <x:c r="E391" s="10" t="str">
        <x:v>Journal of Urban Mobility</x:v>
      </x:c>
      <x:c r="F391" s="10" t="str">
        <x:v>Calvin Rapa, Emmanuel Tolulope Busayo</x:v>
      </x:c>
      <x:c r="G391" s="10" t="str">
        <x:v>peer-reviewed article</x:v>
      </x:c>
      <x:c r="H391" s="10" t="str">
        <x:v>Tier 2 broad journal</x:v>
      </x:c>
      <x:c r="I391" s="10" t="str">
        <x:v>derived</x:v>
      </x:c>
      <x:c r="J391" s="10" t="str"/>
      <x:c r="K391" s="10" t="str"/>
      <x:c r="L391" s="10" t="str"/>
      <x:c r="M391" s="10" t="str">
        <x:v>Backcasting maps pathways toward just and sustainable urban mobility.</x:v>
      </x:c>
      <x:c r="N391" s="10" t="str">
        <x:v>Method contribution for understanding the future of Strand A (backcasting); suitable context: strategic/public-policy futures.</x:v>
      </x:c>
      <x:c r="O391" s="10" t="str"/>
      <x:c r="P391" s="10" t="str"/>
      <x:c r="Q391" s="10" t="str"/>
      <x:c r="R391" s="10" t="str">
        <x:v>2026-08-23T21:11Z</x:v>
      </x:c>
      <x:c r="S391" s="10" t="str">
        <x:v>https://doi.org/10.1016/j.urbmob.2026.100236</x:v>
      </x:c>
    </x:row>
    <x:row r="392">
      <x:c r="A392" s="10" t="n">
        <x:f>'Ranked sources'!B392</x:f>
        <x:v>70</x:v>
      </x:c>
      <x:c r="B392" s="10" t="str">
        <x:v>A sectoral strategic roadmapping framework for combining regulatory and industry perspectives: the case of Advanced Air Mobility in Canada</x:v>
      </x:c>
      <x:c r="C392" s="10" t="str">
        <x:v>2026-05-28</x:v>
      </x:c>
      <x:c r="D392" s="10" t="str">
        <x:v>B</x:v>
      </x:c>
      <x:c r="E392" s="10" t="str">
        <x:v>Aviation</x:v>
      </x:c>
      <x:c r="F392" s="10" t="str">
        <x:v>Jeremy Laplante, Fabiano Armellini, Isabelle Deschamps</x:v>
      </x:c>
      <x:c r="G392" s="10" t="str">
        <x:v>peer-reviewed article</x:v>
      </x:c>
      <x:c r="H392" s="10" t="str">
        <x:v>Tier 2 broad journal</x:v>
      </x:c>
      <x:c r="I392" s="10" t="str">
        <x:v>derived</x:v>
      </x:c>
      <x:c r="J392" s="10" t="str"/>
      <x:c r="K392" s="10" t="str"/>
      <x:c r="L392" s="10" t="str"/>
      <x:c r="M392" s="10" t="str">
        <x:v>And economic ones, using the S-PLAN framework to identify important strat.</x:v>
      </x:c>
      <x:c r="N392" s="10" t="str">
        <x:v>Method contribution for understanding the future of Strand A (roadmapping); suitable context: research, technological.</x:v>
      </x:c>
      <x:c r="O392" s="10" t="str"/>
      <x:c r="P392" s="10" t="str"/>
      <x:c r="Q392" s="10" t="str"/>
      <x:c r="R392" s="10" t="str">
        <x:v>2026-08-23T18:22Z</x:v>
      </x:c>
      <x:c r="S392" s="10" t="str">
        <x:v>https://doi.org/10.3846/aviation.2026.26878</x:v>
      </x:c>
    </x:row>
    <x:row r="393">
      <x:c r="A393" s="10" t="n">
        <x:f>'Ranked sources'!B393</x:f>
        <x:v>70</x:v>
      </x:c>
      <x:c r="B393" s="10" t="str">
        <x:v>EU Defence Series: European Autonomy in Orbit</x:v>
      </x:c>
      <x:c r="C393" s="10" t="str">
        <x:v>2026-05-26</x:v>
      </x:c>
      <x:c r="D393" s="10" t="str">
        <x:v>A</x:v>
      </x:c>
      <x:c r="E393" s="10" t="str">
        <x:v>International Centre for Defence and Security (ICDS)</x:v>
      </x:c>
      <x:c r="F393" s="10" t="str">
        <x:v>Béatrice Hainaut</x:v>
      </x:c>
      <x:c r="G393" s="10" t="str">
        <x:v>manual-verified scholarly/policy source</x:v>
      </x:c>
      <x:c r="H393" s="10" t="str">
        <x:v>Tier 2 comparable</x:v>
      </x:c>
      <x:c r="I393" s="10" t="str">
        <x:v>direct</x:v>
      </x:c>
      <x:c r="J393" s="10" t="str"/>
      <x:c r="K393" s="10" t="str"/>
      <x:c r="L393" s="10" t="str"/>
      <x:c r="M393" s="10" t="str">
        <x:v>European states rely heavily on US and commercial space capabilities for security and economic functions.</x:v>
      </x:c>
      <x:c r="N393" s="10" t="str">
        <x:v>Direct EU/European relevance verified in the underlying source; substantive R&amp;I mechanism and geopolitical/economic-security bridge verified by manual source review.</x:v>
      </x:c>
      <x:c r="O393" s="10" t="str">
        <x:v>infrastructure-C</x:v>
      </x:c>
      <x:c r="P393" s="10" t="str"/>
      <x:c r="Q393" s="10" t="str">
        <x:v>manual</x:v>
      </x:c>
      <x:c r="R393" s="10" t="n">
        <x:v>46261.277083333334</x:v>
      </x:c>
      <x:c r="S393" s="10" t="str">
        <x:v>https://icds.ee/en/eu-defence-series-european-autonomy-in-orbit/</x:v>
      </x:c>
    </x:row>
    <x:row r="394">
      <x:c r="A394" s="10" t="n">
        <x:f>'Ranked sources'!B394</x:f>
        <x:v>70</x:v>
      </x:c>
      <x:c r="B394" s="10" t="str">
        <x:v>Scientific foundations of Horizon Scanning methodology for early signal identification in healthcare</x:v>
      </x:c>
      <x:c r="C394" s="10" t="str">
        <x:v>2026-05-26</x:v>
      </x:c>
      <x:c r="D394" s="10" t="str">
        <x:v>B</x:v>
      </x:c>
      <x:c r="E394" s="10" t="str">
        <x:v>Farmatsevtychnyi zhurnal</x:v>
      </x:c>
      <x:c r="F394" s="10" t="str">
        <x:v>M. P. Martynchuk, K. L. Kosiachenko</x:v>
      </x:c>
      <x:c r="G394" s="10" t="str">
        <x:v>peer-reviewed article</x:v>
      </x:c>
      <x:c r="H394" s="10" t="str">
        <x:v>Tier 2 broad journal</x:v>
      </x:c>
      <x:c r="I394" s="10" t="str">
        <x:v>derived</x:v>
      </x:c>
      <x:c r="J394" s="10" t="str"/>
      <x:c r="K394" s="10" t="str"/>
      <x:c r="L394" s="10" t="str"/>
      <x:c r="M394" s="10" t="str">
        <x:v>Horizon scanning methods are developed for early-signal identification.</x:v>
      </x:c>
      <x:c r="N394" s="10" t="str">
        <x:v>Method contribution for understanding the future of Strand A (horizon scanning); suitable context: research, innovation.</x:v>
      </x:c>
      <x:c r="O394" s="10" t="str"/>
      <x:c r="P394" s="10" t="str"/>
      <x:c r="Q394" s="10" t="str"/>
      <x:c r="R394" s="10" t="str">
        <x:v>2026-08-23T18:12Z</x:v>
      </x:c>
      <x:c r="S394" s="10" t="str">
        <x:v>https://doi.org/10.32352/0367-3057.3.26.03</x:v>
      </x:c>
    </x:row>
    <x:row r="395">
      <x:c r="A395" s="10" t="n">
        <x:f>'Ranked sources'!B395</x:f>
        <x:v>70</x:v>
      </x:c>
      <x:c r="B395" s="10" t="str">
        <x:v>THE IMPORTANCE OF FORESIGHT METHODS IN DEVELOPING ECO-FORESIGHT COMPETENCE OF FUTURE ECOLOGISTS</x:v>
      </x:c>
      <x:c r="C395" s="10" t="str">
        <x:v>2026-05-14</x:v>
      </x:c>
      <x:c r="D395" s="10" t="str">
        <x:v>B</x:v>
      </x:c>
      <x:c r="E395" s="10" t="str">
        <x:v>Advances in Science and Environment</x:v>
      </x:c>
      <x:c r="F395" s="10" t="str">
        <x:v>Shomurotov Bahrom Khusanovich, Safarov Anvar Abdinazarovich, Jonqobilov Bektemir Ulug’murodovich</x:v>
      </x:c>
      <x:c r="G395" s="10" t="str">
        <x:v>peer-reviewed article</x:v>
      </x:c>
      <x:c r="H395" s="10" t="str">
        <x:v>Tier 2 broad journal</x:v>
      </x:c>
      <x:c r="I395" s="10" t="str">
        <x:v>derived</x:v>
      </x:c>
      <x:c r="J395" s="10" t="str"/>
      <x:c r="K395" s="10" t="str"/>
      <x:c r="L395" s="10" t="str"/>
      <x:c r="M395" s="10" t="str">
        <x:v>THE IMPORTANCE OF FORESIGHT METHODS IN DEVELOPING ECO-FORESIGHT COMPETENCE OF FUTURE ECOLOGISTS.</x:v>
      </x:c>
      <x:c r="N395" s="10" t="str">
        <x:v>Method contribution for understanding the future of Strand A (foresight method, foresight methods); suitable context: research.</x:v>
      </x:c>
      <x:c r="O395" s="10" t="str"/>
      <x:c r="P395" s="10" t="str"/>
      <x:c r="Q395" s="10" t="str"/>
      <x:c r="R395" s="10" t="str">
        <x:v>2026-08-23T10:57Z</x:v>
      </x:c>
      <x:c r="S395" s="10" t="str">
        <x:v>https://doi.org/10.70728/envire.v02.i08.008</x:v>
      </x:c>
    </x:row>
    <x:row r="396">
      <x:c r="A396" s="10" t="n">
        <x:f>'Ranked sources'!B396</x:f>
        <x:v>69</x:v>
      </x:c>
      <x:c r="B396" s="10" t="str">
        <x:v>Commission appoints Maive Rute as Deputy Director-General of the Joint Research Centre</x:v>
      </x:c>
      <x:c r="C396" s="10" t="str">
        <x:v>2026-09-01</x:v>
      </x:c>
      <x:c r="D396" s="10" t="str">
        <x:v>A</x:v>
      </x:c>
      <x:c r="E396" s="10" t="str">
        <x:v>ERA Portal Austria</x:v>
      </x:c>
      <x:c r="F396" s="10" t="str">
        <x:v>ERA Portal Austria</x:v>
      </x:c>
      <x:c r="G396" s="10" t="str">
        <x:v>research/policy paper</x:v>
      </x:c>
      <x:c r="H396" s="10" t="str">
        <x:v>Tier 1</x:v>
      </x:c>
      <x:c r="I396" s="10" t="str">
        <x:v>direct</x:v>
      </x:c>
      <x:c r="J396" s="10" t="str">
        <x:v>joint research centre</x:v>
      </x:c>
      <x:c r="K396" s="10" t="str">
        <x:v>european research area</x:v>
      </x:c>
      <x:c r="L396" s="10" t="str"/>
      <x:c r="M396" s="10" t="str">
        <x:v>Commission appoints Maive Rute as Deputy Director-General of the Joint Research Centre.</x:v>
      </x:c>
      <x:c r="N396" s="10" t="str">
        <x:v>Direct European/EU relevance (joint research centre); R&amp;I evidence: european research area; strategic significance is not explicit in the source and should be assessed as a possible longer-run implication.</x:v>
      </x:c>
      <x:c r="O396" s="10" t="str"/>
      <x:c r="P396" s="10" t="str"/>
      <x:c r="Q396" s="10" t="str"/>
      <x:c r="R396" s="10" t="str">
        <x:v>2026-09-01T12:05Z</x:v>
      </x:c>
      <x:c r="S396" s="10" t="str">
        <x:v>https://era.gv.at/news-items/commission-appoints-maive-rute-as-deputy-director-general-of-the-joint-research-centre/</x:v>
      </x:c>
    </x:row>
    <x:row r="397">
      <x:c r="A397" s="10" t="n">
        <x:f>'Ranked sources'!B397</x:f>
        <x:v>69</x:v>
      </x:c>
      <x:c r="B397" s="10" t="str">
        <x:v>EC launches call for evidence or future EIT Regulation and Strategic Innovation Agenda (2028-2034)</x:v>
      </x:c>
      <x:c r="C397" s="10" t="str">
        <x:v>2026-08-12</x:v>
      </x:c>
      <x:c r="D397" s="10" t="str">
        <x:v>A</x:v>
      </x:c>
      <x:c r="E397" s="10" t="str">
        <x:v>ERA Portal Austria</x:v>
      </x:c>
      <x:c r="F397" s="10" t="str">
        <x:v>ERA Portal Austria</x:v>
      </x:c>
      <x:c r="G397" s="10" t="str">
        <x:v>research/policy paper</x:v>
      </x:c>
      <x:c r="H397" s="10" t="str">
        <x:v>Tier 1</x:v>
      </x:c>
      <x:c r="I397" s="10" t="str">
        <x:v>direct</x:v>
      </x:c>
      <x:c r="J397" s="10" t="str">
        <x:v>european research area</x:v>
      </x:c>
      <x:c r="K397" s="10" t="str">
        <x:v>european research area; innovation ecosystem; innovation capacity; research organisation</x:v>
      </x:c>
      <x:c r="L397" s="10" t="str"/>
      <x:c r="M397" s="10" t="str">
        <x:v>EC launches call for evidence or future EIT Regulation and Strategic Innovation Agenda (2028-2034).</x:v>
      </x:c>
      <x:c r="N397" s="10" t="str">
        <x:v>Direct European/EU relevance (european research area); R&amp;I evidence: european research area, innovation ecosystem; strategic significance is not explicit in the source and should be assessed as a possible longer-run implication.</x:v>
      </x:c>
      <x:c r="O397" s="10" t="str">
        <x:v>rules-A</x:v>
      </x:c>
      <x:c r="P397" s="10" t="str"/>
      <x:c r="Q397" s="10" t="str"/>
      <x:c r="R397" s="10" t="str">
        <x:v>2026-09-01T15:59Z</x:v>
      </x:c>
      <x:c r="S397" s="10" t="str">
        <x:v>https://era.gv.at/news-items/ec-launches-call-for-evidence-or-future-eit-regulation-and-strategic-innovation-agenda-2028-2034/</x:v>
      </x:c>
    </x:row>
    <x:row r="398">
      <x:c r="A398" s="10" t="n">
        <x:f>'Ranked sources'!B398</x:f>
        <x:v>69</x:v>
      </x:c>
      <x:c r="B398" s="10" t="str">
        <x:v>EACEA publishes two reports highlighting higher education reform in EU partner countries</x:v>
      </x:c>
      <x:c r="C398" s="10" t="str">
        <x:v>2026-07-29</x:v>
      </x:c>
      <x:c r="D398" s="10" t="str">
        <x:v>A</x:v>
      </x:c>
      <x:c r="E398" s="10" t="str">
        <x:v>ERA Portal Austria</x:v>
      </x:c>
      <x:c r="F398" s="10" t="str">
        <x:v>ERA Portal Austria</x:v>
      </x:c>
      <x:c r="G398" s="10" t="str">
        <x:v>research/policy paper</x:v>
      </x:c>
      <x:c r="H398" s="10" t="str">
        <x:v>Tier 1</x:v>
      </x:c>
      <x:c r="I398" s="10" t="str">
        <x:v>direct</x:v>
      </x:c>
      <x:c r="J398" s="10" t="str">
        <x:v>EU</x:v>
      </x:c>
      <x:c r="K398" s="10" t="str">
        <x:v>european research area</x:v>
      </x:c>
      <x:c r="L398" s="10" t="str"/>
      <x:c r="M398" s="10" t="str">
        <x:v>EACEA publishes two reports highlighting higher education reform in EU partner countries.</x:v>
      </x:c>
      <x:c r="N398" s="10" t="str">
        <x:v>Direct European/EU relevance (EU); R&amp;I evidence: european research area; strategic significance is not explicit in the source and should be assessed as a possible longer-run implication.</x:v>
      </x:c>
      <x:c r="O398" s="10" t="str"/>
      <x:c r="P398" s="10" t="str"/>
      <x:c r="Q398" s="10" t="str"/>
      <x:c r="R398" s="10" t="str">
        <x:v>2026-09-01T15:59Z</x:v>
      </x:c>
      <x:c r="S398" s="10" t="str">
        <x:v>https://era.gv.at/news-items/eacea-publishes-two-reports-highlighting-higher-education-reform-in-eu-partner-countries/</x:v>
      </x:c>
    </x:row>
    <x:row r="399">
      <x:c r="A399" s="10" t="n">
        <x:f>'Ranked sources'!B399</x:f>
        <x:v>69</x:v>
      </x:c>
      <x:c r="B399" s="10" t="str">
        <x:v>European Research Ministers discuss how to maximise R&amp;I contribution to improve Europe’s competitiveness, security and prosperity</x:v>
      </x:c>
      <x:c r="C399" s="10" t="str">
        <x:v>2026-07-21</x:v>
      </x:c>
      <x:c r="D399" s="10" t="str">
        <x:v>A</x:v>
      </x:c>
      <x:c r="E399" s="10" t="str">
        <x:v>ERA Portal Austria</x:v>
      </x:c>
      <x:c r="F399" s="10" t="str">
        <x:v>ERA Portal Austria</x:v>
      </x:c>
      <x:c r="G399" s="10" t="str">
        <x:v>research/policy paper</x:v>
      </x:c>
      <x:c r="H399" s="10" t="str">
        <x:v>Tier 1</x:v>
      </x:c>
      <x:c r="I399" s="10" t="str">
        <x:v>direct</x:v>
      </x:c>
      <x:c r="J399" s="10" t="str">
        <x:v>europe; european</x:v>
      </x:c>
      <x:c r="K399" s="10" t="str">
        <x:v>research and innovation; r&amp;i; horizon europe; european research area; innovation capacity</x:v>
      </x:c>
      <x:c r="L399" s="10" t="str">
        <x:v>research-talent allocation / brain drain</x:v>
      </x:c>
      <x:c r="M399" s="10" t="str">
        <x:v>The exchange also addressed the need to better align national and European research priorities and funding.</x:v>
      </x:c>
      <x:c r="N399" s="10" t="str">
        <x:v>Direct EU relevance (europe, european); R&amp;I evidence: research and innovation, r&amp;i; strategic evidence: research-talent allocation / brain drain; bridge: sentence.</x:v>
      </x:c>
      <x:c r="O399" s="10" t="str">
        <x:v>knowledge-A</x:v>
      </x:c>
      <x:c r="P399" s="10" t="str"/>
      <x:c r="Q399" s="10" t="str"/>
      <x:c r="R399" s="10" t="str">
        <x:v>2026-08-31T22:01Z</x:v>
      </x:c>
      <x:c r="S399" s="10" t="str">
        <x:v>https://era.gv.at/news-items/european-research-ministers-discuss-how-to-maximise-ri-contribution-to-improve-europes-competitiveness-security-and-prosperity/</x:v>
      </x:c>
    </x:row>
    <x:row r="400">
      <x:c r="A400" s="10" t="n">
        <x:f>'Ranked sources'!B400</x:f>
        <x:v>69</x:v>
      </x:c>
      <x:c r="B400" s="10" t="str">
        <x:v>Governing with cities: Europe's overlooked governance infrastructure | Demos Helsinki</x:v>
      </x:c>
      <x:c r="C400" s="10" t="str">
        <x:v>2026-07-21</x:v>
      </x:c>
      <x:c r="D400" s="10" t="str">
        <x:v>A</x:v>
      </x:c>
      <x:c r="E400" s="10" t="str">
        <x:v>Demos Helsinki</x:v>
      </x:c>
      <x:c r="F400" s="10" t="str">
        <x:v>demoshelsinki</x:v>
      </x:c>
      <x:c r="G400" s="10" t="str">
        <x:v>research/policy paper</x:v>
      </x:c>
      <x:c r="H400" s="10" t="str">
        <x:v>Tier 1</x:v>
      </x:c>
      <x:c r="I400" s="10" t="str">
        <x:v>direct</x:v>
      </x:c>
      <x:c r="J400" s="10" t="str">
        <x:v>europe; europe's</x:v>
      </x:c>
      <x:c r="K400" s="10" t="str">
        <x:v>horizon europe</x:v>
      </x:c>
      <x:c r="L400" s="10" t="str">
        <x:v>geopolit; technological sovereignty</x:v>
      </x:c>
      <x:c r="M400" s="10" t="str">
        <x:v>Cities hold two strengths that the EU should recognise and institutionalise.</x:v>
      </x:c>
      <x:c r="N400" s="10" t="str">
        <x:v>Direct EU relevance (europe, europe's); R&amp;I evidence: horizon europe; strategic evidence: geopolit, technological sovereignty; bridge: title/abstract.</x:v>
      </x:c>
      <x:c r="O400" s="10" t="str"/>
      <x:c r="P400" s="10" t="str"/>
      <x:c r="Q400" s="10" t="str"/>
      <x:c r="R400" s="10" t="str">
        <x:v>2026-08-31T19:29Z</x:v>
      </x:c>
      <x:c r="S400" s="10" t="str">
        <x:v>https://demoshelsinki.fi/governing-with-cities-europes-overlooked-governance-infrastructure/</x:v>
      </x:c>
    </x:row>
    <x:row r="401">
      <x:c r="A401" s="10" t="n">
        <x:f>'Ranked sources'!B401</x:f>
        <x:v>69</x:v>
      </x:c>
      <x:c r="B401" s="10" t="str">
        <x:v>Science Europe presents Practical Guide to Implementing Responsible Research Assessment at RFOs</x:v>
      </x:c>
      <x:c r="C401" s="10" t="str">
        <x:v>2026-07-21</x:v>
      </x:c>
      <x:c r="D401" s="10" t="str">
        <x:v>A</x:v>
      </x:c>
      <x:c r="E401" s="10" t="str">
        <x:v>ERA Portal Austria</x:v>
      </x:c>
      <x:c r="F401" s="10" t="str">
        <x:v>ERA Portal Austria</x:v>
      </x:c>
      <x:c r="G401" s="10" t="str">
        <x:v>research/policy paper</x:v>
      </x:c>
      <x:c r="H401" s="10" t="str">
        <x:v>Tier 1</x:v>
      </x:c>
      <x:c r="I401" s="10" t="str">
        <x:v>direct</x:v>
      </x:c>
      <x:c r="J401" s="10" t="str">
        <x:v>europe</x:v>
      </x:c>
      <x:c r="K401" s="10" t="str">
        <x:v>research funding; european research area</x:v>
      </x:c>
      <x:c r="L401" s="10" t="str"/>
      <x:c r="M401" s="10" t="str">
        <x:v>as those planning steps towards more holistic and inclusive approaches to research assessment.</x:v>
      </x:c>
      <x:c r="N401" s="10" t="str">
        <x:v>Direct European/EU relevance (europe); R&amp;I evidence: research funding, european research area; strategic significance is not explicit in the source and should be assessed as a possible longer-run implication.</x:v>
      </x:c>
      <x:c r="O401" s="10" t="str"/>
      <x:c r="P401" s="10" t="str"/>
      <x:c r="Q401" s="10" t="str"/>
      <x:c r="R401" s="10" t="str">
        <x:v>2026-09-01T12:05Z</x:v>
      </x:c>
      <x:c r="S401" s="10" t="str">
        <x:v>https://era.gv.at/news-items/science-europe-presents-practical-guide-to-implementing-responsible-research-assessment-at-rfos/</x:v>
      </x:c>
    </x:row>
    <x:row r="402">
      <x:c r="A402" s="10" t="n">
        <x:f>'Ranked sources'!B402</x:f>
        <x:v>69</x:v>
      </x:c>
      <x:c r="B402" s="10" t="str">
        <x:v>Commissioner Zaharieva leads dialogue on how to attract and retain research talent in Europe</x:v>
      </x:c>
      <x:c r="C402" s="10" t="str">
        <x:v>2026-07-10</x:v>
      </x:c>
      <x:c r="D402" s="10" t="str">
        <x:v>A</x:v>
      </x:c>
      <x:c r="E402" s="10" t="str">
        <x:v>ERA Portal Austria</x:v>
      </x:c>
      <x:c r="F402" s="10" t="str">
        <x:v>ERA Portal Austria</x:v>
      </x:c>
      <x:c r="G402" s="10" t="str">
        <x:v>research/policy paper</x:v>
      </x:c>
      <x:c r="H402" s="10" t="str">
        <x:v>Tier 1</x:v>
      </x:c>
      <x:c r="I402" s="10" t="str">
        <x:v>direct</x:v>
      </x:c>
      <x:c r="J402" s="10" t="str">
        <x:v>europe</x:v>
      </x:c>
      <x:c r="K402" s="10" t="str">
        <x:v>european research area; research infrastructure; research infrastructures; research talent; research careers</x:v>
      </x:c>
      <x:c r="L402" s="10" t="str">
        <x:v>research-talent allocation / brain drain</x:v>
      </x:c>
      <x:c r="M402" s="10" t="str">
        <x:v>The dialogue is closely linked to the wider Choose Europe for Science initiative.</x:v>
      </x:c>
      <x:c r="N402" s="10" t="str">
        <x:v>Direct European/EU relevance (europe); R&amp;I evidence: european research area, research infrastructure; strategic evidence: research-talent allocation / brain drain; bridge: sentence.</x:v>
      </x:c>
      <x:c r="O402" s="10" t="str">
        <x:v>knowledge-A</x:v>
      </x:c>
      <x:c r="P402" s="10" t="str"/>
      <x:c r="Q402" s="10" t="str"/>
      <x:c r="R402" s="10" t="str">
        <x:v>2026-08-30T06:08Z</x:v>
      </x:c>
      <x:c r="S402" s="10" t="str">
        <x:v>https://era.gv.at/news-items/commissioner-zaharieva-leads-dialogue-on-how-to-attract-and-retain-research-talent-in-europe/</x:v>
      </x:c>
    </x:row>
    <x:row r="403">
      <x:c r="A403" s="10" t="n">
        <x:f>'Ranked sources'!B403</x:f>
        <x:v>69</x:v>
      </x:c>
      <x:c r="B403" s="10" t="str">
        <x:v>EIS 2026: Europe's innovation performance continues to improve</x:v>
      </x:c>
      <x:c r="C403" s="10" t="str">
        <x:v>2026-07-09</x:v>
      </x:c>
      <x:c r="D403" s="10" t="str">
        <x:v>A</x:v>
      </x:c>
      <x:c r="E403" s="10" t="str">
        <x:v>ERA Portal Austria</x:v>
      </x:c>
      <x:c r="F403" s="10" t="str">
        <x:v>ERA Portal Austria</x:v>
      </x:c>
      <x:c r="G403" s="10" t="str">
        <x:v>research/policy paper</x:v>
      </x:c>
      <x:c r="H403" s="10" t="str">
        <x:v>Tier 1</x:v>
      </x:c>
      <x:c r="I403" s="10" t="str">
        <x:v>direct</x:v>
      </x:c>
      <x:c r="J403" s="10" t="str">
        <x:v>europe; europe's</x:v>
      </x:c>
      <x:c r="K403" s="10" t="str">
        <x:v>european research area; innovation performance</x:v>
      </x:c>
      <x:c r="L403" s="10" t="str"/>
      <x:c r="M403" s="10" t="str">
        <x:v>EIS 2026: Europe's innovation performance continues to improve.</x:v>
      </x:c>
      <x:c r="N403" s="10" t="str">
        <x:v>Direct European/EU relevance (europe, europe's); R&amp;I evidence: european research area, innovation performance; strategic significance is not explicit in the source and should be assessed as a possible longer-run implication.</x:v>
      </x:c>
      <x:c r="O403" s="10" t="str"/>
      <x:c r="P403" s="10" t="str"/>
      <x:c r="Q403" s="10" t="str"/>
      <x:c r="R403" s="10" t="str">
        <x:v>2026-09-01T12:05Z</x:v>
      </x:c>
      <x:c r="S403" s="10" t="str">
        <x:v>https://era.gv.at/news-items/eis-2026-europes-innovation-performance-continues-to-improve/</x:v>
      </x:c>
    </x:row>
    <x:row r="404">
      <x:c r="A404" s="10" t="n">
        <x:f>'Ranked sources'!B404</x:f>
        <x:v>69</x:v>
      </x:c>
      <x:c r="B404" s="10" t="str">
        <x:v>EC's Call for evidence on European ocean research and innovation strategy is closing soon</x:v>
      </x:c>
      <x:c r="C404" s="10" t="str">
        <x:v>2026-06-15</x:v>
      </x:c>
      <x:c r="D404" s="10" t="str">
        <x:v>A</x:v>
      </x:c>
      <x:c r="E404" s="10" t="str">
        <x:v>ERA Portal Austria</x:v>
      </x:c>
      <x:c r="F404" s="10" t="str">
        <x:v>ERA Portal Austria</x:v>
      </x:c>
      <x:c r="G404" s="10" t="str">
        <x:v>research/policy paper</x:v>
      </x:c>
      <x:c r="H404" s="10" t="str">
        <x:v>Tier 1</x:v>
      </x:c>
      <x:c r="I404" s="10" t="str">
        <x:v>direct</x:v>
      </x:c>
      <x:c r="J404" s="10" t="str">
        <x:v>europe; european</x:v>
      </x:c>
      <x:c r="K404" s="10" t="str">
        <x:v>research and innovation; r&amp;i; european research area; research infrastructure; research infrastructures</x:v>
      </x:c>
      <x:c r="L404" s="10" t="str">
        <x:v>strategic autonomy</x:v>
      </x:c>
      <x:c r="M404" s="10" t="str">
        <x:v>EC's Call for evidence on European ocean R&amp;I strategy is closing soon.</x:v>
      </x:c>
      <x:c r="N404" s="10" t="str">
        <x:v>Direct EU relevance (europe, european); R&amp;I evidence: research and innovation, r&amp;i; strategic evidence: strategic autonomy; bridge: title/abstract.</x:v>
      </x:c>
      <x:c r="O404" s="10" t="str"/>
      <x:c r="P404" s="10" t="str"/>
      <x:c r="Q404" s="10" t="str"/>
      <x:c r="R404" s="10" t="str">
        <x:v>2026-08-31T22:01Z</x:v>
      </x:c>
      <x:c r="S404" s="10" t="str">
        <x:v>https://era.gv.at/news-items/ecs-call-for-evidence-on-european-ocean-research-and-innovation-strategy-is-closing-soon/</x:v>
      </x:c>
    </x:row>
    <x:row r="405">
      <x:c r="A405" s="10" t="n">
        <x:f>'Ranked sources'!B405</x:f>
        <x:v>69</x:v>
      </x:c>
      <x:c r="B405" s="10" t="str">
        <x:v>How the European Commission aims to promote the EU quantum sector through the Cloud and AI Development Act</x:v>
      </x:c>
      <x:c r="C405" s="10" t="str">
        <x:v>2026-06-15</x:v>
      </x:c>
      <x:c r="D405" s="10" t="str">
        <x:v>A</x:v>
      </x:c>
      <x:c r="E405" s="10" t="str">
        <x:v>Inside Global Tech.</x:v>
      </x:c>
      <x:c r="F405" s="10" t="str">
        <x:v>Inside Global Tech.</x:v>
      </x:c>
      <x:c r="G405" s="10" t="str">
        <x:v>research/policy paper</x:v>
      </x:c>
      <x:c r="H405" s="10" t="str">
        <x:v>Tier 3</x:v>
      </x:c>
      <x:c r="I405" s="10" t="str">
        <x:v>direct</x:v>
      </x:c>
      <x:c r="J405" s="10" t="str">
        <x:v>european commission; EU; europe; european</x:v>
      </x:c>
      <x:c r="K405" s="10" t="str">
        <x:v>ai + research; quantum + compute capacity; quantum + funding</x:v>
      </x:c>
      <x:c r="L405" s="10" t="str"/>
      <x:c r="M405" s="10" t="str">
        <x:v>How the European Commission aims to promote the EU quantum sector through the Cloud and AI Development Act.</x:v>
      </x:c>
      <x:c r="N405" s="10" t="str">
        <x:v>Direct European/EU relevance (european commission, EU); R&amp;I evidence: ai + research, quantum + compute capacity; strategic evidence: dependence_control, competition_capability, international_coordination; bridge: title/abstract.</x:v>
      </x:c>
      <x:c r="O405" s="10" t="str"/>
      <x:c r="P405" s="10" t="str"/>
      <x:c r="Q405" s="10" t="str">
        <x:v>both</x:v>
      </x:c>
      <x:c r="R405" s="10" t="str">
        <x:v>2026-09-01T09:06Z</x:v>
      </x:c>
      <x:c r="S405" s="10" t="str">
        <x:v>https://www.insideglobaltech.com/2026/06/15/how-the-european-commission-aims-to-promote-the-eu-quantum-sector-through-the-cloud-and-ai-development-act/</x:v>
      </x:c>
    </x:row>
    <x:row r="406">
      <x:c r="A406" s="10" t="n">
        <x:f>'Ranked sources'!B406</x:f>
        <x:v>69</x:v>
      </x:c>
      <x:c r="B406" s="10" t="str">
        <x:v>ERA Forum focuses on ERA Act, talent attraction and ERA Policy Agenda implementation</x:v>
      </x:c>
      <x:c r="C406" s="10" t="str">
        <x:v>2026-06-10</x:v>
      </x:c>
      <x:c r="D406" s="10" t="str">
        <x:v>A</x:v>
      </x:c>
      <x:c r="E406" s="10" t="str">
        <x:v>ERA Portal Austria</x:v>
      </x:c>
      <x:c r="F406" s="10" t="str">
        <x:v>ERA Portal Austria</x:v>
      </x:c>
      <x:c r="G406" s="10" t="str">
        <x:v>research/policy paper</x:v>
      </x:c>
      <x:c r="H406" s="10" t="str">
        <x:v>Tier 1</x:v>
      </x:c>
      <x:c r="I406" s="10" t="str">
        <x:v>direct</x:v>
      </x:c>
      <x:c r="J406" s="10" t="str">
        <x:v>european research area</x:v>
      </x:c>
      <x:c r="K406" s="10" t="str">
        <x:v>research and innovation; r&amp;i; european research area; r&amp;d; research organisation</x:v>
      </x:c>
      <x:c r="L406" s="10" t="str"/>
      <x:c r="M406" s="10" t="str">
        <x:v>The proposal is currently expected to be presented at the end of October or the beginning of November 2026.</x:v>
      </x:c>
      <x:c r="N406" s="10" t="str">
        <x:v>Direct European/EU relevance (european research area); R&amp;I evidence: research and innovation, r&amp;i; strategic evidence: dependence_control, competition_capability, talent_position; bridge: title/abstract.</x:v>
      </x:c>
      <x:c r="O406" s="10" t="str"/>
      <x:c r="P406" s="10" t="str"/>
      <x:c r="Q406" s="10" t="str"/>
      <x:c r="R406" s="10" t="str">
        <x:v>2026-09-01T19:32Z</x:v>
      </x:c>
      <x:c r="S406" s="10" t="str">
        <x:v>https://era.gv.at/news-items/era-forum-focuses-on-era-act-talent-attraction-and-era-policy-agenda-implementation/</x:v>
      </x:c>
    </x:row>
    <x:row r="407">
      <x:c r="A407" s="10" t="n">
        <x:f>'Ranked sources'!B407</x:f>
        <x:v>69</x:v>
      </x:c>
      <x:c r="B407" s="10" t="str">
        <x:v>Competitiveness Council (Research) 29 May 2026</x:v>
      </x:c>
      <x:c r="C407" s="10" t="str">
        <x:v>2026-05-29</x:v>
      </x:c>
      <x:c r="D407" s="10" t="str">
        <x:v>A</x:v>
      </x:c>
      <x:c r="E407" s="10" t="str">
        <x:v>ERA Portal Austria</x:v>
      </x:c>
      <x:c r="F407" s="10" t="str">
        <x:v>ERA Portal Austria</x:v>
      </x:c>
      <x:c r="G407" s="10" t="str">
        <x:v>research/policy paper</x:v>
      </x:c>
      <x:c r="H407" s="10" t="str">
        <x:v>Tier 1</x:v>
      </x:c>
      <x:c r="I407" s="10" t="str">
        <x:v>direct</x:v>
      </x:c>
      <x:c r="J407" s="10" t="str">
        <x:v>european research area</x:v>
      </x:c>
      <x:c r="K407" s="10" t="str">
        <x:v>european research area</x:v>
      </x:c>
      <x:c r="L407" s="10" t="str">
        <x:v>science diplomacy</x:v>
      </x:c>
      <x:c r="M407" s="10" t="str">
        <x:v>Competitiveness Council (Research) 29 May 2026.</x:v>
      </x:c>
      <x:c r="N407" s="10" t="str">
        <x:v>Direct European/EU relevance (european research area); R&amp;I evidence: european research area; strategic evidence: science diplomacy; bridge: title/abstract.</x:v>
      </x:c>
      <x:c r="O407" s="10" t="str"/>
      <x:c r="P407" s="10" t="str"/>
      <x:c r="Q407" s="10" t="str"/>
      <x:c r="R407" s="10" t="str">
        <x:v>2026-09-01T14:15Z</x:v>
      </x:c>
      <x:c r="S407" s="10" t="str">
        <x:v>https://era.gv.at/governance/competitiveness-council/competitiveness-council-research-29-may-2026/</x:v>
      </x:c>
    </x:row>
    <x:row r="408">
      <x:c r="A408" s="10" t="n">
        <x:f>'Ranked sources'!B408</x:f>
        <x:v>69</x:v>
      </x:c>
      <x:c r="B408" s="10" t="str">
        <x:v>New scoreboard shows success of European startup policies</x:v>
      </x:c>
      <x:c r="C408" s="10" t="str">
        <x:v>2026-05-29</x:v>
      </x:c>
      <x:c r="D408" s="10" t="str">
        <x:v>A</x:v>
      </x:c>
      <x:c r="E408" s="10" t="str">
        <x:v>ERA Portal Austria</x:v>
      </x:c>
      <x:c r="F408" s="10" t="str">
        <x:v>ERA Portal Austria</x:v>
      </x:c>
      <x:c r="G408" s="10" t="str">
        <x:v>research/policy paper</x:v>
      </x:c>
      <x:c r="H408" s="10" t="str">
        <x:v>Tier 1</x:v>
      </x:c>
      <x:c r="I408" s="10" t="str">
        <x:v>direct</x:v>
      </x:c>
      <x:c r="J408" s="10" t="str">
        <x:v>europe; european</x:v>
      </x:c>
      <x:c r="K408" s="10" t="str">
        <x:v>european research area; r&amp;d; digital infrastructure + funding</x:v>
      </x:c>
      <x:c r="L408" s="10" t="str"/>
      <x:c r="M408" s="10" t="str">
        <x:v>New scoreboard shows success of European startup policies.</x:v>
      </x:c>
      <x:c r="N408" s="10" t="str">
        <x:v>Direct European/EU relevance (europe, european); R&amp;I evidence: european research area, r&amp;d; strategic evidence: dependence_control, talent_position, access to; bridge: title/abstract.</x:v>
      </x:c>
      <x:c r="O408" s="10" t="str">
        <x:v>conversion-A</x:v>
      </x:c>
      <x:c r="P408" s="10" t="str"/>
      <x:c r="Q408" s="10" t="str"/>
      <x:c r="R408" s="10" t="str">
        <x:v>2026-09-01T09:39Z</x:v>
      </x:c>
      <x:c r="S408" s="10" t="str">
        <x:v>https://era.gv.at/news-items/new-scoreboard-shows-success-of-european-startup-policies/</x:v>
      </x:c>
    </x:row>
    <x:row r="409">
      <x:c r="A409" s="10" t="n">
        <x:f>'Ranked sources'!B409</x:f>
        <x:v>69</x:v>
      </x:c>
      <x:c r="B409" s="10" t="str">
        <x:v>Research Ministers discuss key elements of future Horizon Europe package and adopt EU framework for science diplomacy</x:v>
      </x:c>
      <x:c r="C409" s="10" t="str">
        <x:v>2026-05-29</x:v>
      </x:c>
      <x:c r="D409" s="10" t="str">
        <x:v>A</x:v>
      </x:c>
      <x:c r="E409" s="10" t="str">
        <x:v>ERA Portal Austria</x:v>
      </x:c>
      <x:c r="F409" s="10" t="str">
        <x:v>ERA Portal Austria</x:v>
      </x:c>
      <x:c r="G409" s="10" t="str">
        <x:v>research/policy paper</x:v>
      </x:c>
      <x:c r="H409" s="10" t="str">
        <x:v>Tier 1</x:v>
      </x:c>
      <x:c r="I409" s="10" t="str">
        <x:v>direct</x:v>
      </x:c>
      <x:c r="J409" s="10" t="str">
        <x:v>horizon europe; eu framework; EU; europe</x:v>
      </x:c>
      <x:c r="K409" s="10" t="str">
        <x:v>research and innovation; science diplomacy; horizon europe; european research area</x:v>
      </x:c>
      <x:c r="L409" s="10" t="str">
        <x:v>geopolit; technological sovereignty; science diplomacy</x:v>
      </x:c>
      <x:c r="M409" s="10" t="str">
        <x:v>Research Ministers discuss key elements of future Horizon Europe package and adopt EU framework for science diplomacy.</x:v>
      </x:c>
      <x:c r="N409" s="10" t="str">
        <x:v>Direct EU relevance (horizon europe, eu framework); R&amp;I evidence: research and innovation, science diplomacy; strategic evidence: geopolit, technological sovereignty, science diplomacy; bridge: sentence.</x:v>
      </x:c>
      <x:c r="O409" s="10" t="str">
        <x:v>knowledge-A</x:v>
      </x:c>
      <x:c r="P409" s="10" t="str"/>
      <x:c r="Q409" s="10" t="str"/>
      <x:c r="R409" s="10" t="str">
        <x:v>2026-08-31T18:21Z</x:v>
      </x:c>
      <x:c r="S409" s="10" t="str">
        <x:v>https://era.gv.at/news-items/research-ministers-discuss-key-elements-of-future-horizon-europe-package-and-adopt-eu-framework-for-science-diplomacy/</x:v>
      </x:c>
    </x:row>
    <x:row r="410">
      <x:c r="A410" s="10" t="n">
        <x:f>'Ranked sources'!B410</x:f>
        <x:v>69</x:v>
      </x:c>
      <x:c r="B410" s="10" t="str">
        <x:v>MSCA programme opens €593 million call in doctoral programmes and research</x:v>
      </x:c>
      <x:c r="C410" s="10" t="str">
        <x:v>2026-05-28</x:v>
      </x:c>
      <x:c r="D410" s="10" t="str">
        <x:v>A</x:v>
      </x:c>
      <x:c r="E410" s="10" t="str">
        <x:v>ERA Portal Austria</x:v>
      </x:c>
      <x:c r="F410" s="10" t="str">
        <x:v>ERA Portal Austria</x:v>
      </x:c>
      <x:c r="G410" s="10" t="str">
        <x:v>research/policy paper</x:v>
      </x:c>
      <x:c r="H410" s="10" t="str">
        <x:v>Tier 1</x:v>
      </x:c>
      <x:c r="I410" s="10" t="str">
        <x:v>direct</x:v>
      </x:c>
      <x:c r="J410" s="10" t="str">
        <x:v>european research area</x:v>
      </x:c>
      <x:c r="K410" s="10" t="str">
        <x:v>european research area; doctoral training; ai + science; artificial intelligence + research</x:v>
      </x:c>
      <x:c r="L410" s="10" t="str"/>
      <x:c r="M410" s="10" t="str">
        <x:v>MSCA programme opens €593 million call in doctoral programmes and research.</x:v>
      </x:c>
      <x:c r="N410" s="10" t="str">
        <x:v>Direct European/EU relevance (european research area); R&amp;I evidence: european research area, doctoral training; strategic significance is not explicit in the source and should be assessed as a possible longer-run implication.</x:v>
      </x:c>
      <x:c r="O410" s="10" t="str"/>
      <x:c r="P410" s="10" t="str"/>
      <x:c r="Q410" s="10" t="str"/>
      <x:c r="R410" s="10" t="str">
        <x:v>2026-09-01T15:59Z</x:v>
      </x:c>
      <x:c r="S410" s="10" t="str">
        <x:v>https://era.gv.at/news-items/marie-sk%C5%82odowska-curie-actions-programme-opens-call-for-593-million-in-doctoral-programmes-and-research/</x:v>
      </x:c>
    </x:row>
    <x:row r="411">
      <x:c r="A411" s="10" t="n">
        <x:f>'Ranked sources'!B411</x:f>
        <x:v>69</x:v>
      </x:c>
      <x:c r="B411" s="10" t="str">
        <x:v>The Guild signs Barcelona Declaration on Open Research Information</x:v>
      </x:c>
      <x:c r="C411" s="10" t="str">
        <x:v>2026-05-28</x:v>
      </x:c>
      <x:c r="D411" s="10" t="str">
        <x:v>A</x:v>
      </x:c>
      <x:c r="E411" s="10" t="str">
        <x:v>ERA Portal Austria</x:v>
      </x:c>
      <x:c r="F411" s="10" t="str">
        <x:v>ERA Portal Austria</x:v>
      </x:c>
      <x:c r="G411" s="10" t="str">
        <x:v>research/policy paper</x:v>
      </x:c>
      <x:c r="H411" s="10" t="str">
        <x:v>Tier 1</x:v>
      </x:c>
      <x:c r="I411" s="10" t="str">
        <x:v>direct</x:v>
      </x:c>
      <x:c r="J411" s="10" t="str">
        <x:v>european research area</x:v>
      </x:c>
      <x:c r="K411" s="10" t="str">
        <x:v>european research area; research-intensive; research-performing</x:v>
      </x:c>
      <x:c r="L411" s="10" t="str"/>
      <x:c r="M411" s="10" t="str">
        <x:v>The Guild signs Barcelona Declaration on Open Research Information.</x:v>
      </x:c>
      <x:c r="N411" s="10" t="str">
        <x:v>Direct European/EU relevance (european research area); R&amp;I evidence: european research area, research-intensive; strategic significance is not explicit in the source and should be assessed as a possible longer-run implication.</x:v>
      </x:c>
      <x:c r="O411" s="10" t="str"/>
      <x:c r="P411" s="10" t="str"/>
      <x:c r="Q411" s="10" t="str"/>
      <x:c r="R411" s="10" t="str">
        <x:v>2026-09-01T12:17Z</x:v>
      </x:c>
      <x:c r="S411" s="10" t="str">
        <x:v>https://era.gv.at/news-items/the-guild-signs-barcelona-declaration-on-open-research-information/</x:v>
      </x:c>
    </x:row>
    <x:row r="412">
      <x:c r="A412" s="10" t="n">
        <x:f>'Ranked sources'!B412</x:f>
        <x:v>69</x:v>
      </x:c>
      <x:c r="B412" s="10" t="str">
        <x:v>EU and Vietnam deepen cooperation in science, technology and innovation</x:v>
      </x:c>
      <x:c r="C412" s="10" t="str">
        <x:v>2026-05-27</x:v>
      </x:c>
      <x:c r="D412" s="10" t="str">
        <x:v>A</x:v>
      </x:c>
      <x:c r="E412" s="10" t="str">
        <x:v>ERA Portal Austria</x:v>
      </x:c>
      <x:c r="F412" s="10" t="str">
        <x:v>ERA Portal Austria</x:v>
      </x:c>
      <x:c r="G412" s="10" t="str">
        <x:v>research/policy paper</x:v>
      </x:c>
      <x:c r="H412" s="10" t="str">
        <x:v>Tier 1</x:v>
      </x:c>
      <x:c r="I412" s="10" t="str">
        <x:v>direct</x:v>
      </x:c>
      <x:c r="J412" s="10" t="str">
        <x:v>EU</x:v>
      </x:c>
      <x:c r="K412" s="10" t="str">
        <x:v>horizon europe; european research area; research-talent flow / brain drain</x:v>
      </x:c>
      <x:c r="L412" s="10" t="str">
        <x:v>research-talent allocation / brain drain</x:v>
      </x:c>
      <x:c r="M412" s="10" t="str">
        <x:v>The EU’s upgraded partnership with Vietnam is significant.</x:v>
      </x:c>
      <x:c r="N412" s="10" t="str">
        <x:v>Direct European/EU relevance (EU); R&amp;I evidence: horizon europe, european research area; strategic evidence: research-talent allocation / brain drain; bridge: sentence.</x:v>
      </x:c>
      <x:c r="O412" s="10" t="str"/>
      <x:c r="P412" s="10" t="str"/>
      <x:c r="Q412" s="10" t="str"/>
      <x:c r="R412" s="10" t="str">
        <x:v>2026-09-01T14:15Z</x:v>
      </x:c>
      <x:c r="S412" s="10" t="str">
        <x:v>https://era.gv.at/news-items/eu-and-vietnam-deepen-cooperation-in-science-and-innovation/</x:v>
      </x:c>
    </x:row>
    <x:row r="413">
      <x:c r="A413" s="10" t="n">
        <x:f>'Ranked sources'!B413</x:f>
        <x:v>69</x:v>
      </x:c>
      <x:c r="B413" s="10" t="str">
        <x:v>Europe has produced tech champions: Here is what they can teach us</x:v>
      </x:c>
      <x:c r="C413" s="10" t="str">
        <x:v>2026-05-27</x:v>
      </x:c>
      <x:c r="D413" s="10" t="str">
        <x:v>A</x:v>
      </x:c>
      <x:c r="E413" s="10" t="str">
        <x:v>Centre for European Reform</x:v>
      </x:c>
      <x:c r="F413" s="10" t="str">
        <x:v>Centre for European Reform</x:v>
      </x:c>
      <x:c r="G413" s="10" t="str">
        <x:v>research/policy paper</x:v>
      </x:c>
      <x:c r="H413" s="10" t="str">
        <x:v>Tier 1</x:v>
      </x:c>
      <x:c r="I413" s="10" t="str">
        <x:v>direct</x:v>
      </x:c>
      <x:c r="J413" s="10" t="str">
        <x:v>europe</x:v>
      </x:c>
      <x:c r="K413" s="10" t="str">
        <x:v>ai + startup</x:v>
      </x:c>
      <x:c r="L413" s="10" t="str">
        <x:v>geopolit; economic security; weaponisation</x:v>
      </x:c>
      <x:c r="M413" s="10" t="str">
        <x:v>Europe has produced tech champions: Here is what they can teach us.</x:v>
      </x:c>
      <x:c r="N413" s="10" t="str">
        <x:v>Direct European/EU relevance (europe); R&amp;I evidence: ai + startup; strategic evidence: geopolit, economic security, weaponisation; bridge: title/abstract.</x:v>
      </x:c>
      <x:c r="O413" s="10" t="str"/>
      <x:c r="P413" s="10" t="str"/>
      <x:c r="Q413" s="10" t="str"/>
      <x:c r="R413" s="10" t="str">
        <x:v>2026-08-31T18:08Z</x:v>
      </x:c>
      <x:c r="S413" s="10" t="str">
        <x:v>https://www.cer.eu/sites/default/files/JG_tech_success_27.5.26.pdf</x:v>
      </x:c>
    </x:row>
    <x:row r="414">
      <x:c r="A414" s="10" t="n">
        <x:f>'Ranked sources'!B414</x:f>
        <x:v>69</x:v>
      </x:c>
      <x:c r="B414" s="10" t="str">
        <x:v>New ERA-LEARN Country Report highlights Portugal’s strong rise in European Partnerships</x:v>
      </x:c>
      <x:c r="C414" s="10" t="str">
        <x:v>2026-05-27</x:v>
      </x:c>
      <x:c r="D414" s="10" t="str">
        <x:v>A</x:v>
      </x:c>
      <x:c r="E414" s="10" t="str">
        <x:v>ERA Portal Austria</x:v>
      </x:c>
      <x:c r="F414" s="10" t="str">
        <x:v>ERA Portal Austria</x:v>
      </x:c>
      <x:c r="G414" s="10" t="str">
        <x:v>research/policy paper</x:v>
      </x:c>
      <x:c r="H414" s="10" t="str">
        <x:v>Tier 1</x:v>
      </x:c>
      <x:c r="I414" s="10" t="str">
        <x:v>direct</x:v>
      </x:c>
      <x:c r="J414" s="10" t="str">
        <x:v>europe; european; portugal</x:v>
      </x:c>
      <x:c r="K414" s="10" t="str">
        <x:v>horizon europe; european research area</x:v>
      </x:c>
      <x:c r="L414" s="10" t="str"/>
      <x:c r="M414" s="10" t="str">
        <x:v>New ERA-LEARN Country Report highlights Portugal’s strong rise in European Partnerships.</x:v>
      </x:c>
      <x:c r="N414" s="10" t="str">
        <x:v>Direct European/EU relevance (europe, european); R&amp;I evidence: horizon europe, european research area; strategic significance is not explicit in the source and should be assessed as a possible longer-run implication.</x:v>
      </x:c>
      <x:c r="O414" s="10" t="str"/>
      <x:c r="P414" s="10" t="str"/>
      <x:c r="Q414" s="10" t="str"/>
      <x:c r="R414" s="10" t="str">
        <x:v>2026-09-01T14:15Z</x:v>
      </x:c>
      <x:c r="S414" s="10" t="str">
        <x:v>https://era.gv.at/news-items/new-era-learn-country-report-highlights-portugals-strong-rise-in-european-partnerships/</x:v>
      </x:c>
    </x:row>
    <x:row r="415">
      <x:c r="A415" s="10" t="n">
        <x:f>'Ranked sources'!B415</x:f>
        <x:v>69</x:v>
      </x:c>
      <x:c r="B415" s="10" t="str">
        <x:v>EU Mission on Adaptation to Climate Change publishes 2025/26 Activity Report</x:v>
      </x:c>
      <x:c r="C415" s="10" t="str">
        <x:v>2026-05-26</x:v>
      </x:c>
      <x:c r="D415" s="10" t="str">
        <x:v>A</x:v>
      </x:c>
      <x:c r="E415" s="10" t="str">
        <x:v>ERA Portal Austria</x:v>
      </x:c>
      <x:c r="F415" s="10" t="str">
        <x:v>ERA Portal Austria</x:v>
      </x:c>
      <x:c r="G415" s="10" t="str">
        <x:v>research/policy paper</x:v>
      </x:c>
      <x:c r="H415" s="10" t="str">
        <x:v>Tier 1</x:v>
      </x:c>
      <x:c r="I415" s="10" t="str">
        <x:v>direct</x:v>
      </x:c>
      <x:c r="J415" s="10" t="str">
        <x:v>EU</x:v>
      </x:c>
      <x:c r="K415" s="10" t="str">
        <x:v>horizon europe; european research area</x:v>
      </x:c>
      <x:c r="L415" s="10" t="str"/>
      <x:c r="M415" s="10" t="str">
        <x:v>EU Mission on Adaptation to Climate Change publishes 2025/26 Activity Report.</x:v>
      </x:c>
      <x:c r="N415" s="10" t="str">
        <x:v>Direct European/EU relevance (EU); R&amp;I evidence: horizon europe, european research area; strategic significance is not explicit in the source and should be assessed as a possible longer-run implication.</x:v>
      </x:c>
      <x:c r="O415" s="10" t="str"/>
      <x:c r="P415" s="10" t="str"/>
      <x:c r="Q415" s="10" t="str"/>
      <x:c r="R415" s="10" t="str">
        <x:v>2026-09-01T14:15Z</x:v>
      </x:c>
      <x:c r="S415" s="10" t="str">
        <x:v>https://era.gv.at/news-items/the-eu-mission-on-adaptation-to-climate-change-publishes-202526-activity-report/</x:v>
      </x:c>
    </x:row>
    <x:row r="416">
      <x:c r="A416" s="10" t="n">
        <x:f>'Ranked sources'!B416</x:f>
        <x:v>69</x:v>
      </x:c>
      <x:c r="B416" s="10" t="str">
        <x:v>LERU publishes proposal for a framework to help universities navigate defence research</x:v>
      </x:c>
      <x:c r="C416" s="10" t="str">
        <x:v>2026-05-26</x:v>
      </x:c>
      <x:c r="D416" s="10" t="str">
        <x:v>A</x:v>
      </x:c>
      <x:c r="E416" s="10" t="str">
        <x:v>ERA Portal Austria</x:v>
      </x:c>
      <x:c r="F416" s="10" t="str">
        <x:v>ERA Portal Austria</x:v>
      </x:c>
      <x:c r="G416" s="10" t="str">
        <x:v>research/policy paper</x:v>
      </x:c>
      <x:c r="H416" s="10" t="str">
        <x:v>Tier 1</x:v>
      </x:c>
      <x:c r="I416" s="10" t="str">
        <x:v>direct</x:v>
      </x:c>
      <x:c r="J416" s="10" t="str">
        <x:v>european research area</x:v>
      </x:c>
      <x:c r="K416" s="10" t="str">
        <x:v>european research area; research-intensive</x:v>
      </x:c>
      <x:c r="L416" s="10" t="str">
        <x:v>strategic autonomy</x:v>
      </x:c>
      <x:c r="M416" s="10" t="str">
        <x:v>LERU publishes proposal for a framework to help universities navigate defence research.</x:v>
      </x:c>
      <x:c r="N416" s="10" t="str">
        <x:v>Direct European/EU relevance (european research area); R&amp;I evidence: european research area, research-intensive; strategic evidence: strategic autonomy; bridge: title/abstract.</x:v>
      </x:c>
      <x:c r="O416" s="10" t="str"/>
      <x:c r="P416" s="10" t="str"/>
      <x:c r="Q416" s="10" t="str"/>
      <x:c r="R416" s="10" t="str">
        <x:v>2026-09-01T14:15Z</x:v>
      </x:c>
      <x:c r="S416" s="10" t="str">
        <x:v>https://era.gv.at/news-items/leru-publishes-proposal-for-a-framework-to-help-universities-navigate-defence-research/</x:v>
      </x:c>
    </x:row>
    <x:row r="417">
      <x:c r="A417" s="10" t="n">
        <x:f>'Ranked sources'!B417</x:f>
        <x:v>69</x:v>
      </x:c>
      <x:c r="B417" s="10" t="str">
        <x:v>Practical guide aims at supporting implementation of responsible Research Assessment at RFOs</x:v>
      </x:c>
      <x:c r="C417" s="10" t="str">
        <x:v>2026-05-26</x:v>
      </x:c>
      <x:c r="D417" s="10" t="str">
        <x:v>A</x:v>
      </x:c>
      <x:c r="E417" s="10" t="str">
        <x:v>ERA Portal Austria</x:v>
      </x:c>
      <x:c r="F417" s="10" t="str">
        <x:v>ERA Portal Austria</x:v>
      </x:c>
      <x:c r="G417" s="10" t="str">
        <x:v>research/policy paper</x:v>
      </x:c>
      <x:c r="H417" s="10" t="str">
        <x:v>Tier 1</x:v>
      </x:c>
      <x:c r="I417" s="10" t="str">
        <x:v>direct</x:v>
      </x:c>
      <x:c r="J417" s="10" t="str">
        <x:v>european research area</x:v>
      </x:c>
      <x:c r="K417" s="10" t="str">
        <x:v>research funding; european research area</x:v>
      </x:c>
      <x:c r="L417" s="10" t="str"/>
      <x:c r="M417" s="10" t="str">
        <x:v>Practical guide aims at supporting implementation of responsible Research Assessment at RFOs.</x:v>
      </x:c>
      <x:c r="N417" s="10" t="str">
        <x:v>Direct European/EU relevance (european research area); R&amp;I evidence: research funding, european research area; strategic significance is not explicit in the source and should be assessed as a possible longer-run implication.</x:v>
      </x:c>
      <x:c r="O417" s="10" t="str"/>
      <x:c r="P417" s="10" t="str"/>
      <x:c r="Q417" s="10" t="str"/>
      <x:c r="R417" s="10" t="str">
        <x:v>2026-09-01T14:15Z</x:v>
      </x:c>
      <x:c r="S417" s="10" t="str">
        <x:v>https://era.gv.at/news-items/practical-guide-aims-at-supporting-implementation-of-responsible-research-assessment-at-rfos/</x:v>
      </x:c>
    </x:row>
    <x:row r="418">
      <x:c r="A418" s="10" t="n">
        <x:f>'Ranked sources'!B418</x:f>
        <x:v>69</x:v>
      </x:c>
      <x:c r="B418" s="10" t="str">
        <x:v>Science|Business: Rumoured overhaul of Commission research directorate gets mixed response</x:v>
      </x:c>
      <x:c r="C418" s="10" t="str">
        <x:v>2026-05-26</x:v>
      </x:c>
      <x:c r="D418" s="10" t="str">
        <x:v>A</x:v>
      </x:c>
      <x:c r="E418" s="10" t="str">
        <x:v>ERA Portal Austria</x:v>
      </x:c>
      <x:c r="F418" s="10" t="str">
        <x:v>ERA Portal Austria</x:v>
      </x:c>
      <x:c r="G418" s="10" t="str">
        <x:v>research/policy paper</x:v>
      </x:c>
      <x:c r="H418" s="10" t="str">
        <x:v>Tier 1</x:v>
      </x:c>
      <x:c r="I418" s="10" t="str">
        <x:v>direct</x:v>
      </x:c>
      <x:c r="J418" s="10" t="str">
        <x:v>european research area</x:v>
      </x:c>
      <x:c r="K418" s="10" t="str">
        <x:v>research and innovation; research funding; horizon europe; fp10; european research area</x:v>
      </x:c>
      <x:c r="L418" s="10" t="str"/>
      <x:c r="M418" s="10" t="str">
        <x:v>but disagree on threat of reshuffle Once more, the EU quarter in Brussels is alive with rumours.</x:v>
      </x:c>
      <x:c r="N418" s="10" t="str">
        <x:v>Direct European/EU relevance (european research area); R&amp;I evidence: research and innovation, research funding; strategic significance is not explicit in the source and should be assessed as a possible longer-run implication.</x:v>
      </x:c>
      <x:c r="O418" s="10" t="str"/>
      <x:c r="P418" s="10" t="str"/>
      <x:c r="Q418" s="10" t="str"/>
      <x:c r="R418" s="10" t="str">
        <x:v>2026-09-01T14:15Z</x:v>
      </x:c>
      <x:c r="S418" s="10" t="str">
        <x:v>https://era.gv.at/news-items/sciencebusiness-rumoured-overhaul-of-commission-research-directorate-gets-mixed-response/</x:v>
      </x:c>
    </x:row>
    <x:row r="419">
      <x:c r="A419" s="10" t="n">
        <x:f>'Ranked sources'!B419</x:f>
        <x:v>69</x:v>
      </x:c>
      <x:c r="B419" s="10" t="str">
        <x:v>STOA publishes study on 'Widening' indicator</x:v>
      </x:c>
      <x:c r="C419" s="10" t="str">
        <x:v>2026-05-26</x:v>
      </x:c>
      <x:c r="D419" s="10" t="str">
        <x:v>A</x:v>
      </x:c>
      <x:c r="E419" s="10" t="str">
        <x:v>ERA Portal Austria</x:v>
      </x:c>
      <x:c r="F419" s="10" t="str">
        <x:v>ERA Portal Austria</x:v>
      </x:c>
      <x:c r="G419" s="10" t="str">
        <x:v>research/policy paper</x:v>
      </x:c>
      <x:c r="H419" s="10" t="str">
        <x:v>Tier 1</x:v>
      </x:c>
      <x:c r="I419" s="10" t="str">
        <x:v>direct</x:v>
      </x:c>
      <x:c r="J419" s="10" t="str">
        <x:v>european research area</x:v>
      </x:c>
      <x:c r="K419" s="10" t="str">
        <x:v>research and innovation; horizon europe; european research area</x:v>
      </x:c>
      <x:c r="L419" s="10" t="str"/>
      <x:c r="M419" s="10" t="str">
        <x:v>It is based on assessment of research and innovation indicators of targeted 'widening' countries, looking at the economic and research impact that Horizon Europe may have had between 2018 and 2025. The Austrian online platform for the European Research Area (ERA) is a promotion initiative aiming at providing comprehensive information on the implementation of the ERA.. Introduction Previous Next 26 May 2026 STOA publishes study on 'Widening' indicator On 22 May 2026, STOA, the European Parliament's Panel for the Future of Science and Technology, presented a study by the European Parliamentary Research Service on the ''Widening' indicator: Leveraging the potential for inclusive European research and innovation'.</x:v>
      </x:c>
      <x:c r="N419" s="10" t="str">
        <x:v>Direct European/EU relevance (european research area); R&amp;I evidence: research and innovation, horizon europe; strategic significance is not explicit in the source and should be assessed as a possible longer-run implication.</x:v>
      </x:c>
      <x:c r="O419" s="10" t="str"/>
      <x:c r="P419" s="10" t="str"/>
      <x:c r="Q419" s="10" t="str"/>
      <x:c r="R419" s="10" t="str">
        <x:v>2026-09-01T14:15Z</x:v>
      </x:c>
      <x:c r="S419" s="10" t="str">
        <x:v>https://era.gv.at/news-items/stoa-publishes-study-on-widening-indicator/</x:v>
      </x:c>
    </x:row>
    <x:row r="420">
      <x:c r="A420" s="10" t="n">
        <x:f>'Ranked sources'!B420</x:f>
        <x:v>69</x:v>
      </x:c>
      <x:c r="B420" s="10" t="str">
        <x:v>LERU requests safeguards for dual-use research in FP10</x:v>
      </x:c>
      <x:c r="C420" s="10" t="str">
        <x:v>2026-05-21</x:v>
      </x:c>
      <x:c r="D420" s="10" t="str">
        <x:v>A</x:v>
      </x:c>
      <x:c r="E420" s="10" t="str">
        <x:v>ERA Portal Austria</x:v>
      </x:c>
      <x:c r="F420" s="10" t="str">
        <x:v>ERA Portal Austria</x:v>
      </x:c>
      <x:c r="G420" s="10" t="str">
        <x:v>research/policy paper</x:v>
      </x:c>
      <x:c r="H420" s="10" t="str">
        <x:v>Tier 1</x:v>
      </x:c>
      <x:c r="I420" s="10" t="str">
        <x:v>direct</x:v>
      </x:c>
      <x:c r="J420" s="10" t="str">
        <x:v>fp10</x:v>
      </x:c>
      <x:c r="K420" s="10" t="str">
        <x:v>research and innovation; research security; fp10; european research area</x:v>
      </x:c>
      <x:c r="L420" s="10" t="str">
        <x:v>export control; dual-use; dual use; research security</x:v>
      </x:c>
      <x:c r="M420" s="10" t="str">
        <x:v>LERU requests safeguards for dual-use research in FP10.</x:v>
      </x:c>
      <x:c r="N420" s="10" t="str">
        <x:v>Direct European/EU relevance (fp10); R&amp;I evidence: research and innovation, research security; strategic evidence: export control, dual-use, dual use; bridge: sentence.</x:v>
      </x:c>
      <x:c r="O420" s="10" t="str"/>
      <x:c r="P420" s="10" t="str"/>
      <x:c r="Q420" s="10" t="str"/>
      <x:c r="R420" s="10" t="str">
        <x:v>2026-09-01T14:15Z</x:v>
      </x:c>
      <x:c r="S420" s="10" t="str">
        <x:v>https://era.gv.at/news-items/leru-urges-safeguards-for-dual-use-research-in-fp10/</x:v>
      </x:c>
    </x:row>
    <x:row r="421">
      <x:c r="A421" s="10" t="n">
        <x:f>'Ranked sources'!B421</x:f>
        <x:v>69</x:v>
      </x:c>
      <x:c r="B421" s="10" t="str">
        <x:v>European Parliament backs post-2027 Research Fund for Coal and Steel</x:v>
      </x:c>
      <x:c r="C421" s="10" t="str">
        <x:v>2026-05-20</x:v>
      </x:c>
      <x:c r="D421" s="10" t="str">
        <x:v>A</x:v>
      </x:c>
      <x:c r="E421" s="10" t="str">
        <x:v>ERA Portal Austria</x:v>
      </x:c>
      <x:c r="F421" s="10" t="str">
        <x:v>ERA Portal Austria</x:v>
      </x:c>
      <x:c r="G421" s="10" t="str">
        <x:v>research/policy paper</x:v>
      </x:c>
      <x:c r="H421" s="10" t="str">
        <x:v>Tier 1</x:v>
      </x:c>
      <x:c r="I421" s="10" t="str">
        <x:v>direct</x:v>
      </x:c>
      <x:c r="J421" s="10" t="str">
        <x:v>european parliament; europe; european</x:v>
      </x:c>
      <x:c r="K421" s="10" t="str">
        <x:v>research and innovation; european research area</x:v>
      </x:c>
      <x:c r="L421" s="10" t="str"/>
      <x:c r="M421" s="10" t="str">
        <x:v>European Parliament backs post-2027 Research Fund for Coal and Steel.</x:v>
      </x:c>
      <x:c r="N421" s="10" t="str">
        <x:v>Direct European/EU relevance (european parliament, europe); R&amp;I evidence: research and innovation, european research area; strategic significance is not explicit in the source and should be assessed as a possible longer-run implication.</x:v>
      </x:c>
      <x:c r="O421" s="10" t="str"/>
      <x:c r="P421" s="10" t="str"/>
      <x:c r="Q421" s="10" t="str"/>
      <x:c r="R421" s="10" t="str">
        <x:v>2026-09-01T14:15Z</x:v>
      </x:c>
      <x:c r="S421" s="10" t="str">
        <x:v>https://era.gv.at/news-items/european-parliament-backs-post-2027-research-fund-for-coal-and-steel/</x:v>
      </x:c>
    </x:row>
    <x:row r="422">
      <x:c r="A422" s="10" t="n">
        <x:f>'Ranked sources'!B422</x:f>
        <x:v>69</x:v>
      </x:c>
      <x:c r="B422" s="10" t="str">
        <x:v>Associated Countries urge EU to keep FP10 open and research-led</x:v>
      </x:c>
      <x:c r="C422" s="10" t="str">
        <x:v>2026-05-18</x:v>
      </x:c>
      <x:c r="D422" s="10" t="str">
        <x:v>A</x:v>
      </x:c>
      <x:c r="E422" s="10" t="str">
        <x:v>ERA Portal Austria</x:v>
      </x:c>
      <x:c r="F422" s="10" t="str">
        <x:v>ERA Portal Austria</x:v>
      </x:c>
      <x:c r="G422" s="10" t="str">
        <x:v>research/policy paper</x:v>
      </x:c>
      <x:c r="H422" s="10" t="str">
        <x:v>Tier 1</x:v>
      </x:c>
      <x:c r="I422" s="10" t="str">
        <x:v>direct</x:v>
      </x:c>
      <x:c r="J422" s="10" t="str">
        <x:v>fp10; EU</x:v>
      </x:c>
      <x:c r="K422" s="10" t="str">
        <x:v>research and innovation; horizon europe; fp10; european research area</x:v>
      </x:c>
      <x:c r="L422" s="10" t="str">
        <x:v>geopolit</x:v>
      </x:c>
      <x:c r="M422" s="10" t="str">
        <x:v>Associated Countries urge EU to keep FP10 open and research-led.</x:v>
      </x:c>
      <x:c r="N422" s="10" t="str">
        <x:v>Direct European/EU relevance (fp10, EU); R&amp;I evidence: research and innovation, horizon europe; strategic evidence: geopolit; bridge: title/abstract.</x:v>
      </x:c>
      <x:c r="O422" s="10" t="str"/>
      <x:c r="P422" s="10" t="str"/>
      <x:c r="Q422" s="10" t="str"/>
      <x:c r="R422" s="10" t="str">
        <x:v>2026-09-01T14:15Z</x:v>
      </x:c>
      <x:c r="S422" s="10" t="str">
        <x:v>https://era.gv.at/news-items/associated-countries-urge-eu-to-keep-fp10-open-and-research-led/</x:v>
      </x:c>
    </x:row>
    <x:row r="423">
      <x:c r="A423" s="10" t="n">
        <x:f>'Ranked sources'!B423</x:f>
        <x:v>69</x:v>
      </x:c>
      <x:c r="B423" s="10" t="str">
        <x:v>CESAER presents input paper on 28th regime</x:v>
      </x:c>
      <x:c r="C423" s="10" t="str">
        <x:v>2026-05-18</x:v>
      </x:c>
      <x:c r="D423" s="10" t="str">
        <x:v>A</x:v>
      </x:c>
      <x:c r="E423" s="10" t="str">
        <x:v>ERA Portal Austria</x:v>
      </x:c>
      <x:c r="F423" s="10" t="str">
        <x:v>ERA Portal Austria</x:v>
      </x:c>
      <x:c r="G423" s="10" t="str">
        <x:v>research/policy paper</x:v>
      </x:c>
      <x:c r="H423" s="10" t="str">
        <x:v>Tier 1</x:v>
      </x:c>
      <x:c r="I423" s="10" t="str">
        <x:v>direct</x:v>
      </x:c>
      <x:c r="J423" s="10" t="str">
        <x:v>european research area</x:v>
      </x:c>
      <x:c r="K423" s="10" t="str">
        <x:v>european research area; deep tech</x:v>
      </x:c>
      <x:c r="L423" s="10" t="str"/>
      <x:c r="M423" s="10" t="str">
        <x:v>In its input, CESAER underlines that EU Inc. should not be treated only as a company creation tool.</x:v>
      </x:c>
      <x:c r="N423" s="10" t="str">
        <x:v>Direct European/EU relevance (european research area); R&amp;I evidence: european research area, deep tech; strategic significance is not explicit in the source and should be assessed as a possible longer-run implication.</x:v>
      </x:c>
      <x:c r="O423" s="10" t="str"/>
      <x:c r="P423" s="10" t="str"/>
      <x:c r="Q423" s="10" t="str"/>
      <x:c r="R423" s="10" t="str">
        <x:v>2026-09-01T14:15Z</x:v>
      </x:c>
      <x:c r="S423" s="10" t="str">
        <x:v>https://era.gv.at/news-items/cesaer-presents-input-paper-on-28th-regime/</x:v>
      </x:c>
    </x:row>
    <x:row r="424">
      <x:c r="A424" s="10" t="n">
        <x:f>'Ranked sources'!B424</x:f>
        <x:v>69</x:v>
      </x:c>
      <x:c r="B424" s="10" t="str">
        <x:v>EC seeks feedback on industrial biotechnology and biomanufacturing</x:v>
      </x:c>
      <x:c r="C424" s="10" t="str">
        <x:v>2026-05-18</x:v>
      </x:c>
      <x:c r="D424" s="10" t="str">
        <x:v>A</x:v>
      </x:c>
      <x:c r="E424" s="10" t="str">
        <x:v>ERA Portal Austria</x:v>
      </x:c>
      <x:c r="F424" s="10" t="str">
        <x:v>ERA Portal Austria</x:v>
      </x:c>
      <x:c r="G424" s="10" t="str">
        <x:v>research/policy paper</x:v>
      </x:c>
      <x:c r="H424" s="10" t="str">
        <x:v>Tier 1</x:v>
      </x:c>
      <x:c r="I424" s="10" t="str">
        <x:v>direct</x:v>
      </x:c>
      <x:c r="J424" s="10" t="str">
        <x:v>european research area</x:v>
      </x:c>
      <x:c r="K424" s="10" t="str">
        <x:v>european research area</x:v>
      </x:c>
      <x:c r="L424" s="10" t="str"/>
      <x:c r="M424" s="10" t="str">
        <x:v>The Bioeconomy Strategy is followed by legislative proposals.</x:v>
      </x:c>
      <x:c r="N424" s="10" t="str">
        <x:v>Direct European/EU relevance (european research area); R&amp;I evidence: european research area; strategic significance is not explicit in the source and should be assessed as a possible longer-run implication.</x:v>
      </x:c>
      <x:c r="O424" s="10" t="str"/>
      <x:c r="P424" s="10" t="str"/>
      <x:c r="Q424" s="10" t="str"/>
      <x:c r="R424" s="10" t="str">
        <x:v>2026-09-01T14:15Z</x:v>
      </x:c>
      <x:c r="S424" s="10" t="str">
        <x:v>https://era.gv.at/news-items/ec-seeks-feedback-on-industrial-biotechnology-and-biomanufacturing/</x:v>
      </x:c>
    </x:row>
    <x:row r="425">
      <x:c r="A425" s="10" t="n">
        <x:f>'Ranked sources'!B425</x:f>
        <x:v>69</x:v>
      </x:c>
      <x:c r="B425" s="10" t="str">
        <x:v>Brussels seminar highlights regions’ role in Europe’s research and technology infrastructure strategy</x:v>
      </x:c>
      <x:c r="C425" s="10" t="str">
        <x:v>2026-05-13</x:v>
      </x:c>
      <x:c r="D425" s="10" t="str">
        <x:v>A</x:v>
      </x:c>
      <x:c r="E425" s="10" t="str">
        <x:v>ERA Portal Austria</x:v>
      </x:c>
      <x:c r="F425" s="10" t="str">
        <x:v>ERA Portal Austria</x:v>
      </x:c>
      <x:c r="G425" s="10" t="str">
        <x:v>research/policy paper</x:v>
      </x:c>
      <x:c r="H425" s="10" t="str">
        <x:v>Tier 1</x:v>
      </x:c>
      <x:c r="I425" s="10" t="str">
        <x:v>direct</x:v>
      </x:c>
      <x:c r="J425" s="10" t="str">
        <x:v>europe</x:v>
      </x:c>
      <x:c r="K425" s="10" t="str">
        <x:v>research and innovation; european research area; innovation ecosystem</x:v>
      </x:c>
      <x:c r="L425" s="10" t="str"/>
      <x:c r="M425" s="10" t="str">
        <x:v>Brussels seminar highlights regions’ role in Europe’s research and technology infrastructure strategy.</x:v>
      </x:c>
      <x:c r="N425" s="10" t="str">
        <x:v>Direct EU relevance (europe); R&amp;I evidence: research and innovation, european research area; strategic evidence: dependence_control, competition_capability, access to; bridge: title/abstract.</x:v>
      </x:c>
      <x:c r="O425" s="10" t="str"/>
      <x:c r="P425" s="10" t="str"/>
      <x:c r="Q425" s="10" t="str"/>
      <x:c r="R425" s="10" t="str">
        <x:v>2026-08-31T18:21Z</x:v>
      </x:c>
      <x:c r="S425" s="10" t="str">
        <x:v>https://era.gv.at/news-items/brussels-seminar-highlights-regions-role-in-europes-research-and-technology-infrastructure-strategy/</x:v>
      </x:c>
    </x:row>
    <x:row r="426">
      <x:c r="A426" s="10" t="n">
        <x:f>'Ranked sources'!B426</x:f>
        <x:v>69</x:v>
      </x:c>
      <x:c r="B426" s="10" t="str">
        <x:v>Marie Curie Alumni Association welcomes EU proposal for framework on science diplomacy</x:v>
      </x:c>
      <x:c r="C426" s="10" t="str">
        <x:v>2026-05-13</x:v>
      </x:c>
      <x:c r="D426" s="10" t="str">
        <x:v>A</x:v>
      </x:c>
      <x:c r="E426" s="10" t="str">
        <x:v>ERA Portal Austria</x:v>
      </x:c>
      <x:c r="F426" s="10" t="str">
        <x:v>ERA Portal Austria</x:v>
      </x:c>
      <x:c r="G426" s="10" t="str">
        <x:v>research/policy paper</x:v>
      </x:c>
      <x:c r="H426" s="10" t="str">
        <x:v>Tier 1</x:v>
      </x:c>
      <x:c r="I426" s="10" t="str">
        <x:v>direct</x:v>
      </x:c>
      <x:c r="J426" s="10" t="str">
        <x:v>EU</x:v>
      </x:c>
      <x:c r="K426" s="10" t="str">
        <x:v>science diplomacy; european research area</x:v>
      </x:c>
      <x:c r="L426" s="10" t="str">
        <x:v>geopolit; science diplomacy</x:v>
      </x:c>
      <x:c r="M426" s="10" t="str">
        <x:v>as an important milestone in strengthening the EU’s strategic, scientific.</x:v>
      </x:c>
      <x:c r="N426" s="10" t="str">
        <x:v>Direct European/EU relevance (EU); R&amp;I evidence: science diplomacy, european research area; strategic evidence: geopolit, science diplomacy; bridge: sentence.</x:v>
      </x:c>
      <x:c r="O426" s="10" t="str"/>
      <x:c r="P426" s="10" t="str"/>
      <x:c r="Q426" s="10" t="str"/>
      <x:c r="R426" s="10" t="str">
        <x:v>2026-09-01T14:15Z</x:v>
      </x:c>
      <x:c r="S426" s="10" t="str">
        <x:v>https://era.gv.at/news-items/marie-curie-alumni-association-welcomes-eu-proposal-for-a-framework-on-science-diplomacy/</x:v>
      </x:c>
    </x:row>
    <x:row r="427">
      <x:c r="A427" s="10" t="n">
        <x:f>'Ranked sources'!B427</x:f>
        <x:v>69</x:v>
      </x:c>
      <x:c r="B427" s="10" t="str">
        <x:v>Commission publishes update of ERA Living Guidelines on responsible use of Generative AI in research</x:v>
      </x:c>
      <x:c r="C427" s="10" t="str">
        <x:v>2026-05-11</x:v>
      </x:c>
      <x:c r="D427" s="10" t="str">
        <x:v>A</x:v>
      </x:c>
      <x:c r="E427" s="10" t="str">
        <x:v>ERA Portal Austria</x:v>
      </x:c>
      <x:c r="F427" s="10" t="str">
        <x:v>ERA Portal Austria</x:v>
      </x:c>
      <x:c r="G427" s="10" t="str">
        <x:v>research/policy paper</x:v>
      </x:c>
      <x:c r="H427" s="10" t="str">
        <x:v>Tier 1</x:v>
      </x:c>
      <x:c r="I427" s="10" t="str">
        <x:v>direct</x:v>
      </x:c>
      <x:c r="J427" s="10" t="str">
        <x:v>european research area</x:v>
      </x:c>
      <x:c r="K427" s="10" t="str">
        <x:v>european research area; ai + research</x:v>
      </x:c>
      <x:c r="L427" s="10" t="str"/>
      <x:c r="M427" s="10" t="str">
        <x:v>Commission publishes update of ERA Living Guidelines on responsible use of Generative AI in research.</x:v>
      </x:c>
      <x:c r="N427" s="10" t="str">
        <x:v>Direct European/EU relevance (european research area); R&amp;I evidence: european research area, ai + research; strategic significance is not explicit in the source and should be assessed as a possible longer-run implication.</x:v>
      </x:c>
      <x:c r="O427" s="10" t="str"/>
      <x:c r="P427" s="10" t="str"/>
      <x:c r="Q427" s="10" t="str"/>
      <x:c r="R427" s="10" t="str">
        <x:v>2026-09-01T14:15Z</x:v>
      </x:c>
      <x:c r="S427" s="10" t="str">
        <x:v>https://era.gv.at/news-items/commission-publishes-update-of-era-living-guidelines-on-responsible-use-of-generative-ai-in-research/</x:v>
      </x:c>
    </x:row>
    <x:row r="428">
      <x:c r="A428" s="10" t="n">
        <x:f>'Ranked sources'!B428</x:f>
        <x:v>69</x:v>
      </x:c>
      <x:c r="B428" s="10" t="str">
        <x:v>Science Europe calls for stronger minimum standards to improve research careers across Europe</x:v>
      </x:c>
      <x:c r="C428" s="10" t="str">
        <x:v>2026-05-11</x:v>
      </x:c>
      <x:c r="D428" s="10" t="str">
        <x:v>A</x:v>
      </x:c>
      <x:c r="E428" s="10" t="str">
        <x:v>ERA Portal Austria</x:v>
      </x:c>
      <x:c r="F428" s="10" t="str">
        <x:v>ERA Portal Austria</x:v>
      </x:c>
      <x:c r="G428" s="10" t="str">
        <x:v>research/policy paper</x:v>
      </x:c>
      <x:c r="H428" s="10" t="str">
        <x:v>Tier 1</x:v>
      </x:c>
      <x:c r="I428" s="10" t="str">
        <x:v>direct</x:v>
      </x:c>
      <x:c r="J428" s="10" t="str">
        <x:v>europe</x:v>
      </x:c>
      <x:c r="K428" s="10" t="str">
        <x:v>european research area; research organisation; research talent; research careers</x:v>
      </x:c>
      <x:c r="L428" s="10" t="str"/>
      <x:c r="M428" s="10" t="str">
        <x:v>and responsive to the needs of research talent across Europe.</x:v>
      </x:c>
      <x:c r="N428" s="10" t="str">
        <x:v>Direct EU relevance (europe); R&amp;I evidence: european research area, research organisation; strategic evidence: rules_power, talent_position, standards; bridge: title/abstract.</x:v>
      </x:c>
      <x:c r="O428" s="10" t="str">
        <x:v>knowledge-A</x:v>
      </x:c>
      <x:c r="P428" s="10" t="str"/>
      <x:c r="Q428" s="10" t="str"/>
      <x:c r="R428" s="10" t="str">
        <x:v>2026-08-31T18:21Z</x:v>
      </x:c>
      <x:c r="S428" s="10" t="str">
        <x:v>https://era.gv.at/news-items/science-europe-calls-for-stronger-minimum-standards-to-improve-research-careers-across-europe/</x:v>
      </x:c>
    </x:row>
    <x:row r="429">
      <x:c r="A429" s="10" t="n">
        <x:f>'Ranked sources'!B429</x:f>
        <x:v>69</x:v>
      </x:c>
      <x:c r="B429" s="10" t="str">
        <x:v>Science|Business: Make more use of Horizon Europe funding, Zaharieva tells university alliances</x:v>
      </x:c>
      <x:c r="C429" s="10" t="str">
        <x:v>2026-05-07</x:v>
      </x:c>
      <x:c r="D429" s="10" t="str">
        <x:v>A</x:v>
      </x:c>
      <x:c r="E429" s="10" t="str">
        <x:v>ERA Portal Austria</x:v>
      </x:c>
      <x:c r="F429" s="10" t="str">
        <x:v>ERA Portal Austria</x:v>
      </x:c>
      <x:c r="G429" s="10" t="str">
        <x:v>research/policy paper</x:v>
      </x:c>
      <x:c r="H429" s="10" t="str">
        <x:v>Tier 1</x:v>
      </x:c>
      <x:c r="I429" s="10" t="str">
        <x:v>direct</x:v>
      </x:c>
      <x:c r="J429" s="10" t="str">
        <x:v>horizon europe; europe</x:v>
      </x:c>
      <x:c r="K429" s="10" t="str">
        <x:v>horizon europe; european research area; research organisation</x:v>
      </x:c>
      <x:c r="L429" s="10" t="str"/>
      <x:c r="M429" s="10" t="str">
        <x:v>Science|Business: Make more use of Horizon Europe funding, Zaharieva tells university alliances.</x:v>
      </x:c>
      <x:c r="N429" s="10" t="str">
        <x:v>Direct European/EU relevance (horizon europe, europe); R&amp;I evidence: horizon europe, european research area; strategic significance is not explicit in the source and should be assessed as a possible longer-run implication.</x:v>
      </x:c>
      <x:c r="O429" s="10" t="str"/>
      <x:c r="P429" s="10" t="str"/>
      <x:c r="Q429" s="10" t="str"/>
      <x:c r="R429" s="10" t="str">
        <x:v>2026-09-01T14:15Z</x:v>
      </x:c>
      <x:c r="S429" s="10" t="str">
        <x:v>https://era.gv.at/news-items/sciencebusiness-make-more-use-of-horizon-europe-funding-zaharieva-tells-university-alliances/</x:v>
      </x:c>
    </x:row>
    <x:row r="430">
      <x:c r="A430" s="10" t="n">
        <x:f>'Ranked sources'!B430</x:f>
        <x:v>69</x:v>
      </x:c>
      <x:c r="B430" s="10" t="str">
        <x:v>European stakeholders discuss European strategy on research and technology infrastructures</x:v>
      </x:c>
      <x:c r="C430" s="10" t="str">
        <x:v>2026-05-06</x:v>
      </x:c>
      <x:c r="D430" s="10" t="str">
        <x:v>A</x:v>
      </x:c>
      <x:c r="E430" s="10" t="str">
        <x:v>ERA Portal Austria</x:v>
      </x:c>
      <x:c r="F430" s="10" t="str">
        <x:v>ERA Portal Austria</x:v>
      </x:c>
      <x:c r="G430" s="10" t="str">
        <x:v>research/policy paper</x:v>
      </x:c>
      <x:c r="H430" s="10" t="str">
        <x:v>Tier 1</x:v>
      </x:c>
      <x:c r="I430" s="10" t="str">
        <x:v>direct</x:v>
      </x:c>
      <x:c r="J430" s="10" t="str">
        <x:v>europe; european</x:v>
      </x:c>
      <x:c r="K430" s="10" t="str">
        <x:v>research and innovation; european research area; innovation ecosystem</x:v>
      </x:c>
      <x:c r="L430" s="10" t="str"/>
      <x:c r="M430" s="10" t="str">
        <x:v>She stressed that local authorities are not just implementers.</x:v>
      </x:c>
      <x:c r="N430" s="10" t="str">
        <x:v>Direct EU relevance (europe, european); R&amp;I evidence: research and innovation, european research area; strategic evidence: dependence_control, competition_capability, international_coordination; bridge: title/abstract.</x:v>
      </x:c>
      <x:c r="O430" s="10" t="str"/>
      <x:c r="P430" s="10" t="str"/>
      <x:c r="Q430" s="10" t="str"/>
      <x:c r="R430" s="10" t="str">
        <x:v>2026-08-31T18:21Z</x:v>
      </x:c>
      <x:c r="S430" s="10" t="str">
        <x:v>https://era.gv.at/news-items/european-stakeholders-discuss-european-strategy-on-research-and-technology-infrastructures/</x:v>
      </x:c>
    </x:row>
    <x:row r="431">
      <x:c r="A431" s="10" t="n">
        <x:f>'Ranked sources'!B431</x:f>
        <x:v>68</x:v>
      </x:c>
      <x:c r="B431" s="10" t="str">
        <x:v>Entrepreneurial postdoc positions at ELLIS Institute Finland | ELLIS Institute Finland</x:v>
      </x:c>
      <x:c r="C431" s="10" t="str">
        <x:v>2026-08-21</x:v>
      </x:c>
      <x:c r="D431" s="10" t="str">
        <x:v>A</x:v>
      </x:c>
      <x:c r="E431" s="10" t="str">
        <x:v>ELLIS Institute Finland</x:v>
      </x:c>
      <x:c r="F431" s="10" t="str">
        <x:v>ELLIS Institute Finland</x:v>
      </x:c>
      <x:c r="G431" s="10" t="str">
        <x:v>research/policy paper</x:v>
      </x:c>
      <x:c r="H431" s="10" t="str">
        <x:v>Tier 1</x:v>
      </x:c>
      <x:c r="I431" s="10" t="str">
        <x:v>direct</x:v>
      </x:c>
      <x:c r="J431" s="10" t="str">
        <x:v>finland</x:v>
      </x:c>
      <x:c r="K431" s="10" t="str">
        <x:v>ai + research; ai + science</x:v>
      </x:c>
      <x:c r="L431" s="10" t="str"/>
      <x:c r="M431" s="10" t="str">
        <x:v>Apply to join the Institute research groups!.</x:v>
      </x:c>
      <x:c r="N431" s="10" t="str">
        <x:v>Direct European/EU relevance (finland); R&amp;I evidence: ai + research, ai + science; strategic significance is not explicit in the source and should be assessed as a possible longer-run implication.</x:v>
      </x:c>
      <x:c r="O431" s="10" t="str">
        <x:v>infrastructure-A</x:v>
      </x:c>
      <x:c r="P431" s="10" t="str"/>
      <x:c r="Q431" s="10" t="str"/>
      <x:c r="R431" s="10" t="str">
        <x:v>2026-09-02T11:41Z</x:v>
      </x:c>
      <x:c r="S431" s="10" t="str">
        <x:v>https://www.ellisinstitute.fi/entrepreneurial-postdoc-recruit-autumn-2026</x:v>
      </x:c>
    </x:row>
    <x:row r="432">
      <x:c r="A432" s="10" t="n">
        <x:f>'Ranked sources'!B432</x:f>
        <x:v>68</x:v>
      </x:c>
      <x:c r="B432" s="10" t="str">
        <x:v>Postdoc and doctoral student positions at ELLIS Institute Finland | ELLIS Institute Finland</x:v>
      </x:c>
      <x:c r="C432" s="10" t="str">
        <x:v>2026-08-21</x:v>
      </x:c>
      <x:c r="D432" s="10" t="str">
        <x:v>A</x:v>
      </x:c>
      <x:c r="E432" s="10" t="str">
        <x:v>ELLIS Institute Finland</x:v>
      </x:c>
      <x:c r="F432" s="10" t="str">
        <x:v>ELLIS Institute Finland</x:v>
      </x:c>
      <x:c r="G432" s="10" t="str">
        <x:v>research/policy paper</x:v>
      </x:c>
      <x:c r="H432" s="10" t="str">
        <x:v>Tier 1</x:v>
      </x:c>
      <x:c r="I432" s="10" t="str">
        <x:v>direct</x:v>
      </x:c>
      <x:c r="J432" s="10" t="str">
        <x:v>finland</x:v>
      </x:c>
      <x:c r="K432" s="10" t="str">
        <x:v>ai + research; artificial intelligence + research</x:v>
      </x:c>
      <x:c r="L432" s="10" t="str"/>
      <x:c r="M432" s="10" t="str">
        <x:v>Apply to join the Institute research groups!.</x:v>
      </x:c>
      <x:c r="N432" s="10" t="str">
        <x:v>Direct European/EU relevance (finland); R&amp;I evidence: ai + research, artificial intelligence + research; strategic significance is not explicit in the source and should be assessed as a possible longer-run implication.</x:v>
      </x:c>
      <x:c r="O432" s="10" t="str">
        <x:v>knowledge-A</x:v>
      </x:c>
      <x:c r="P432" s="10" t="str"/>
      <x:c r="Q432" s="10" t="str"/>
      <x:c r="R432" s="10" t="str">
        <x:v>2026-09-02T11:41Z</x:v>
      </x:c>
      <x:c r="S432" s="10" t="str">
        <x:v>https://www.ellisinstitute.fi/postdoc-and-phd-recruit-autumn-2026</x:v>
      </x:c>
    </x:row>
    <x:row r="433">
      <x:c r="A433" s="10" t="n">
        <x:f>'Ranked sources'!B433</x:f>
        <x:v>68</x:v>
      </x:c>
      <x:c r="B433" s="10" t="str">
        <x:v>RealYou AI will develop the next generation of personalized AI decision assistants | ELLIS Institute Finland</x:v>
      </x:c>
      <x:c r="C433" s="10" t="str">
        <x:v>2026-07-01</x:v>
      </x:c>
      <x:c r="D433" s="10" t="str">
        <x:v>A</x:v>
      </x:c>
      <x:c r="E433" s="10" t="str">
        <x:v>ELLIS Institute Finland</x:v>
      </x:c>
      <x:c r="F433" s="10" t="str">
        <x:v>ELLIS Institute Finland</x:v>
      </x:c>
      <x:c r="G433" s="10" t="str">
        <x:v>research/policy paper</x:v>
      </x:c>
      <x:c r="H433" s="10" t="str">
        <x:v>Tier 1</x:v>
      </x:c>
      <x:c r="I433" s="10" t="str">
        <x:v>direct</x:v>
      </x:c>
      <x:c r="J433" s="10" t="str">
        <x:v>finland</x:v>
      </x:c>
      <x:c r="K433" s="10" t="str">
        <x:v>ai + research; artificial intelligence + innovation; ai + science; ai + prototype</x:v>
      </x:c>
      <x:c r="L433" s="10" t="str"/>
      <x:c r="M433" s="10" t="str">
        <x:v>RealYou AI will develop the next generation of personalized AI decision assistants | ELLIS Institute Finland.</x:v>
      </x:c>
      <x:c r="N433" s="10" t="str">
        <x:v>Direct European/EU relevance (finland); R&amp;I evidence: ai + research, artificial intelligence + innovation; strategic evidence: dependence_control, competition_capability, dependence; bridge: title/abstract.</x:v>
      </x:c>
      <x:c r="O433" s="10" t="str"/>
      <x:c r="P433" s="10" t="str"/>
      <x:c r="Q433" s="10" t="str"/>
      <x:c r="R433" s="10" t="str">
        <x:v>2026-09-02T11:55Z</x:v>
      </x:c>
      <x:c r="S433" s="10" t="str">
        <x:v>https://www.ellisinstitute.fi/realyou-ai-will-develop-the-next-generation-of-personalized-ai-decision-assistants</x:v>
      </x:c>
    </x:row>
    <x:row r="434">
      <x:c r="A434" s="10" t="n">
        <x:f>'Ranked sources'!B434</x:f>
        <x:v>66</x:v>
      </x:c>
      <x:c r="B434" s="10" t="str">
        <x:v>The Global Landscape of National AI Strategies</x:v>
      </x:c>
      <x:c r="C434" s="10" t="str">
        <x:v>2026-07-28</x:v>
      </x:c>
      <x:c r="D434" s="10" t="str">
        <x:v>A</x:v>
      </x:c>
      <x:c r="E434" s="10" t="str">
        <x:v>World Bank</x:v>
      </x:c>
      <x:c r="F434" s="10" t="str">
        <x:v>Roxana Radu</x:v>
      </x:c>
      <x:c r="G434" s="10" t="str">
        <x:v>working paper</x:v>
      </x:c>
      <x:c r="H434" s="10" t="str">
        <x:v>Tier 3</x:v>
      </x:c>
      <x:c r="I434" s="10" t="str">
        <x:v>direct</x:v>
      </x:c>
      <x:c r="J434" s="10" t="str">
        <x:v>EU AI Act; European Chips Act; EuroStack</x:v>
      </x:c>
      <x:c r="K434" s="10" t="str">
        <x:v>compute capacity; supercomputing infrastructure; AI innovation; research ecosystems</x:v>
      </x:c>
      <x:c r="L434" s="10" t="str">
        <x:v>AI sovereignty; strategic autonomy; strategic competition; technology dependence</x:v>
      </x:c>
      <x:c r="M434" s="10" t="str">
        <x:v>National AI strategies increasingly connect compute capacity and AI sovereignty to geopolitical competition.</x:v>
      </x:c>
      <x:c r="N434" s="10" t="str">
        <x:v>Direct European relevance verified in the full text through the EU AI Act, European Chips Act and EuroStack; R&amp;I mechanisms include compute and supercomputing capacity, AI innovation and research ecosystems; strategic mechanisms include AI sovereignty, strategic autonomy and technology competition.</x:v>
      </x:c>
      <x:c r="O434" s="10" t="str">
        <x:v>infrastructure-A</x:v>
      </x:c>
      <x:c r="P434" s="10" t="str"/>
      <x:c r="Q434" s="10" t="str">
        <x:v>manual</x:v>
      </x:c>
      <x:c r="R434" s="10" t="str">
        <x:v>2026-08-29T19:54Z</x:v>
      </x:c>
      <x:c r="S434" s="10" t="str">
        <x:v>https://thedocs.worldbank.org/en/doc/f74e811954e7a2a0045cd6330c967590-0050062026/the-global-landscape-of-national-ai-strategies</x:v>
      </x:c>
    </x:row>
    <x:row r="435">
      <x:c r="A435" s="10" t="n">
        <x:f>'Ranked sources'!B435</x:f>
        <x:v>60</x:v>
      </x:c>
      <x:c r="B435" s="10" t="str">
        <x:v>A 'normal' research trap limits scientific breakthroughs and disruptive innovation in the European Union</x:v>
      </x:c>
      <x:c r="C435" s="10" t="str">
        <x:v>2026-07-09</x:v>
      </x:c>
      <x:c r="D435" s="10" t="str">
        <x:v>A</x:v>
      </x:c>
      <x:c r="E435" s="10" t="str">
        <x:v>arXiv</x:v>
      </x:c>
      <x:c r="F435" s="10" t="str">
        <x:v>Alonso Rodríguez‐Navarro</x:v>
      </x:c>
      <x:c r="G435" s="10" t="str">
        <x:v>preprint</x:v>
      </x:c>
      <x:c r="H435" s="10" t="str">
        <x:v>Tier 3 preprint</x:v>
      </x:c>
      <x:c r="I435" s="10" t="str">
        <x:v>direct</x:v>
      </x:c>
      <x:c r="J435" s="10" t="str"/>
      <x:c r="K435" s="10" t="str"/>
      <x:c r="L435" s="10" t="str"/>
      <x:c r="M435" s="10" t="str">
        <x:v>And Spain has long been evident, yet meaningful reforms have not been implemented.</x:v>
      </x:c>
      <x:c r="N435" s="10" t="str">
        <x:v>Direct EU relevance (european union, europe); R&amp;I evidence: research policy, research system; strategic evidence: substantive strategic evidence; bridge: title/abstract.</x:v>
      </x:c>
      <x:c r="O435" s="10" t="str"/>
      <x:c r="P435" s="10" t="str"/>
      <x:c r="Q435" s="10" t="str"/>
      <x:c r="R435" s="10" t="str">
        <x:v>2026-08-23T19:34Z</x:v>
      </x:c>
      <x:c r="S435" s="10" t="str">
        <x:v>https://arxiv.org/abs/2607.08328</x:v>
      </x:c>
    </x:row>
    <x:row r="436">
      <x:c r="A436" s="10" t="n">
        <x:f>'Ranked sources'!B436</x:f>
        <x:v>60</x:v>
      </x:c>
      <x:c r="B436" s="10" t="str">
        <x:v>Exploring fair access to quantum computing</x:v>
      </x:c>
      <x:c r="C436" s="10" t="str">
        <x:v>2026-06-11</x:v>
      </x:c>
      <x:c r="D436" s="10" t="str">
        <x:v>A</x:v>
      </x:c>
      <x:c r="E436" s="10" t="str">
        <x:v>arXiv</x:v>
      </x:c>
      <x:c r="F436" s="10" t="str">
        <x:v>Benedict Lane, Pieter Vermaas</x:v>
      </x:c>
      <x:c r="G436" s="10" t="str">
        <x:v>preprint</x:v>
      </x:c>
      <x:c r="H436" s="10" t="str">
        <x:v>Tier 3 preprint</x:v>
      </x:c>
      <x:c r="I436" s="10" t="str">
        <x:v>direct</x:v>
      </x:c>
      <x:c r="J436" s="10" t="str"/>
      <x:c r="K436" s="10" t="str"/>
      <x:c r="L436" s="10" t="str"/>
      <x:c r="M436" s="10" t="str">
        <x:v>Among the issues at stake are: Europe's technological autonomy and sovereignty.</x:v>
      </x:c>
      <x:c r="N436" s="10" t="str">
        <x:v>Direct EU relevance (EU); R&amp;I evidence: knowledge security, quantum + research; strategic evidence: knowledge security; bridge: sentence.</x:v>
      </x:c>
      <x:c r="O436" s="10" t="str">
        <x:v>knowledge-B</x:v>
      </x:c>
      <x:c r="P436" s="10" t="str"/>
      <x:c r="Q436" s="10" t="str"/>
      <x:c r="R436" s="10" t="str">
        <x:v>2026-08-26T18:53Z</x:v>
      </x:c>
      <x:c r="S436" s="10" t="str">
        <x:v>https://arxiv.org/abs/2606.13027</x:v>
      </x:c>
    </x:row>
    <x:row r="437">
      <x:c r="A437" s="10" t="n">
        <x:f>'Ranked sources'!B437</x:f>
        <x:v>60</x:v>
      </x:c>
      <x:c r="B437" s="10" t="str">
        <x:v>Materealistic? How European energy system models exceed raw material reserves</x:v>
      </x:c>
      <x:c r="C437" s="10" t="str">
        <x:v>2026-06-10</x:v>
      </x:c>
      <x:c r="D437" s="10" t="str">
        <x:v>A</x:v>
      </x:c>
      <x:c r="E437" s="10" t="str">
        <x:v>arXiv</x:v>
      </x:c>
      <x:c r="F437" s="10" t="str">
        <x:v>Jan Mutke, Jonas Finke, Katharina Esser, Heidi Heinrichs</x:v>
      </x:c>
      <x:c r="G437" s="10" t="str">
        <x:v>preprint</x:v>
      </x:c>
      <x:c r="H437" s="10" t="str">
        <x:v>Tier 3 preprint</x:v>
      </x:c>
      <x:c r="I437" s="10" t="str">
        <x:v>direct</x:v>
      </x:c>
      <x:c r="J437" s="10" t="str"/>
      <x:c r="K437" s="10" t="str"/>
      <x:c r="L437" s="10" t="str"/>
      <x:c r="M437" s="10" t="str">
        <x:v>Decarbonising energy systems reduces emissions and fossil fuel dependency.</x:v>
      </x:c>
      <x:c r="N437" s="10" t="str">
        <x:v>Direct EU relevance (europe, european); R&amp;I evidence: technological innovation; strategic evidence: critical raw materials; bridge: title/abstract.</x:v>
      </x:c>
      <x:c r="O437" s="10" t="str">
        <x:v>infrastructure-A</x:v>
      </x:c>
      <x:c r="P437" s="10" t="str"/>
      <x:c r="Q437" s="10" t="str">
        <x:v>manual</x:v>
      </x:c>
      <x:c r="R437" s="10" t="str">
        <x:v>2026-08-24T13:15Z</x:v>
      </x:c>
      <x:c r="S437" s="10" t="str">
        <x:v>https://arxiv.org/abs/2606.12201</x:v>
      </x:c>
    </x:row>
    <x:row r="438">
      <x:c r="A438" s="10" t="n">
        <x:f>'Ranked sources'!B438</x:f>
        <x:v>60</x:v>
      </x:c>
      <x:c r="B438" s="10" t="str">
        <x:v>Bilateral and multilateral international scientific collaboration of EU member states: OpenAlex vs Scopus (2000-2024)</x:v>
      </x:c>
      <x:c r="C438" s="10" t="str">
        <x:v>2026-06-04</x:v>
      </x:c>
      <x:c r="D438" s="10" t="str">
        <x:v>A</x:v>
      </x:c>
      <x:c r="E438" s="10" t="str">
        <x:v>arXiv</x:v>
      </x:c>
      <x:c r="F438" s="10" t="str">
        <x:v>Myroslava Hladchenko</x:v>
      </x:c>
      <x:c r="G438" s="10" t="str">
        <x:v>preprint</x:v>
      </x:c>
      <x:c r="H438" s="10" t="str">
        <x:v>Tier 3 preprint</x:v>
      </x:c>
      <x:c r="I438" s="10" t="str">
        <x:v>direct</x:v>
      </x:c>
      <x:c r="J438" s="10" t="str">
        <x:v>member state; member states; EU</x:v>
      </x:c>
      <x:c r="K438" s="10" t="str">
        <x:v>research collaboration; scientific collaboration; horizon europe</x:v>
      </x:c>
      <x:c r="L438" s="10" t="str"/>
      <x:c r="M438" s="10" t="str">
        <x:v>Bilateral and multilateral international scientific collaboration of EU member states: OpenAlex vs Scopus (2000-2024).</x:v>
      </x:c>
      <x:c r="N438" s="10" t="str">
        <x:v>Direct European/EU relevance (member state, member states); R&amp;I evidence: research collaboration, scientific collaboration; strategic significance is not explicit in the source and should be assessed as a possible longer-run implication.</x:v>
      </x:c>
      <x:c r="O438" s="10" t="str"/>
      <x:c r="P438" s="10" t="str"/>
      <x:c r="Q438" s="10" t="str"/>
      <x:c r="R438" s="10" t="str">
        <x:v>2026-09-01T15:01Z</x:v>
      </x:c>
      <x:c r="S438" s="10" t="str">
        <x:v>https://arxiv.org/abs/2606.06336</x:v>
      </x:c>
    </x:row>
    <x:row r="439">
      <x:c r="A439" s="10" t="n">
        <x:f>'Ranked sources'!B439</x:f>
        <x:v>60</x:v>
      </x:c>
      <x:c r="B439" s="10" t="str">
        <x:v>Emerging and established topics in drone research: Citation impact and knowledge flows across China, the United States, the EU, Ukraine, and Russia (2020-2025)</x:v>
      </x:c>
      <x:c r="C439" s="10" t="str">
        <x:v>2026-06-02</x:v>
      </x:c>
      <x:c r="D439" s="10" t="str">
        <x:v>A</x:v>
      </x:c>
      <x:c r="E439" s="10" t="str">
        <x:v>arXiv</x:v>
      </x:c>
      <x:c r="F439" s="10" t="str">
        <x:v>Myroslava Hladchenko</x:v>
      </x:c>
      <x:c r="G439" s="10" t="str">
        <x:v>preprint</x:v>
      </x:c>
      <x:c r="H439" s="10" t="str">
        <x:v>Tier 3 preprint</x:v>
      </x:c>
      <x:c r="I439" s="10" t="str">
        <x:v>direct</x:v>
      </x:c>
      <x:c r="J439" s="10" t="str"/>
      <x:c r="K439" s="10" t="str"/>
      <x:c r="L439" s="10" t="str"/>
      <x:c r="M439" s="10" t="str">
        <x:v>Drone research shows growing geopolitical gaps in output, citations and international knowledge flows.</x:v>
      </x:c>
      <x:c r="N439" s="10" t="str">
        <x:v>Direct EU relevance (EU); R&amp;I evidence: research organisation; strategic evidence: geopolit; bridge: title/abstract.</x:v>
      </x:c>
      <x:c r="O439" s="10" t="str"/>
      <x:c r="P439" s="10" t="str"/>
      <x:c r="Q439" s="10" t="str">
        <x:v>both</x:v>
      </x:c>
      <x:c r="R439" s="10" t="str">
        <x:v>2026-08-23T21:32Z</x:v>
      </x:c>
      <x:c r="S439" s="10" t="str">
        <x:v>https://arxiv.org/abs/2606.03362</x:v>
      </x:c>
    </x:row>
    <x:row r="440">
      <x:c r="A440" s="10" t="n">
        <x:f>'Ranked sources'!B440</x:f>
        <x:v>54</x:v>
      </x:c>
      <x:c r="B440" s="10" t="str">
        <x:v>Government of Canada Invests CAD $195 Million in Xanadu to Build the Quantum Supply Chain</x:v>
      </x:c>
      <x:c r="C440" s="10" t="str">
        <x:v>2026-08-28</x:v>
      </x:c>
      <x:c r="D440" s="10" t="str">
        <x:v>C</x:v>
      </x:c>
      <x:c r="E440" s="10" t="str">
        <x:v>Financial Times</x:v>
      </x:c>
      <x:c r="F440" s="10" t="str"/>
      <x:c r="G440" s="10" t="str">
        <x:v>investment / capacity</x:v>
      </x:c>
      <x:c r="H440" s="10" t="str"/>
      <x:c r="I440" s="10" t="str"/>
      <x:c r="J440" s="10" t="str"/>
      <x:c r="K440" s="10" t="str"/>
      <x:c r="L440" s="10" t="str"/>
      <x:c r="M440" s="10" t="str">
        <x:v>Government of Canada Invests CAD $195 Million in Xanadu to Build the Quantum Supply Chain.</x:v>
      </x:c>
      <x:c r="N440" s="10" t="str">
        <x:v>This may affect European access, investment or capability-building in a technology that is becoming strategically important.</x:v>
      </x:c>
      <x:c r="O440" s="10" t="str"/>
      <x:c r="P440" s="10" t="str"/>
      <x:c r="Q440" s="10" t="str">
        <x:v>google_news_rss</x:v>
      </x:c>
      <x:c r="R440" s="10" t="str">
        <x:v>2026-09-01T17:38Z</x:v>
      </x:c>
      <x:c r="S440" s="10" t="str">
        <x:v>https://news.google.com/rss/articles/CBMilwFBVV95cUxQTFh2ZFhnM2cwelFWaHVOMWVTTVJWN1FCTlZVdzJJY3NJUXRDTDBubWg0OEF3MmVpMHRIYlBWNE1SZW9wbDFtak5BeTBTTEJ5WWNfV2VxTXloWHJmRDA1eHpidmFNQkNrVXdCWEhNTmhGYk1hTG80S1M1S0JDNHd3dkd1YzhKaEU5TWV0aGNyYkpxdG84MWU0?oc=5</x:v>
      </x:c>
    </x:row>
    <x:row r="441">
      <x:c r="A441" s="10" t="n">
        <x:f>'Ranked sources'!B441</x:f>
        <x:v>54</x:v>
      </x:c>
      <x:c r="B441" s="10" t="str">
        <x:v>UK venture capital investment rebounds as software and biotech attract funding</x:v>
      </x:c>
      <x:c r="C441" s="10" t="str">
        <x:v>2026-08-28</x:v>
      </x:c>
      <x:c r="D441" s="10" t="str">
        <x:v>C</x:v>
      </x:c>
      <x:c r="E441" s="10" t="str">
        <x:v>Financial Times</x:v>
      </x:c>
      <x:c r="F441" s="10" t="str"/>
      <x:c r="G441" s="10" t="str">
        <x:v>investment / capacity</x:v>
      </x:c>
      <x:c r="H441" s="10" t="str"/>
      <x:c r="I441" s="10" t="str"/>
      <x:c r="J441" s="10" t="str"/>
      <x:c r="K441" s="10" t="str"/>
      <x:c r="L441" s="10" t="str"/>
      <x:c r="M441" s="10" t="str">
        <x:v>UK venture capital investment rebounds as software and biotech attract funding.</x:v>
      </x:c>
      <x:c r="N441" s="10" t="str">
        <x:v>This may affect European access, investment or capability-building in a technology that is becoming strategically important.</x:v>
      </x:c>
      <x:c r="O441" s="10" t="str"/>
      <x:c r="P441" s="10" t="str"/>
      <x:c r="Q441" s="10" t="str">
        <x:v>google_news_rss</x:v>
      </x:c>
      <x:c r="R441" s="10" t="str">
        <x:v>2026-09-01T18:33Z</x:v>
      </x:c>
      <x:c r="S441" s="10" t="str">
        <x:v>https://www.ft.com/content/25121087-b57c-4a50-ae83-f09399e2e84d</x:v>
      </x:c>
    </x:row>
    <x:row r="442">
      <x:c r="A442" s="10" t="n">
        <x:f>'Ranked sources'!B442</x:f>
        <x:v>54</x:v>
      </x:c>
      <x:c r="B442" s="10" t="str">
        <x:v>The loss of the 2021 expanded Child Tax Credit deepened economic pessimism | Brookings How the Expanded Child Tax Credit Affected Economic Sentiment</x:v>
      </x:c>
      <x:c r="C442" s="10" t="str">
        <x:v>2026-08-25</x:v>
      </x:c>
      <x:c r="D442" s="10" t="str">
        <x:v>C</x:v>
      </x:c>
      <x:c r="E442" s="10" t="str">
        <x:v>Brookings</x:v>
      </x:c>
      <x:c r="F442" s="10" t="str"/>
      <x:c r="G442" s="10" t="str">
        <x:v>research / talent</x:v>
      </x:c>
      <x:c r="H442" s="10" t="str"/>
      <x:c r="I442" s="10" t="str"/>
      <x:c r="J442" s="10" t="str"/>
      <x:c r="K442" s="10" t="str"/>
      <x:c r="L442" s="10" t="str"/>
      <x:c r="M442" s="10" t="str">
        <x:v>Sun Bucks: A new chapter in the fight against child hunger Economic Security &amp; Mobility Sun Bucks: A new chapter in the fight against child hunger Jacob Bastian June 26, 2025. This links research and innovation capacity more directly to economic-security policy, funding and strategic dependencies.</x:v>
      </x:c>
      <x:c r="N442" s="10" t="str">
        <x:v>This links research and innovation capacity more directly to economic-security policy, funding and strategic dependencies.</x:v>
      </x:c>
      <x:c r="O442" s="10" t="str"/>
      <x:c r="P442" s="10" t="str"/>
      <x:c r="Q442" s="10" t="str"/>
      <x:c r="R442" s="10" t="str">
        <x:v>2026-09-02T11:41Z</x:v>
      </x:c>
      <x:c r="S442" s="10" t="str">
        <x:v>https://www.brookings.edu/articles/expanded-child-tax-credit-economic-sentiment/</x:v>
      </x:c>
    </x:row>
    <x:row r="443">
      <x:c r="A443" s="10" t="n">
        <x:f>'Ranked sources'!B443</x:f>
        <x:v>54</x:v>
      </x:c>
      <x:c r="B443" s="10" t="str">
        <x:v>Europe Unveils US$35 Billion AI Gigafactory Plan</x:v>
      </x:c>
      <x:c r="C443" s="10" t="str">
        <x:v>2026-08-13</x:v>
      </x:c>
      <x:c r="D443" s="10" t="str">
        <x:v>C</x:v>
      </x:c>
      <x:c r="E443" s="10" t="str">
        <x:v>Industrial Info Resources (industry news analysis).</x:v>
      </x:c>
      <x:c r="F443" s="10" t="str"/>
      <x:c r="G443" s="10" t="str">
        <x:v>investment / capacity</x:v>
      </x:c>
      <x:c r="H443" s="10" t="str"/>
      <x:c r="I443" s="10" t="str"/>
      <x:c r="J443" s="10" t="str"/>
      <x:c r="K443" s="10" t="str"/>
      <x:c r="L443" s="10" t="str"/>
      <x:c r="M443" s="10" t="str">
        <x:v>Europe Unveils US$35 Billion AI Gigafactory Plan.</x:v>
      </x:c>
      <x:c r="N443" s="10" t="str">
        <x:v>This may affect European access, investment or capability-building in a technology that is becoming strategically important.</x:v>
      </x:c>
      <x:c r="O443" s="10" t="str"/>
      <x:c r="P443" s="10" t="str"/>
      <x:c r="Q443" s="10" t="str"/>
      <x:c r="R443" s="10" t="str">
        <x:v>2026-08-31T11:18Z</x:v>
      </x:c>
      <x:c r="S443" s="10" t="str">
        <x:v>https://www.industrialinfo.com/iirenergy/industry-news/article/europe-unveils-us35-billion-ai-gigafactory-plan--361335</x:v>
      </x:c>
    </x:row>
    <x:row r="444">
      <x:c r="A444" s="10" t="n">
        <x:f>'Ranked sources'!B444</x:f>
        <x:v>54</x:v>
      </x:c>
      <x:c r="B444" s="10" t="str">
        <x:v>Europe hails AI gigafactory plan, but industry fears deeper US tech reliance</x:v>
      </x:c>
      <x:c r="C444" s="10" t="str">
        <x:v>2026-08-07</x:v>
      </x:c>
      <x:c r="D444" s="10" t="str">
        <x:v>C</x:v>
      </x:c>
      <x:c r="E444" s="10" t="str">
        <x:v>South China Morning Post</x:v>
      </x:c>
      <x:c r="F444" s="10" t="str"/>
      <x:c r="G444" s="10" t="str">
        <x:v>investment / capacity</x:v>
      </x:c>
      <x:c r="H444" s="10" t="str"/>
      <x:c r="I444" s="10" t="str"/>
      <x:c r="J444" s="10" t="str"/>
      <x:c r="K444" s="10" t="str"/>
      <x:c r="L444" s="10" t="str"/>
      <x:c r="M444" s="10" t="str">
        <x:v>Europe hails AI gigafactory plan, but industry fears deeper US tech reliance.</x:v>
      </x:c>
      <x:c r="N444" s="10" t="str">
        <x:v>This may affect European access, investment or capability-building in a technology that is becoming strategically important.</x:v>
      </x:c>
      <x:c r="O444" s="10" t="str"/>
      <x:c r="P444" s="10" t="str"/>
      <x:c r="Q444" s="10" t="str">
        <x:v>google_news_rss</x:v>
      </x:c>
      <x:c r="R444" s="10" t="str">
        <x:v>2026-09-01T23:09Z</x:v>
      </x:c>
      <x:c r="S444" s="10" t="str">
        <x:v>https://news.google.com/rss/articles/CBMitwFBVV95cUxOWE1yejJqLXB4cjk5N285SmI1RmxRMjVvZWNCb01wX0w4dndsMjZmTWV5aHFUdjJuSEVHX3hxbUx4aW1WVmVVNTV4UFlHcFZBNW4tc2F3bmtYMHBJeUFVd3dmTThtSVJnTlZOYXY5MmJ1aXU0anBQZ3VzM3FtZlFramh2aE54blZwaUNDVjlUTDAzZUVlWm5tbEJla1NZdlN2ZGJoOEoycHRhM182M0JhS3B5cVdDU1HSAbcBQVVfeXFMTm1ZdTNNQXEzWWQ0Y2dUMEszOXFDa1lYbjRVaml5TWRaa3BvdTNia2tFRDZnZUFRLTBTanVOdW1vX0hEMXRQZ3JyMDMxSnBUS1lmZFBvQmRyb1h5eDFObTh0aGpYZ1pLVy1SbWl1SkgzR3R3Sl9ieVgzN2VhMkpGOTNTWkMtNGd1Qmt0UUo2bkwyNWdMblJackQ5RkVPSHUtRmlCeTJHMC1XUU1mNlRlY21YNjNhNUhF?oc=5</x:v>
      </x:c>
    </x:row>
    <x:row r="445">
      <x:c r="A445" s="10" t="n">
        <x:f>'Ranked sources'!B445</x:f>
        <x:v>54</x:v>
      </x:c>
      <x:c r="B445" s="10" t="str">
        <x:v>China places 14 EU entities on its export control list, barring dual-use exports with immediate effect — including Rheinmetall (DE), Vigo Photonics (PL), Tatra Trucks (CZ), IHC (NL) and Lafert (IT), plus several technology and research organisations</x:v>
      </x:c>
      <x:c r="C445" s="10" t="str">
        <x:v>2026-07-24</x:v>
      </x:c>
      <x:c r="D445" s="10" t="str">
        <x:v>C</x:v>
      </x:c>
      <x:c r="E445" s="10" t="str">
        <x:v>South China Morning Post / corroborated current-event reporting</x:v>
      </x:c>
      <x:c r="F445" s="10" t="str"/>
      <x:c r="G445" s="10" t="str">
        <x:v>restriction / security</x:v>
      </x:c>
      <x:c r="H445" s="10" t="str"/>
      <x:c r="I445" s="10" t="str"/>
      <x:c r="J445" s="10" t="str"/>
      <x:c r="K445" s="10" t="str"/>
      <x:c r="L445" s="10" t="str"/>
      <x:c r="M445" s="10" t="str">
        <x:v>China places 14 EU entities on its export control list, barring dual-use exports with immediate effect.</x:v>
      </x:c>
      <x:c r="N445" s="10" t="str">
        <x:v>This can alter access to technologies, equipment, knowledge and collaboration channels that matter for European R&amp;I.</x:v>
      </x:c>
      <x:c r="O445" s="10" t="str"/>
      <x:c r="P445" s="10" t="str"/>
      <x:c r="Q445" s="10" t="str">
        <x:v>manual</x:v>
      </x:c>
      <x:c r="R445" s="10" t="str">
        <x:v>2026-08-25T09:39Z</x:v>
      </x:c>
      <x:c r="S445" s="10" t="str">
        <x:v>https://www.scmp.com/economy/global-economy/article/3361732/china-adds-eu-entities-export-control-list</x:v>
      </x:c>
    </x:row>
    <x:row r="446">
      <x:c r="A446" s="10" t="n">
        <x:f>'Ranked sources'!B446</x:f>
        <x:v>54</x:v>
      </x:c>
      <x:c r="B446" s="10" t="str">
        <x:v>Helsing and Quantum Systems raise $1.8bn and $1.2bn mega-rounds to scale European defence AI and autonomous systems</x:v>
      </x:c>
      <x:c r="C446" s="10" t="str">
        <x:v>2026-07-13</x:v>
      </x:c>
      <x:c r="D446" s="10" t="str">
        <x:v>C</x:v>
      </x:c>
      <x:c r="E446" s="10" t="str">
        <x:v>Defense News / Helsing / Quantum Systems</x:v>
      </x:c>
      <x:c r="F446" s="10" t="str"/>
      <x:c r="G446" s="10" t="str">
        <x:v>cooperation / alignment</x:v>
      </x:c>
      <x:c r="H446" s="10" t="str"/>
      <x:c r="I446" s="10" t="str"/>
      <x:c r="J446" s="10" t="str"/>
      <x:c r="K446" s="10" t="str"/>
      <x:c r="L446" s="10" t="str"/>
      <x:c r="M446" s="10" t="str">
        <x:v>Helsing and Quantum Systems raise $1.8bn and $1.2bn mega-rounds to scale European defence AI and autonomous systems.</x:v>
      </x:c>
      <x:c r="N446" s="10" t="str">
        <x:v>This may affect European access, investment or capability-building in a technology that is becoming strategically important.</x:v>
      </x:c>
      <x:c r="O446" s="10" t="str"/>
      <x:c r="P446" s="10" t="str"/>
      <x:c r="Q446" s="10" t="str">
        <x:v>manual</x:v>
      </x:c>
      <x:c r="R446" s="10" t="str">
        <x:v>2026-08-25T13:00Z</x:v>
      </x:c>
      <x:c r="S446" s="10" t="str">
        <x:v>https://helsing.ai/newsroom/helsing-raises-1-8bn-in-series-e</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7" hidden="0" customWidth="1"/>
    <x:col min="2" max="2" width="90" hidden="0" customWidth="1"/>
  </x:cols>
  <x:sheetData>
    <x:row r="1">
      <x:c r="A1" s="18" t="str">
        <x:v>TECHNICAL EVIDENCE RANKING — HOW TO READ IT</x:v>
      </x:c>
      <x:c r="B1" s="18" t="str"/>
    </x:row>
    <x:row r="2">
      <x:c r="A2" s="19" t="str">
        <x:v>Purpose</x:v>
      </x:c>
      <x:c r="B2" s="10" t="str">
        <x:v>Audit/export ranking for evidence used by the EU R&amp;I × geopolitics radar. It is intentionally confined to Stuff.</x:v>
      </x:c>
    </x:row>
    <x:row r="3">
      <x:c r="A3" s="19" t="str">
        <x:v>Score</x:v>
      </x:c>
      <x:c r="B3" s="10" t="str">
        <x:v>0–100 = source authority + EU relevance + evidence strength + author transparency.</x:v>
      </x:c>
    </x:row>
    <x:row r="4">
      <x:c r="A4" s="19" t="str">
        <x:v>Authority (max 55)</x:v>
      </x:c>
      <x:c r="B4" s="10" t="str">
        <x:v>EU official/body 55; major public/multilateral 48; strong science network or leading peer-reviewed journal 46; leading policy institute 43; established journal/publisher 38; ordinary peer-reviewed journal 32; specialist/current-event source about 25–27; preprint 22.</x:v>
      </x:c>
    </x:row>
    <x:row r="5">
      <x:c r="A5" s="19" t="str">
        <x:v>EU relevance (max 25)</x:v>
      </x:c>
      <x:c r="B5" s="10" t="str">
        <x:v>Direct EU relevance 25; material external development with EU implications 20; relevance by comparison/implication 18. EU relevance is also enforced separately by scanner admission logic for substantive evidence products.</x:v>
      </x:c>
    </x:row>
    <x:row r="6">
      <x:c r="A6" s="19" t="str">
        <x:v>Evidence (max 15)</x:v>
      </x:c>
      <x:c r="B6" s="10" t="str">
        <x:v>Official or peer-reviewed source 15; institutional/manual-verified research 13–14; current-event signal 9; preprint or abstract 8.</x:v>
      </x:c>
    </x:row>
    <x:row r="7">
      <x:c r="A7" s="19" t="str">
        <x:v>Author transparency (max 5)</x:v>
      </x:c>
      <x:c r="B7" s="10" t="str">
        <x:v>Named author(s) 5; identifiable institutional author 4; no named author in radar metadata 2.</x:v>
      </x:c>
    </x:row>
    <x:row r="8">
      <x:c r="A8" s="19" t="str">
        <x:v>Bands</x:v>
      </x:c>
      <x:c r="B8" s="10" t="str">
        <x:v>A ≥93 Highest; B 85–92 Very strong; C 75–84 Strong; D 65–74 Useful; E &lt;65 Supporting.</x:v>
      </x:c>
    </x:row>
    <x:row r="9">
      <x:c r="A9" s="19" t="str">
        <x:v>Scanner role</x:v>
      </x:c>
      <x:c r="B9" s="10" t="str">
        <x:v>The 0–100 score itself does not admit or reject findings. Scanner admission separately requires acceptable provenance/source routes and EU/R&amp;I scope. Strand A requires direct EU/European scope; C and strategic pathways have their own EU relevance gates.</x:v>
      </x:c>
    </x:row>
    <x:row r="10">
      <x:c r="A10" s="19" t="str">
        <x:v>Reader-ordering rule</x:v>
      </x:c>
      <x:c r="B10" s="10" t="str">
        <x:v>The score must not order Radar, Matrix, Literature, Risks &amp; Opportunities, External Shocks, issue views or Historical evidence.</x:v>
      </x:c>
    </x:row>
    <x:row r="11">
      <x:c r="A11" s="19" t="str">
        <x:v>Matrix rule</x:v>
      </x:c>
      <x:c r="B11" s="10" t="str">
        <x:v>Source quality and this score do not determine Matrix placement. Matrix is a separate analytical product.</x:v>
      </x:c>
    </x:row>
    <x:row r="12">
      <x:c r="A12" s="19" t="str">
        <x:v>Strategic-products rule</x:v>
      </x:c>
      <x:c r="B12" s="10" t="str">
        <x:v>Risks, Opportunities and External Shocks are independently scanned and classified from source text; the Stuff score is audit metadata only.</x:v>
      </x:c>
    </x:row>
    <x:row r="13">
      <x:c r="A13" s="19" t="str">
        <x:v>Current data state</x:v>
      </x:c>
      <x:c r="B13" s="10" t="str">
        <x:v>2026-09-02T12:06Z · A=415 · B=24 · C=9 · Strategic pathways=0</x:v>
      </x:c>
    </x:row>
    <x:row r="14">
      <x:c r="A14" s="19" t="str">
        <x:v>Workbook rows</x:v>
      </x:c>
      <x:c r="B14" s="10" t="str">
        <x:v>445 deduplicated evidence records</x:v>
      </x:c>
    </x:row>
  </x:sheetData>
  <x:pageMargins left="0.7" right="0.7" top="0.75" bottom="0.75" header="0.3" footer="0.3"/>
</x:worksheet>
</file>