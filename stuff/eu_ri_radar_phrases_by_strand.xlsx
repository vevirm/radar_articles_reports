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Strand A — substance" sheetId="2" state="visible" r:id="rId4"/>
    <sheet name="Strand B — method" sheetId="3" state="visible" r:id="rId5"/>
    <sheet name="Strand C — weak signals" sheetId="4" state="visible" r:id="rId6"/>
    <sheet name="Audit — corrected" sheetId="5" state="visible" r:id="rId7"/>
  </sheets>
  <definedNames>
    <definedName function="false" hidden="true" localSheetId="1" name="_xlnm._FilterDatabase" vbProcedure="false">'Strand A — substance'!$A$2:$F$107</definedName>
    <definedName function="false" hidden="true" localSheetId="2" name="_xlnm._FilterDatabase" vbProcedure="false">'Strand B — method'!$A$2:$F$35</definedName>
    <definedName function="false" hidden="true" localSheetId="3" name="_xlnm._FilterDatabase" vbProcedure="false">'Strand C — weak signals'!$A$2:$F$20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<sst xmlns="http://schemas.openxmlformats.org/spreadsheetml/2006/main" count="773" uniqueCount="490">
  <si>
    <t xml:space="preserve">EU R&amp;I geopolitics radar — admission phrase sets by strand</t>
  </si>
  <si>
    <t xml:space="preserve">Scope</t>
  </si>
  <si>
    <t xml:space="preserve">English-language sources only. Admission stage only: whether a page enters the corpus, and on which</t>
  </si>
  <si>
    <t xml:space="preserve">strand. Matrix placement is a separate stage with its own evidence rules and is not covered here.</t>
  </si>
  <si>
    <t xml:space="preserve">Optimised for precision</t>
  </si>
  <si>
    <t xml:space="preserve">Every phrase carries an Opposition column naming the irrelevant material it drags in, usually for</t>
  </si>
  <si>
    <t xml:space="preserve">syntactic or polysemic reasons, and a Guard condition that suppresses it.</t>
  </si>
  <si>
    <t xml:space="preserve">Strands</t>
  </si>
  <si>
    <t xml:space="preserve">A  Substance. EU R&amp;I as it meets security, sovereignty and foreign policy.</t>
  </si>
  <si>
    <t xml:space="preserve">B  Method. Foresight and futures methodology that could be used to study the future of A.</t>
  </si>
  <si>
    <t xml:space="preserve">C  Weak signals. Material that could challenge or reframe A.</t>
  </si>
  <si>
    <t xml:space="preserve">Strand separation is the main precision lever</t>
  </si>
  <si>
    <t xml:space="preserve">Four phrases — horizon scanning, weak signal detection, strategic foresight, scenario planning — are</t>
  </si>
  <si>
    <t xml:space="preserve">correct triggers for B and wrong for A. If one phrase set feeds both, methodology papers land in the</t>
  </si>
  <si>
    <t xml:space="preserve">substance strand. They are kept in the A sheet marked 'route to B, never admit to A' rather than</t>
  </si>
  <si>
    <t xml:space="preserve">deleted, so the routing rule stays visible.</t>
  </si>
  <si>
    <t xml:space="preserve">Tiers</t>
  </si>
  <si>
    <t xml:space="preserve">1  Admits on its own.</t>
  </si>
  <si>
    <t xml:space="preserve">2  Admits only when the guard co-term is also present.</t>
  </si>
  <si>
    <t xml:space="preserve">3  Never an admission trigger. Listed as a warning, or usable only to re-rank already-admitted pages.</t>
  </si>
  <si>
    <t xml:space="preserve">Whole-set matching rules</t>
  </si>
  <si>
    <t xml:space="preserve">Acronyms need case-sensitive word-boundary matching, never substring: (?&lt;![A-Za-z])AI(?![A-Za-z]).</t>
  </si>
  <si>
    <t xml:space="preserve">AI is inside bait, said, plain, maintain, chair. ERA is inside operate, general, camera, several.</t>
  </si>
  <si>
    <t xml:space="preserve">ERC is inside commerce, exercise, percentage. EIC is inside deicing. COST matches cost and costly.</t>
  </si>
  <si>
    <t xml:space="preserve">Never scan the single tokens Horizon, Delphi, foresight or ERA. Each has a large unrelated sense and</t>
  </si>
  <si>
    <t xml:space="preserve">each has a safe bigram form given in the sheets.</t>
  </si>
  <si>
    <t xml:space="preserve">Strand C is the least keyword-tractable of the three</t>
  </si>
  <si>
    <t xml:space="preserve">A weak signal is defined by being surprising relative to the A corpus, which is a property of the</t>
  </si>
  <si>
    <t xml:space="preserve">relationship, not of the wording. The C sheet gives named candidate technologies and rupture verbs,</t>
  </si>
  <si>
    <t xml:space="preserve">but novelty framing such as 'paradigm shift' has near-zero precision on its own. C is better served by</t>
  </si>
  <si>
    <t xml:space="preserve">scoring distance from the existing A corpus than by phrase matching.</t>
  </si>
  <si>
    <t xml:space="preserve">Built against source_merit_ranking__4_.xlsx — 212 admissions, A=175 B=24 C=13, radar state 2026-08-29.</t>
  </si>
  <si>
    <t xml:space="preserve">Strand A: EU R&amp;I in its geopolitical context. Four rows are marked 'route to B' — they are Strand B triggers that must not admit to A.</t>
  </si>
  <si>
    <t xml:space="preserve">#</t>
  </si>
  <si>
    <t xml:space="preserve">Phrase</t>
  </si>
  <si>
    <t xml:space="preserve">Match rule</t>
  </si>
  <si>
    <t xml:space="preserve">Tier</t>
  </si>
  <si>
    <t xml:space="preserve">Opposition — what it wrongly pulls in</t>
  </si>
  <si>
    <t xml:space="preserve">Guard condition</t>
  </si>
  <si>
    <t xml:space="preserve">as open as possible, as closed as necessary</t>
  </si>
  <si>
    <t xml:space="preserve">Exact phrase, case-insensitive</t>
  </si>
  <si>
    <t xml:space="preserve">Originated as the FAIR/open-data slogan in Horizon 2020 data-management guidance. Still fires on pure research-data-management and repository papers with no security or geopolitics content.</t>
  </si>
  <si>
    <t xml:space="preserve">Admit alone, but down-rank if the page also contains 'data management plan' or 'repository' and lacks 'security' or 'interference'.</t>
  </si>
  <si>
    <t xml:space="preserve">research security</t>
  </si>
  <si>
    <t xml:space="preserve">Reads as a compound noun in 'information security research', 'security research group', 'cyber security research centre' only if word order is ignored. Exact phrase order is safe. Residual: US-only research-security policy pages.</t>
  </si>
  <si>
    <t xml:space="preserve">Admit alone. For EU-only corpora require Europe/EU/Member State within the page.</t>
  </si>
  <si>
    <t xml:space="preserve">knowledge security</t>
  </si>
  <si>
    <t xml:space="preserve">Occasional use in knowledge-management and IT literature ('knowledge security in organisations').</t>
  </si>
  <si>
    <t xml:space="preserve">Admit alone; require a research or university co-term for strictness.</t>
  </si>
  <si>
    <t xml:space="preserve">foreign interference</t>
  </si>
  <si>
    <t xml:space="preserve">Dominated by election-interference and disinformation literature, which is not R&amp;I.</t>
  </si>
  <si>
    <t xml:space="preserve">Require 'research', 'science', 'university', 'academic' or 'innovation' within the same page.</t>
  </si>
  <si>
    <t xml:space="preserve">undesirable transfer of knowledge</t>
  </si>
  <si>
    <t xml:space="preserve">None material. Council-drafted wording.</t>
  </si>
  <si>
    <t xml:space="preserve">Admit alone.</t>
  </si>
  <si>
    <t xml:space="preserve">unwanted knowledge transfer</t>
  </si>
  <si>
    <t xml:space="preserve">None material.</t>
  </si>
  <si>
    <t xml:space="preserve">intangible technology transfer</t>
  </si>
  <si>
    <t xml:space="preserve">None material. Export-control term of art.</t>
  </si>
  <si>
    <t xml:space="preserve">military-civil fusion</t>
  </si>
  <si>
    <t xml:space="preserve">Exact phrase, case-insensitive; also 'military-civilian fusion'</t>
  </si>
  <si>
    <t xml:space="preserve">dual-use research</t>
  </si>
  <si>
    <t xml:space="preserve">'Dual-use research of concern' (DURC) is a US biosecurity/gain-of-function term with a large life-sciences literature that has nothing to do with EU strategic autonomy.</t>
  </si>
  <si>
    <t xml:space="preserve">Exclude the page if 'of concern', 'DURC', 'gain-of-function' or 'biosafety' appears without a European policy co-term.</t>
  </si>
  <si>
    <t xml:space="preserve">dual-use technologies</t>
  </si>
  <si>
    <t xml:space="preserve">Minor overlap with generic defence-procurement writing.</t>
  </si>
  <si>
    <t xml:space="preserve">export controls</t>
  </si>
  <si>
    <t xml:space="preserve">Broad: US/China trade-policy pages, arms-trade reporting, customs compliance guides.</t>
  </si>
  <si>
    <t xml:space="preserve">Require Europe/EU plus one of research, technology, semiconductor, university.</t>
  </si>
  <si>
    <t xml:space="preserve">Horizon Europe</t>
  </si>
  <si>
    <t xml:space="preserve">Exact phrase, case-sensitive on 'Horizon'</t>
  </si>
  <si>
    <t xml:space="preserve">Safe as a two-word phrase. Never scan on 'Horizon' alone: it matches 'horizon scanning', 'time horizon', 'planning horizon', 'event horizon'. This is the single largest source of junk in the current corpus.</t>
  </si>
  <si>
    <t xml:space="preserve">Admit alone. Never degrade to the single token.</t>
  </si>
  <si>
    <t xml:space="preserve">association to Horizon Europe</t>
  </si>
  <si>
    <t xml:space="preserve">associated country</t>
  </si>
  <si>
    <t xml:space="preserve">Exact phrase, case-insensitive; also 'associated countries'</t>
  </si>
  <si>
    <t xml:space="preserve">'Associated' is a high-frequency English adjective; 'associated country' as a bigram is rare but appears in statistics writing ('the associated country effect').</t>
  </si>
  <si>
    <t xml:space="preserve">Require 'Horizon' or 'Framework Programme' on the page.</t>
  </si>
  <si>
    <t xml:space="preserve">Article 22(5)</t>
  </si>
  <si>
    <t xml:space="preserve">Exact string; also 'Article 22.5'</t>
  </si>
  <si>
    <t xml:space="preserve">GDPR Article 22 (automated decision-making) is heavily cited, and other regulations have an Article 22(5).</t>
  </si>
  <si>
    <t xml:space="preserve">Require 'Horizon Europe' or '2021/695' on the page.</t>
  </si>
  <si>
    <t xml:space="preserve">Regulation (EU) 2021/695</t>
  </si>
  <si>
    <t xml:space="preserve">Exact string</t>
  </si>
  <si>
    <t xml:space="preserve">None.</t>
  </si>
  <si>
    <t xml:space="preserve">European Research Area</t>
  </si>
  <si>
    <t xml:space="preserve">Exact phrase, case-sensitive</t>
  </si>
  <si>
    <t xml:space="preserve">None material. Never scan on 'ERA' alone: it is inside 'operate', 'general', 'literature', 'camera', 'several'.</t>
  </si>
  <si>
    <t xml:space="preserve">ERA Act</t>
  </si>
  <si>
    <t xml:space="preserve">Exact string, case-sensitive, word boundaries</t>
  </si>
  <si>
    <t xml:space="preserve">'Era' as a common noun adjacent to 'act' ('the era act of...') is vanishingly rare, but lowercase 'era act' would collide.</t>
  </si>
  <si>
    <t xml:space="preserve">Case-sensitive only; require 'European Research Area' for full safety.</t>
  </si>
  <si>
    <t xml:space="preserve">European Research Area Act</t>
  </si>
  <si>
    <t xml:space="preserve">Framework Programme for Research and Innovation</t>
  </si>
  <si>
    <t xml:space="preserve">FP10</t>
  </si>
  <si>
    <t xml:space="preserve">Competitiveness Compass</t>
  </si>
  <si>
    <t xml:space="preserve">European Competitiveness Fund</t>
  </si>
  <si>
    <t xml:space="preserve">Multiannual Financial Framework</t>
  </si>
  <si>
    <t xml:space="preserve">European Chips Act</t>
  </si>
  <si>
    <t xml:space="preserve">Note the separate US CHIPS Act; the word 'European' disambiguates.</t>
  </si>
  <si>
    <t xml:space="preserve">Chips Act 2.0</t>
  </si>
  <si>
    <t xml:space="preserve">Cloud and AI Development Act</t>
  </si>
  <si>
    <t xml:space="preserve">Industrial Accelerator Act</t>
  </si>
  <si>
    <t xml:space="preserve">European Technological Sovereignty Package</t>
  </si>
  <si>
    <t xml:space="preserve">technological sovereignty</t>
  </si>
  <si>
    <t xml:space="preserve">Minor: 'data sovereignty' and 'indigenous data sovereignty' literatures are adjacent but use different wording.</t>
  </si>
  <si>
    <t xml:space="preserve">tech sovereignty</t>
  </si>
  <si>
    <t xml:space="preserve">digital sovereignty</t>
  </si>
  <si>
    <t xml:space="preserve">Used by non-EU actors (India, Brazil, Russia) about their own policy.</t>
  </si>
  <si>
    <t xml:space="preserve">Require Europe/EU on the page for an EU-only corpus.</t>
  </si>
  <si>
    <t xml:space="preserve">strategic autonomy</t>
  </si>
  <si>
    <t xml:space="preserve">Occasional use in organisational-behaviour and education research ('learner strategic autonomy'). Low volume.</t>
  </si>
  <si>
    <t xml:space="preserve">Admit alone; exclude if 'learner', 'student autonomy' or 'pedagog' dominates.</t>
  </si>
  <si>
    <t xml:space="preserve">open strategic autonomy</t>
  </si>
  <si>
    <t xml:space="preserve">economic security</t>
  </si>
  <si>
    <t xml:space="preserve">Collides with household/personal economic security in social-policy and poverty research — a large literature.</t>
  </si>
  <si>
    <t xml:space="preserve">Require one of: strategy, dependency, technology, export, screening, China, supply chain.</t>
  </si>
  <si>
    <t xml:space="preserve">economic statecraft</t>
  </si>
  <si>
    <t xml:space="preserve">economic coercion</t>
  </si>
  <si>
    <t xml:space="preserve">weaponised interdependence</t>
  </si>
  <si>
    <t xml:space="preserve">Exact phrase; also 'weaponized interdependence'</t>
  </si>
  <si>
    <t xml:space="preserve">Index both spellings; corpus is English-only but mixed orthography.</t>
  </si>
  <si>
    <t xml:space="preserve">foreign investment screening</t>
  </si>
  <si>
    <t xml:space="preserve">investment screening</t>
  </si>
  <si>
    <t xml:space="preserve">'Screening' collides with medical screening, CV screening, project screening.</t>
  </si>
  <si>
    <t xml:space="preserve">Require 'foreign', 'FDI', 'outbound' or 'national security' on the page.</t>
  </si>
  <si>
    <t xml:space="preserve">outbound investment</t>
  </si>
  <si>
    <t xml:space="preserve">Ordinary corporate-finance usage for any overseas investment.</t>
  </si>
  <si>
    <t xml:space="preserve">Require 'screening', 'controls', 'security' or 'critical technology'.</t>
  </si>
  <si>
    <t xml:space="preserve">science diplomacy</t>
  </si>
  <si>
    <t xml:space="preserve">Global Approach to Research and Innovation</t>
  </si>
  <si>
    <t xml:space="preserve">Global Gateway</t>
  </si>
  <si>
    <t xml:space="preserve">'Gateway' is a common product and networking noun; capitalised bigram is distinctive.</t>
  </si>
  <si>
    <t xml:space="preserve">Case-sensitive; require EU/Commission for strictness.</t>
  </si>
  <si>
    <t xml:space="preserve">Choose Europe for Science</t>
  </si>
  <si>
    <t xml:space="preserve">ERC Super Grant</t>
  </si>
  <si>
    <t xml:space="preserve">European Research Council</t>
  </si>
  <si>
    <t xml:space="preserve">None. Never scan 'ERC' alone: inside 'commerce', 'exercise', 'percentage', 'mercury'.</t>
  </si>
  <si>
    <t xml:space="preserve">Marie Sklodowska-Curie</t>
  </si>
  <si>
    <t xml:space="preserve">Exact phrase; also 'Marie Skłodowska-Curie'</t>
  </si>
  <si>
    <t xml:space="preserve">None. Index both the diacritic and ASCII forms.</t>
  </si>
  <si>
    <t xml:space="preserve">EIC Accelerator</t>
  </si>
  <si>
    <t xml:space="preserve">'Accelerator' alone collides with particle accelerators and startup accelerators.</t>
  </si>
  <si>
    <t xml:space="preserve">Admit only as the bigram.</t>
  </si>
  <si>
    <t xml:space="preserve">European Innovation Council</t>
  </si>
  <si>
    <t xml:space="preserve">None. Never scan 'EIC' alone: inside 'deicing', 'Reich'.</t>
  </si>
  <si>
    <t xml:space="preserve">EuroHPC</t>
  </si>
  <si>
    <t xml:space="preserve">Exact string, case-insensitive</t>
  </si>
  <si>
    <t xml:space="preserve">Joint Undertaking</t>
  </si>
  <si>
    <t xml:space="preserve">'Undertaking' is common in EU competition law generally.</t>
  </si>
  <si>
    <t xml:space="preserve">Require a programme name or 'Horizon' for strictness.</t>
  </si>
  <si>
    <t xml:space="preserve">Seal of Excellence</t>
  </si>
  <si>
    <t xml:space="preserve">Funding &amp; Tenders Portal</t>
  </si>
  <si>
    <t xml:space="preserve">Exact phrase; also 'Funding and Tenders Portal'</t>
  </si>
  <si>
    <t xml:space="preserve">under grant agreement No</t>
  </si>
  <si>
    <t xml:space="preserve">Catches EU-funded papers whose text never names a programme. Some non-EU funders use the same wording.</t>
  </si>
  <si>
    <t xml:space="preserve">Pair with 'European Union' or 'Horizon' on the page.</t>
  </si>
  <si>
    <t xml:space="preserve">funding from the European Union's Horizon</t>
  </si>
  <si>
    <t xml:space="preserve">None. This is the mandatory acknowledgement template.</t>
  </si>
  <si>
    <t xml:space="preserve">brain drain</t>
  </si>
  <si>
    <t xml:space="preserve">Dominated by health-workforce and developing-country emigration literature. Your corpus already admitted a Latvian doctor-mobility paper this way (rank 89).</t>
  </si>
  <si>
    <t xml:space="preserve">Require 'researcher', 'scientist', 'science', 'R&amp;D' or 'university' AND a Europe term.</t>
  </si>
  <si>
    <t xml:space="preserve">talent retention</t>
  </si>
  <si>
    <t xml:space="preserve">Overwhelmingly corporate-HR literature.</t>
  </si>
  <si>
    <t xml:space="preserve">Require 'research', 'researcher', 'PhD', 'STEM' or 'science'.</t>
  </si>
  <si>
    <t xml:space="preserve">researcher mobility</t>
  </si>
  <si>
    <t xml:space="preserve">Low collision, but generic academic-mobility studies with no strategic angle.</t>
  </si>
  <si>
    <t xml:space="preserve">Require a policy/geopolitics co-term: ERA, Horizon, sovereignty, security, retention.</t>
  </si>
  <si>
    <t xml:space="preserve">scientific diaspora</t>
  </si>
  <si>
    <t xml:space="preserve">Diaspora-studies literature about non-European countries. Your corpus admitted a Guatemala/Spain paper this way (rank 87).</t>
  </si>
  <si>
    <t xml:space="preserve">Require the European system to be the subject, not the origin country.</t>
  </si>
  <si>
    <t xml:space="preserve">talent recruitment programme</t>
  </si>
  <si>
    <t xml:space="preserve">Exact phrase; also 'talent recruitment program', 'talent programmes'</t>
  </si>
  <si>
    <t xml:space="preserve">Reads as ordinary corporate recruiting.</t>
  </si>
  <si>
    <t xml:space="preserve">Require 'foreign', 'China', 'state-sponsored' or 'interference'.</t>
  </si>
  <si>
    <t xml:space="preserve">academic freedom</t>
  </si>
  <si>
    <t xml:space="preserve">Large US campus-speech and governance literature.</t>
  </si>
  <si>
    <t xml:space="preserve">Require 'security', 'interference', 'export control', 'sanction' or an EU instrument.</t>
  </si>
  <si>
    <t xml:space="preserve">knowledge leakage</t>
  </si>
  <si>
    <t xml:space="preserve">Knowledge-management literature on firms losing know-how to competitors.</t>
  </si>
  <si>
    <t xml:space="preserve">Require a security, export-control or foreign-actor co-term.</t>
  </si>
  <si>
    <t xml:space="preserve">critical raw materials</t>
  </si>
  <si>
    <t xml:space="preserve">Geology, mining and materials-science papers with no policy content.</t>
  </si>
  <si>
    <t xml:space="preserve">Require 'dependenc', 'export control', 'supply', 'China' or an EU instrument.</t>
  </si>
  <si>
    <t xml:space="preserve">supply chain resilience</t>
  </si>
  <si>
    <t xml:space="preserve">Enormous operations-management and logistics literature.</t>
  </si>
  <si>
    <t xml:space="preserve">Require Europe AND a strategic co-term (dependency, chokepoint, security, sovereignty).</t>
  </si>
  <si>
    <t xml:space="preserve">chokepoint</t>
  </si>
  <si>
    <t xml:space="preserve">Word boundaries; also 'choke point'</t>
  </si>
  <si>
    <t xml:space="preserve">Collides with traffic engineering, hydrology, and 'chokepoint enzyme' in parasitology and drug discovery — a real biomedical term.</t>
  </si>
  <si>
    <t xml:space="preserve">Require 'supply', 'semiconductor', 'export' or 'technology'.</t>
  </si>
  <si>
    <t xml:space="preserve">strategic dependencies</t>
  </si>
  <si>
    <t xml:space="preserve">Occasional software-engineering use ('strategic dependency model' in i* modelling).</t>
  </si>
  <si>
    <t xml:space="preserve">Require Europe/EU.</t>
  </si>
  <si>
    <t xml:space="preserve">import dependence</t>
  </si>
  <si>
    <t xml:space="preserve">Exact phrase, case-insensitive; also 'import dependency'</t>
  </si>
  <si>
    <t xml:space="preserve">Standard energy-economics term used worldwide.</t>
  </si>
  <si>
    <t xml:space="preserve">Require Europe AND technology/research/critical.</t>
  </si>
  <si>
    <t xml:space="preserve">self-reliance</t>
  </si>
  <si>
    <t xml:space="preserve">Word boundaries</t>
  </si>
  <si>
    <t xml:space="preserve">Large psychology, development-studies and food-security literature.</t>
  </si>
  <si>
    <t xml:space="preserve">Require 'technological', 'strategic', 'industrial' or 'index' plus Europe.</t>
  </si>
  <si>
    <t xml:space="preserve">de-risking</t>
  </si>
  <si>
    <t xml:space="preserve">Word boundaries; also 'derisking'</t>
  </si>
  <si>
    <t xml:space="preserve">Financial de-risking (correspondent banking, pension risk transfer) is a far larger literature than the China-policy sense.</t>
  </si>
  <si>
    <t xml:space="preserve">Require 'China', 'dependenc', 'supply chain' or 'economic security'.</t>
  </si>
  <si>
    <t xml:space="preserve">reshoring</t>
  </si>
  <si>
    <t xml:space="preserve">Word boundaries; also 'friendshoring', 'nearshoring'</t>
  </si>
  <si>
    <t xml:space="preserve">Generic manufacturing-location literature.</t>
  </si>
  <si>
    <t xml:space="preserve">Require Europe AND a security/dependency co-term.</t>
  </si>
  <si>
    <t xml:space="preserve">local content requirement</t>
  </si>
  <si>
    <t xml:space="preserve">Long-standing WTO/trade-law literature about developing-country industrial policy.</t>
  </si>
  <si>
    <t xml:space="preserve">Require EU or an EU instrument name.</t>
  </si>
  <si>
    <t xml:space="preserve">European preference</t>
  </si>
  <si>
    <t xml:space="preserve">Reads as a taste or survey preference in consumer research.</t>
  </si>
  <si>
    <t xml:space="preserve">Require 'procurement', 'content', 'Act' or 'industrial policy'.</t>
  </si>
  <si>
    <t xml:space="preserve">compute gap</t>
  </si>
  <si>
    <t xml:space="preserve">None material, but low frequency.</t>
  </si>
  <si>
    <t xml:space="preserve">Require Europe.</t>
  </si>
  <si>
    <t xml:space="preserve">AI compute</t>
  </si>
  <si>
    <t xml:space="preserve">Exact phrase, case-sensitive on 'AI'</t>
  </si>
  <si>
    <t xml:space="preserve">Scanning 'AI' alone is fatal: it is inside 'bait', 'said', 'plain', 'certain', 'maintain', 'chair'. Even as a token, 'ai' is a Chinese and Japanese romanised name.</t>
  </si>
  <si>
    <t xml:space="preserve">Case-sensitive, word-boundary \bAI\b only. Never substring.</t>
  </si>
  <si>
    <t xml:space="preserve">sovereign cloud</t>
  </si>
  <si>
    <t xml:space="preserve">Vendor marketing pages.</t>
  </si>
  <si>
    <t xml:space="preserve">Require a policy or dependency co-term.</t>
  </si>
  <si>
    <t xml:space="preserve">frontier compute</t>
  </si>
  <si>
    <t xml:space="preserve">Low volume, low collision.</t>
  </si>
  <si>
    <t xml:space="preserve">semiconductor equipment</t>
  </si>
  <si>
    <t xml:space="preserve">Trade-press product coverage.</t>
  </si>
  <si>
    <t xml:space="preserve">Require 'export control', 'dependenc' or Europe.</t>
  </si>
  <si>
    <t xml:space="preserve">foundry capacity</t>
  </si>
  <si>
    <t xml:space="preserve">Metal-casting industry uses 'foundry' literally.</t>
  </si>
  <si>
    <t xml:space="preserve">Require 'semiconductor', 'chip' or 'wafer'.</t>
  </si>
  <si>
    <t xml:space="preserve">technology transfer</t>
  </si>
  <si>
    <t xml:space="preserve">Very large generic university-TTO and licensing literature worldwide.</t>
  </si>
  <si>
    <t xml:space="preserve">Require 'intangible', 'export control', 'unwanted', 'third country' or 'screening'.</t>
  </si>
  <si>
    <t xml:space="preserve">research infrastructure</t>
  </si>
  <si>
    <t xml:space="preserve">Global and generic: Antarctic stations, African telescopes, national labs. Your corpus admitted an ITU radio-astronomy piece partly this way (rank 108).</t>
  </si>
  <si>
    <t xml:space="preserve">Require 'ESFRI', 'ERIC', 'European', 'Horizon' or 'access' plus a dependency angle.</t>
  </si>
  <si>
    <t xml:space="preserve">venture capital gap</t>
  </si>
  <si>
    <t xml:space="preserve">Low collision.</t>
  </si>
  <si>
    <t xml:space="preserve">late-stage financing</t>
  </si>
  <si>
    <t xml:space="preserve">Exact phrase, case-insensitive; also 'late-stage funding'</t>
  </si>
  <si>
    <t xml:space="preserve">Clinical-trial 'late-stage' usage is common in pharma reporting.</t>
  </si>
  <si>
    <t xml:space="preserve">Require 'scale-up', 'venture', 'firm' or 'equity'.</t>
  </si>
  <si>
    <t xml:space="preserve">scale-up</t>
  </si>
  <si>
    <t xml:space="preserve">Word boundaries; also 'scaleup'</t>
  </si>
  <si>
    <t xml:space="preserve">Chemical-engineering and manufacturing 'scale-up' is a large literature; also generic in ML papers.</t>
  </si>
  <si>
    <t xml:space="preserve">Require 'firm', 'company', 'start-up', 'equity' or 'investment'.</t>
  </si>
  <si>
    <t xml:space="preserve">headquarters relocation</t>
  </si>
  <si>
    <t xml:space="preserve">Corporate-geography literature.</t>
  </si>
  <si>
    <t xml:space="preserve">Require Europe AND research/technology/IP.</t>
  </si>
  <si>
    <t xml:space="preserve">Article 20</t>
  </si>
  <si>
    <t xml:space="preserve">Matches Article 20 of any instrument.</t>
  </si>
  <si>
    <t xml:space="preserve">Require 'Horizon Europe' or '2021/695'.</t>
  </si>
  <si>
    <t xml:space="preserve">national security</t>
  </si>
  <si>
    <t xml:space="preserve">Enormous general IR and defence literature.</t>
  </si>
  <si>
    <t xml:space="preserve">Only as a co-term, never as an admission trigger.</t>
  </si>
  <si>
    <t xml:space="preserve">critical technologies</t>
  </si>
  <si>
    <t xml:space="preserve">Used loosely in engineering roadmaps.</t>
  </si>
  <si>
    <t xml:space="preserve">Require EU, 'list', 'assessment' or 'screening'.</t>
  </si>
  <si>
    <t xml:space="preserve">standard setting</t>
  </si>
  <si>
    <t xml:space="preserve">Exact phrase, case-insensitive; also 'standard-setting'</t>
  </si>
  <si>
    <t xml:space="preserve">Accounting and education standard-setting literatures are large.</t>
  </si>
  <si>
    <t xml:space="preserve">Require 'technolog', 'ISO', 'ETSI', 'geopolit' or Europe.</t>
  </si>
  <si>
    <t xml:space="preserve">regulatory fragmentation</t>
  </si>
  <si>
    <t xml:space="preserve">Financial-regulation literature.</t>
  </si>
  <si>
    <t xml:space="preserve">Require Europe AND research/innovation/technology.</t>
  </si>
  <si>
    <t xml:space="preserve">horizon scanning</t>
  </si>
  <si>
    <t xml:space="preserve">This is a Strand B trigger, not a Strand A one. Applied outside R&amp;I it reports food-safety, plant-health and medtech scanning results — ranks 3, 195 and 203 in your file. Admitting it to A puts methodology and biosecurity material into the substance strand.</t>
  </si>
  <si>
    <t xml:space="preserve">Route to B. Never admit to A.</t>
  </si>
  <si>
    <t xml:space="preserve">weak signal detection</t>
  </si>
  <si>
    <t xml:space="preserve">Correct for B, wrong for A — and inside B it still collides with electrical engineering (stochastic resonance, bistable systems). See the Strand B sheet for the guard.</t>
  </si>
  <si>
    <t xml:space="preserve">Route to B with the engineering exclusion applied. Never admit to A.</t>
  </si>
  <si>
    <t xml:space="preserve">strategic foresight</t>
  </si>
  <si>
    <t xml:space="preserve">A Strand B trigger. In A it admits general policy-methodology papers such as rank 80.</t>
  </si>
  <si>
    <t xml:space="preserve">scenario planning</t>
  </si>
  <si>
    <t xml:space="preserve">A Strand B trigger. In A it admits corporate-strategy method reviews such as ranks 76 and 79.</t>
  </si>
  <si>
    <t xml:space="preserve">emerging risks</t>
  </si>
  <si>
    <t xml:space="preserve">Insurance, food safety and public health own this phrase.</t>
  </si>
  <si>
    <t xml:space="preserve">Remove entirely.</t>
  </si>
  <si>
    <t xml:space="preserve">innovation capacity</t>
  </si>
  <si>
    <t xml:space="preserve">22 occurrences in your corpus, but it is a generic regional-economics variable. It admitted Russian agricultural bioeconomy (rank 17), Swedish food industry (91) and grey-clustering sustainability mapping (88).</t>
  </si>
  <si>
    <t xml:space="preserve">Demote to co-term only.</t>
  </si>
  <si>
    <t xml:space="preserve">technological innovation</t>
  </si>
  <si>
    <t xml:space="preserve">Appears in essentially every applied-science abstract.</t>
  </si>
  <si>
    <t xml:space="preserve">R&amp;D expenditure</t>
  </si>
  <si>
    <t xml:space="preserve">Exact phrase; also 'R&amp;D intensity'</t>
  </si>
  <si>
    <t xml:space="preserve">Standard econometrics variable. Admitted Frankfurt Stock Exchange sustainability (rank 93) and PV recycling (84).</t>
  </si>
  <si>
    <t xml:space="preserve">sustainable development</t>
  </si>
  <si>
    <t xml:space="preserve">Admitted agriculture, waste trading and circular-economy papers with no strategic content.</t>
  </si>
  <si>
    <t xml:space="preserve">economic growth</t>
  </si>
  <si>
    <t xml:space="preserve">Universal in economics.</t>
  </si>
  <si>
    <t xml:space="preserve">higher education</t>
  </si>
  <si>
    <t xml:space="preserve">Vast education-research literature.</t>
  </si>
  <si>
    <t xml:space="preserve">Remove entirely; use only as co-term.</t>
  </si>
  <si>
    <t xml:space="preserve">supply chain</t>
  </si>
  <si>
    <t xml:space="preserve">Operations management owns this.</t>
  </si>
  <si>
    <t xml:space="preserve">Co-term only.</t>
  </si>
  <si>
    <t xml:space="preserve">artificial intelligence</t>
  </si>
  <si>
    <t xml:space="preserve">Now present in most technical abstracts regardless of topic.</t>
  </si>
  <si>
    <t xml:space="preserve">innovation ecosystem</t>
  </si>
  <si>
    <t xml:space="preserve">Consultancy boilerplate, used globally.</t>
  </si>
  <si>
    <t xml:space="preserve">international collaboration</t>
  </si>
  <si>
    <t xml:space="preserve">Generic bibliometrics.</t>
  </si>
  <si>
    <t xml:space="preserve">Tier counts</t>
  </si>
  <si>
    <t xml:space="preserve">Tier 1</t>
  </si>
  <si>
    <t xml:space="preserve">Tier 2</t>
  </si>
  <si>
    <t xml:space="preserve">Tier 3</t>
  </si>
  <si>
    <t xml:space="preserve">Total</t>
  </si>
  <si>
    <t xml:space="preserve">Strand B: foresight and futures methodology usable for studying the future of Strand A.</t>
  </si>
  <si>
    <t xml:space="preserve">futures studies</t>
  </si>
  <si>
    <t xml:space="preserve">None material. Field name.</t>
  </si>
  <si>
    <t xml:space="preserve">futures research</t>
  </si>
  <si>
    <t xml:space="preserve">Occasional finance use ('futures research' on commodity futures markets).</t>
  </si>
  <si>
    <t xml:space="preserve">Exclude if 'commodity', 'derivatives' or 'hedging' present.</t>
  </si>
  <si>
    <t xml:space="preserve">futures literacy</t>
  </si>
  <si>
    <t xml:space="preserve">None. UNESCO term of art.</t>
  </si>
  <si>
    <t xml:space="preserve">anticipatory governance</t>
  </si>
  <si>
    <t xml:space="preserve">foresight methodology</t>
  </si>
  <si>
    <t xml:space="preserve">Exact phrase; also 'foresight method', 'foresight methods'</t>
  </si>
  <si>
    <t xml:space="preserve">'Foresight' alone is an ordinary English noun and also a UK government programme name; the bigram is safe. Minor overlap with 'foresight bias' in psychology and finance.</t>
  </si>
  <si>
    <t xml:space="preserve">Admit alone. Never scan 'foresight' as a single token.</t>
  </si>
  <si>
    <t xml:space="preserve">corporate foresight</t>
  </si>
  <si>
    <t xml:space="preserve">Legitimate for B, but drifts hard into biosecurity, plant health, food safety and medtech surveillance, where the method is applied to domains unrelated to R&amp;I futures. Ranks 195 and 203 in your file are that drift.</t>
  </si>
  <si>
    <t xml:space="preserve">Admit to B, never to A. For a stricter B, require the paper to develop or adapt the method ('framework', 'methodology', 'protocol', 'validation') rather than merely report scanning results.</t>
  </si>
  <si>
    <t xml:space="preserve">environmental scanning</t>
  </si>
  <si>
    <t xml:space="preserve">Collides with environmental science and with 'scanning electron microscope' only if tokens are split.</t>
  </si>
  <si>
    <t xml:space="preserve">Admit alone as a phrase.</t>
  </si>
  <si>
    <t xml:space="preserve">Corporate-strategy methodology; broad but on-mission for B.</t>
  </si>
  <si>
    <t xml:space="preserve">Admit to B, never to A.</t>
  </si>
  <si>
    <t xml:space="preserve">scenario building</t>
  </si>
  <si>
    <t xml:space="preserve">Exact phrase; also 'scenario-building'</t>
  </si>
  <si>
    <t xml:space="preserve">participatory scenario</t>
  </si>
  <si>
    <t xml:space="preserve">backcasting</t>
  </si>
  <si>
    <t xml:space="preserve">Hydrology and climate science use 'backcasting' for hindcast data reconstruction.</t>
  </si>
  <si>
    <t xml:space="preserve">Exclude if 'hindcast', 'reanalysis' or 'streamflow' present.</t>
  </si>
  <si>
    <t xml:space="preserve">causal layered analysis</t>
  </si>
  <si>
    <t xml:space="preserve">None. Distinctive to the field.</t>
  </si>
  <si>
    <t xml:space="preserve">three horizons</t>
  </si>
  <si>
    <t xml:space="preserve">'Horizons' collides with time-horizon language in finance and planning.</t>
  </si>
  <si>
    <t xml:space="preserve">Require 'framework', 'model' or 'foresight'.</t>
  </si>
  <si>
    <t xml:space="preserve">futures triangle</t>
  </si>
  <si>
    <t xml:space="preserve">cross-impact analysis</t>
  </si>
  <si>
    <t xml:space="preserve">Delphi study</t>
  </si>
  <si>
    <t xml:space="preserve">Exact phrase; also 'Delphi method', 'Delphi panel', 'real-time Delphi'</t>
  </si>
  <si>
    <t xml:space="preserve">'Delphi' alone is a programming language (Embarcadero Delphi), an auto-parts company (Delphi Technologies), a US flu-forecasting group (Delphi at CMU) and the Greek archaeological site. Never scan the bare token.</t>
  </si>
  <si>
    <t xml:space="preserve">Only as a bigram with study/method/panel/survey/technique.</t>
  </si>
  <si>
    <t xml:space="preserve">technology roadmapping</t>
  </si>
  <si>
    <t xml:space="preserve">Exact phrase; also 'roadmapping framework'</t>
  </si>
  <si>
    <t xml:space="preserve">'Roadmap' alone is corporate boilerplate everywhere.</t>
  </si>
  <si>
    <t xml:space="preserve">Admit only as 'roadmapping'.</t>
  </si>
  <si>
    <t xml:space="preserve">emerging technology forecasting</t>
  </si>
  <si>
    <t xml:space="preserve">technology intelligence</t>
  </si>
  <si>
    <t xml:space="preserve">Occasional competitive-intelligence vendor marketing.</t>
  </si>
  <si>
    <t xml:space="preserve">tech mining</t>
  </si>
  <si>
    <t xml:space="preserve">weak signals</t>
  </si>
  <si>
    <t xml:space="preserve">Exact phrase, plural, case-insensitive</t>
  </si>
  <si>
    <t xml:space="preserve">See the row below. The plural form is far safer than 'weak signal detection' because the futures-studies literature uses the plural and the engineering literature uses the singular with 'detection'.</t>
  </si>
  <si>
    <t xml:space="preserve">Prefer this form over the singular.</t>
  </si>
  <si>
    <t xml:space="preserve">MAJOR COLLISION. This is a core electrical-engineering term: stochastic resonance, bistable systems, bearing-fault diagnosis, radar and sensor design. Rank 77 (Nonlinear Dynamics, stochastic resonance) and rank 197 (four-dimensional bistable system) in your file are both engineering papers admitted on this phrase, not futures studies.</t>
  </si>
  <si>
    <t xml:space="preserve">Require one of: foresight, futures, horizon scanning, scenario, Ansoff, environmental scanning. Exclude if 'stochastic resonance', 'bistable', 'signal-to-noise', 'bearing fault', 'radar' or 'oscillator' present.</t>
  </si>
  <si>
    <t xml:space="preserve">Ansoff</t>
  </si>
  <si>
    <t xml:space="preserve">Word boundaries, case-sensitive</t>
  </si>
  <si>
    <t xml:space="preserve">Also cited for the Ansoff growth matrix in marketing.</t>
  </si>
  <si>
    <t xml:space="preserve">Require 'weak signal' or 'filter' for the foresight sense.</t>
  </si>
  <si>
    <t xml:space="preserve">wild card</t>
  </si>
  <si>
    <t xml:space="preserve">Exact phrase; also 'wild cards'</t>
  </si>
  <si>
    <t xml:space="preserve">Card games, sport qualification, and the computing wildcard character.</t>
  </si>
  <si>
    <t xml:space="preserve">Require 'scenario', 'foresight' or 'low-probability'.</t>
  </si>
  <si>
    <t xml:space="preserve">black swan</t>
  </si>
  <si>
    <t xml:space="preserve">The bird, the ballet film, and generic finance-risk usage.</t>
  </si>
  <si>
    <t xml:space="preserve">Require 'foresight', 'scenario', 'risk governance' or 'tail risk' plus a method co-term.</t>
  </si>
  <si>
    <t xml:space="preserve">morphological analysis</t>
  </si>
  <si>
    <t xml:space="preserve">HEAVY COLLISION. Linguistics (word morphology), image processing, and materials science all own this phrase, and all three produce far more papers than the Zwicky-box foresight sense.</t>
  </si>
  <si>
    <t xml:space="preserve">Require 'Zwicky', 'scenario', 'foresight' or 'general morphological'.</t>
  </si>
  <si>
    <t xml:space="preserve">seeds of change</t>
  </si>
  <si>
    <t xml:space="preserve">Agriculture, an organic seed company of that name, and general metaphor.</t>
  </si>
  <si>
    <t xml:space="preserve">Require 'foresight', 'futures' or 'signal'.</t>
  </si>
  <si>
    <t xml:space="preserve">transformative pathways</t>
  </si>
  <si>
    <t xml:space="preserve">Sustainability-transitions literature, broad.</t>
  </si>
  <si>
    <t xml:space="preserve">Require 'scenario', 'backcasting' or 'foresight'.</t>
  </si>
  <si>
    <t xml:space="preserve">Delphi</t>
  </si>
  <si>
    <t xml:space="preserve">Word boundaries, case-sensitive, NEVER alone</t>
  </si>
  <si>
    <t xml:space="preserve">Listed only as a warning. Programming language, auto-parts supplier, CMU forecasting group, archaeological site.</t>
  </si>
  <si>
    <t xml:space="preserve">Never use as an admission trigger in any form.</t>
  </si>
  <si>
    <t xml:space="preserve">foresight</t>
  </si>
  <si>
    <t xml:space="preserve">Word boundaries, NEVER alone</t>
  </si>
  <si>
    <t xml:space="preserve">Ordinary English noun; UK government programme name; 'foresight bias' in psychology.</t>
  </si>
  <si>
    <t xml:space="preserve">Never use as an admission trigger. Bigrams only.</t>
  </si>
  <si>
    <t xml:space="preserve">methodology</t>
  </si>
  <si>
    <t xml:space="preserve">Present in most empirical abstracts.</t>
  </si>
  <si>
    <t xml:space="preserve">Strand C: material that could challenge or reframe Strand A. Least keyword-tractable of the three strands.</t>
  </si>
  <si>
    <t xml:space="preserve">suspension of cooperation</t>
  </si>
  <si>
    <t xml:space="preserve">Diplomatic and sporting contexts.</t>
  </si>
  <si>
    <t xml:space="preserve">Require research, science, university or a programme name.</t>
  </si>
  <si>
    <t xml:space="preserve">withdrawal from the programme</t>
  </si>
  <si>
    <t xml:space="preserve">Exact phrase; also 'withdrew from', 'exit from Horizon'</t>
  </si>
  <si>
    <t xml:space="preserve">Generic.</t>
  </si>
  <si>
    <t xml:space="preserve">Require a named EU programme.</t>
  </si>
  <si>
    <t xml:space="preserve">moratorium</t>
  </si>
  <si>
    <t xml:space="preserve">Debt moratoria, fishing moratoria, eviction moratoria — all larger literatures.</t>
  </si>
  <si>
    <t xml:space="preserve">Require 'research', 'technology', 'export' or 'collaboration'.</t>
  </si>
  <si>
    <t xml:space="preserve">decoupling</t>
  </si>
  <si>
    <t xml:space="preserve">Economics uses 'decoupling' for growth-vs-emissions, and physics for oscillator decoupling.</t>
  </si>
  <si>
    <t xml:space="preserve">Require 'technolog', 'research', 'US-China' or 'supply'.</t>
  </si>
  <si>
    <t xml:space="preserve">reversal</t>
  </si>
  <si>
    <t xml:space="preserve">Ubiquitous.</t>
  </si>
  <si>
    <t xml:space="preserve">Co-term only; never an admission trigger.</t>
  </si>
  <si>
    <t xml:space="preserve">first evidence</t>
  </si>
  <si>
    <t xml:space="preserve">Extremely common abstract framing across all sciences.</t>
  </si>
  <si>
    <t xml:space="preserve">Only in combination with an A-strand Tier 1 phrase on the same page.</t>
  </si>
  <si>
    <t xml:space="preserve">challenges the assumption</t>
  </si>
  <si>
    <t xml:space="preserve">Exact phrase; also 'challenges prevailing', 'contrary to expectations'</t>
  </si>
  <si>
    <t xml:space="preserve">Generic academic framing with near-zero topical signal on its own.</t>
  </si>
  <si>
    <t xml:space="preserve">Only as a re-ranking feature over pages already admitted on an A-strand phrase.</t>
  </si>
  <si>
    <t xml:space="preserve">paradigm shift</t>
  </si>
  <si>
    <t xml:space="preserve">One of the most over-used phrases in academic abstracts. Precision alone is close to zero.</t>
  </si>
  <si>
    <t xml:space="preserve">Never an admission trigger. Re-ranking feature at most.</t>
  </si>
  <si>
    <t xml:space="preserve">counterintuitive</t>
  </si>
  <si>
    <t xml:space="preserve">Re-ranking feature only.</t>
  </si>
  <si>
    <t xml:space="preserve">unprecedented</t>
  </si>
  <si>
    <t xml:space="preserve">Generic; heavily inflated in press releases.</t>
  </si>
  <si>
    <t xml:space="preserve">biomanufacturing</t>
  </si>
  <si>
    <t xml:space="preserve">None material. A named candidate for reshaping industrial dependency maps.</t>
  </si>
  <si>
    <t xml:space="preserve">Admit alone as a C-strand candidate technology.</t>
  </si>
  <si>
    <t xml:space="preserve">fermentation capacity</t>
  </si>
  <si>
    <t xml:space="preserve">Brewing and food-industry usage.</t>
  </si>
  <si>
    <t xml:space="preserve">Require 'industrial', 'chokepoint', 'strategic' or 'capacity race'.</t>
  </si>
  <si>
    <t xml:space="preserve">neuromorphic</t>
  </si>
  <si>
    <t xml:space="preserve">Admit alone as a candidate technology.</t>
  </si>
  <si>
    <t xml:space="preserve">RISC-V</t>
  </si>
  <si>
    <t xml:space="preserve">Exact string, case-sensitive</t>
  </si>
  <si>
    <t xml:space="preserve">open-weight model</t>
  </si>
  <si>
    <t xml:space="preserve">Exact phrase; also 'open weights'</t>
  </si>
  <si>
    <t xml:space="preserve">quantum error correction</t>
  </si>
  <si>
    <t xml:space="preserve">photonic interconnect</t>
  </si>
  <si>
    <t xml:space="preserve">critical technology list</t>
  </si>
  <si>
    <t xml:space="preserve">Exact phrase; also 'list of critical technologies'</t>
  </si>
  <si>
    <t xml:space="preserve">Revised after strand structure was clarified. Only Strand A admissions are assessed; B and C items previously flagged are withdrawn.</t>
  </si>
  <si>
    <t xml:space="preserve">Rank</t>
  </si>
  <si>
    <t xml:space="preserve">Strand</t>
  </si>
  <si>
    <t xml:space="preserve">Merit</t>
  </si>
  <si>
    <t xml:space="preserve">Admitted item</t>
  </si>
  <si>
    <t xml:space="preserve">Likely trigger phrase</t>
  </si>
  <si>
    <t xml:space="preserve">Assessment</t>
  </si>
  <si>
    <t xml:space="preserve">A</t>
  </si>
  <si>
    <t xml:space="preserve">2025 EFSA Annual Report Emerging Risks and Horizon Scanning Activities</t>
  </si>
  <si>
    <t xml:space="preserve">Food-safety foresight reporting admitted to A. Belongs in B at most, or nowhere.</t>
  </si>
  <si>
    <t xml:space="preserve">Bioeconomy as a driver of innovation capacity in agricultural regions (Russia)</t>
  </si>
  <si>
    <t xml:space="preserve">Regional agricultural policy; Europe is a comparator only.</t>
  </si>
  <si>
    <t xml:space="preserve">Smart Innovations and Sustainability in EU Waste Material Trading</t>
  </si>
  <si>
    <t xml:space="preserve">R&amp;D intensity / sustainable development</t>
  </si>
  <si>
    <t xml:space="preserve">Circular-economy econometrics; EU is the sample, not the subject.</t>
  </si>
  <si>
    <t xml:space="preserve">Are we ready to handle PV waste? PV recycling regulations review</t>
  </si>
  <si>
    <t xml:space="preserve">Recycling regulation review.</t>
  </si>
  <si>
    <t xml:space="preserve">Sustainable agricultural performance in the European Union</t>
  </si>
  <si>
    <t xml:space="preserve">Agricultural economics.</t>
  </si>
  <si>
    <t xml:space="preserve">Guatemala scientific and professional diaspora in Spain</t>
  </si>
  <si>
    <t xml:space="preserve">Origin-country diaspora study; no European capability mechanism.</t>
  </si>
  <si>
    <t xml:space="preserve">Balancing Doctor Mobility and Public Health Delivery: Latvia</t>
  </si>
  <si>
    <t xml:space="preserve">brain drain / researcher mobility</t>
  </si>
  <si>
    <t xml:space="preserve">Health-workforce emigration, not research capability.</t>
  </si>
  <si>
    <t xml:space="preserve">Innovation in Sparse Environments: Swedish Food Industry</t>
  </si>
  <si>
    <t xml:space="preserve">Regional innovation study with no external or strategic dimension.</t>
  </si>
  <si>
    <t xml:space="preserve">Recession and economic depression reflections in Ireland</t>
  </si>
  <si>
    <t xml:space="preserve">Labour-market reflections.</t>
  </si>
  <si>
    <t xml:space="preserve">Adaptation of Ukrainian legislation to EU standards in science and technology</t>
  </si>
  <si>
    <t xml:space="preserve">Legal harmonisation described without a strategic mechanism.</t>
  </si>
  <si>
    <t xml:space="preserve">Withdrawn from the previous audit</t>
  </si>
  <si>
    <t xml:space="preserve">B</t>
  </si>
  <si>
    <t xml:space="preserve">Scenario Planning and Organizational Sustainability</t>
  </si>
  <si>
    <t xml:space="preserve">On-mission for B.</t>
  </si>
  <si>
    <t xml:space="preserve">Stochastic resonance / weak signal detection</t>
  </si>
  <si>
    <t xml:space="preserve">Withdrawn as a strand error, but retained as a genuine syntactic collision inside B: this is electrical engineering, not futures studies.</t>
  </si>
  <si>
    <t xml:space="preserve">Horizon Scanning for Medical Technologies (MIST)</t>
  </si>
  <si>
    <t xml:space="preserve">Designing strategic scenarios for the digital transition</t>
  </si>
  <si>
    <t xml:space="preserve">Strategic foresight as a source of evidence for policymaking</t>
  </si>
  <si>
    <t xml:space="preserve">Hybrid foresight: AI and expert judgement</t>
  </si>
  <si>
    <t xml:space="preserve">Forest pests: adapting horizon scanning methodology</t>
  </si>
  <si>
    <t xml:space="preserve">On-mission for B, though the domain is distant.</t>
  </si>
  <si>
    <t xml:space="preserve">Weak Signal Detection, Four-Dimensional Bistable System</t>
  </si>
  <si>
    <t xml:space="preserve">Same engineering collision as rank 77.</t>
  </si>
  <si>
    <t xml:space="preserve">Scientific foundations of Horizon Scanning methodology</t>
  </si>
  <si>
    <t xml:space="preserve">C</t>
  </si>
  <si>
    <t xml:space="preserve">Evolving radio astronomy and its impact on Africa (ITU)</t>
  </si>
  <si>
    <t xml:space="preserve">Strand C admission; withdrawn.</t>
  </si>
  <si>
    <t xml:space="preserve">A self-reliance framework for strategic advanced materials</t>
  </si>
  <si>
    <t xml:space="preserve">Genuine A material; withdrawn.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</si>
</sst>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FCE4E4"/>
      </patternFill>
    </fill>
    <fill>
      <patternFill patternType="solid">
        <fgColor rgb="FFFCE4E4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4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6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1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/>
    </row>
    <row r="7" customFormat="false" ht="15" hidden="false" customHeight="false" outlineLevel="0" collapsed="false">
      <c r="A7" s="1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1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/>
    </row>
    <row r="16" customFormat="false" ht="15" hidden="false" customHeight="false" outlineLevel="0" collapsed="false">
      <c r="A16" s="1" t="s">
        <v>11</v>
      </c>
    </row>
    <row r="17" customFormat="false" ht="15" hidden="false" customHeight="false" outlineLevel="0" collapsed="false">
      <c r="A17" s="2" t="s">
        <v>12</v>
      </c>
    </row>
    <row r="18" customFormat="false" ht="15" hidden="false" customHeight="false" outlineLevel="0" collapsed="false">
      <c r="A18" s="2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/>
    </row>
    <row r="22" customFormat="false" ht="15" hidden="false" customHeight="false" outlineLevel="0" collapsed="false">
      <c r="A22" s="1" t="s">
        <v>16</v>
      </c>
    </row>
    <row r="23" customFormat="false" ht="15" hidden="false" customHeight="false" outlineLevel="0" collapsed="false">
      <c r="A23" s="2" t="s">
        <v>17</v>
      </c>
    </row>
    <row r="24" customFormat="false" ht="15" hidden="false" customHeight="false" outlineLevel="0" collapsed="false">
      <c r="A24" s="2" t="s">
        <v>18</v>
      </c>
    </row>
    <row r="25" customFormat="false" ht="15" hidden="false" customHeight="false" outlineLevel="0" collapsed="false">
      <c r="A25" s="2" t="s">
        <v>19</v>
      </c>
    </row>
    <row r="26" customFormat="false" ht="15" hidden="false" customHeight="false" outlineLevel="0" collapsed="false">
      <c r="A26" s="2"/>
    </row>
    <row r="27" customFormat="false" ht="15" hidden="false" customHeight="false" outlineLevel="0" collapsed="false">
      <c r="A27" s="1" t="s">
        <v>20</v>
      </c>
    </row>
    <row r="28" customFormat="false" ht="15" hidden="false" customHeight="false" outlineLevel="0" collapsed="false">
      <c r="A28" s="2" t="s">
        <v>21</v>
      </c>
    </row>
    <row r="29" customFormat="false" ht="15" hidden="false" customHeight="false" outlineLevel="0" collapsed="false">
      <c r="A29" s="2" t="s">
        <v>22</v>
      </c>
    </row>
    <row r="30" customFormat="false" ht="15" hidden="false" customHeight="false" outlineLevel="0" collapsed="false">
      <c r="A30" s="2" t="s">
        <v>23</v>
      </c>
    </row>
    <row r="31" customFormat="false" ht="15" hidden="false" customHeight="false" outlineLevel="0" collapsed="false">
      <c r="A31" s="2"/>
    </row>
    <row r="32" customFormat="false" ht="15" hidden="false" customHeight="false" outlineLevel="0" collapsed="false">
      <c r="A32" s="2" t="s">
        <v>24</v>
      </c>
    </row>
    <row r="33" customFormat="false" ht="15" hidden="false" customHeight="false" outlineLevel="0" collapsed="false">
      <c r="A33" s="2" t="s">
        <v>25</v>
      </c>
    </row>
    <row r="34" customFormat="false" ht="15" hidden="false" customHeight="false" outlineLevel="0" collapsed="false">
      <c r="A34" s="2"/>
    </row>
    <row r="35" customFormat="false" ht="15" hidden="false" customHeight="false" outlineLevel="0" collapsed="false">
      <c r="A35" s="1" t="s">
        <v>26</v>
      </c>
    </row>
    <row r="36" customFormat="false" ht="15" hidden="false" customHeight="false" outlineLevel="0" collapsed="false">
      <c r="A36" s="2" t="s">
        <v>27</v>
      </c>
    </row>
    <row r="37" customFormat="false" ht="15" hidden="false" customHeight="false" outlineLevel="0" collapsed="false">
      <c r="A37" s="2" t="s">
        <v>28</v>
      </c>
    </row>
    <row r="38" customFormat="false" ht="15" hidden="false" customHeight="false" outlineLevel="0" collapsed="false">
      <c r="A38" s="2" t="s">
        <v>29</v>
      </c>
    </row>
    <row r="39" customFormat="false" ht="15" hidden="false" customHeight="false" outlineLevel="0" collapsed="false">
      <c r="A39" s="2" t="s">
        <v>30</v>
      </c>
    </row>
    <row r="40" customFormat="false" ht="15" hidden="false" customHeight="false" outlineLevel="0" collapsed="false">
      <c r="A40" s="2"/>
    </row>
    <row r="41" customFormat="false" ht="15" hidden="false" customHeight="false" outlineLevel="0" collapsed="false">
      <c r="A41" s="2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74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3" t="s">
        <v>32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customFormat="false" ht="35.05" hidden="false" customHeight="false" outlineLevel="0" collapsed="false">
      <c r="A3" s="5" t="n">
        <v>1</v>
      </c>
      <c r="B3" s="6" t="s">
        <v>39</v>
      </c>
      <c r="C3" s="6" t="s">
        <v>40</v>
      </c>
      <c r="D3" s="7" t="n">
        <v>1</v>
      </c>
      <c r="E3" s="6" t="s">
        <v>41</v>
      </c>
      <c r="F3" s="6" t="s">
        <v>42</v>
      </c>
    </row>
    <row r="4" customFormat="false" ht="35.05" hidden="false" customHeight="false" outlineLevel="0" collapsed="false">
      <c r="A4" s="5" t="n">
        <v>2</v>
      </c>
      <c r="B4" s="6" t="s">
        <v>43</v>
      </c>
      <c r="C4" s="6" t="s">
        <v>40</v>
      </c>
      <c r="D4" s="7" t="n">
        <v>1</v>
      </c>
      <c r="E4" s="6" t="s">
        <v>44</v>
      </c>
      <c r="F4" s="6" t="s">
        <v>45</v>
      </c>
    </row>
    <row r="5" customFormat="false" ht="23.85" hidden="false" customHeight="false" outlineLevel="0" collapsed="false">
      <c r="A5" s="5" t="n">
        <v>3</v>
      </c>
      <c r="B5" s="6" t="s">
        <v>46</v>
      </c>
      <c r="C5" s="6" t="s">
        <v>40</v>
      </c>
      <c r="D5" s="7" t="n">
        <v>1</v>
      </c>
      <c r="E5" s="6" t="s">
        <v>47</v>
      </c>
      <c r="F5" s="6" t="s">
        <v>48</v>
      </c>
    </row>
    <row r="6" customFormat="false" ht="23.85" hidden="false" customHeight="false" outlineLevel="0" collapsed="false">
      <c r="A6" s="5" t="n">
        <v>4</v>
      </c>
      <c r="B6" s="6" t="s">
        <v>49</v>
      </c>
      <c r="C6" s="6" t="s">
        <v>40</v>
      </c>
      <c r="D6" s="7" t="n">
        <v>1</v>
      </c>
      <c r="E6" s="6" t="s">
        <v>50</v>
      </c>
      <c r="F6" s="6" t="s">
        <v>51</v>
      </c>
    </row>
    <row r="7" customFormat="false" ht="15" hidden="false" customHeight="false" outlineLevel="0" collapsed="false">
      <c r="A7" s="5" t="n">
        <v>5</v>
      </c>
      <c r="B7" s="6" t="s">
        <v>52</v>
      </c>
      <c r="C7" s="6" t="s">
        <v>40</v>
      </c>
      <c r="D7" s="7" t="n">
        <v>1</v>
      </c>
      <c r="E7" s="6" t="s">
        <v>53</v>
      </c>
      <c r="F7" s="6" t="s">
        <v>54</v>
      </c>
    </row>
    <row r="8" customFormat="false" ht="15" hidden="false" customHeight="false" outlineLevel="0" collapsed="false">
      <c r="A8" s="5" t="n">
        <v>6</v>
      </c>
      <c r="B8" s="6" t="s">
        <v>55</v>
      </c>
      <c r="C8" s="6" t="s">
        <v>40</v>
      </c>
      <c r="D8" s="7" t="n">
        <v>1</v>
      </c>
      <c r="E8" s="6" t="s">
        <v>56</v>
      </c>
      <c r="F8" s="6" t="s">
        <v>54</v>
      </c>
    </row>
    <row r="9" customFormat="false" ht="15" hidden="false" customHeight="false" outlineLevel="0" collapsed="false">
      <c r="A9" s="5" t="n">
        <v>7</v>
      </c>
      <c r="B9" s="6" t="s">
        <v>57</v>
      </c>
      <c r="C9" s="6" t="s">
        <v>40</v>
      </c>
      <c r="D9" s="7" t="n">
        <v>1</v>
      </c>
      <c r="E9" s="6" t="s">
        <v>58</v>
      </c>
      <c r="F9" s="6" t="s">
        <v>54</v>
      </c>
    </row>
    <row r="10" customFormat="false" ht="23.85" hidden="false" customHeight="false" outlineLevel="0" collapsed="false">
      <c r="A10" s="5" t="n">
        <v>8</v>
      </c>
      <c r="B10" s="6" t="s">
        <v>59</v>
      </c>
      <c r="C10" s="6" t="s">
        <v>60</v>
      </c>
      <c r="D10" s="7" t="n">
        <v>1</v>
      </c>
      <c r="E10" s="6" t="s">
        <v>56</v>
      </c>
      <c r="F10" s="6" t="s">
        <v>54</v>
      </c>
    </row>
    <row r="11" customFormat="false" ht="23.85" hidden="false" customHeight="false" outlineLevel="0" collapsed="false">
      <c r="A11" s="5" t="n">
        <v>9</v>
      </c>
      <c r="B11" s="6" t="s">
        <v>61</v>
      </c>
      <c r="C11" s="6" t="s">
        <v>40</v>
      </c>
      <c r="D11" s="7" t="n">
        <v>1</v>
      </c>
      <c r="E11" s="6" t="s">
        <v>62</v>
      </c>
      <c r="F11" s="6" t="s">
        <v>63</v>
      </c>
    </row>
    <row r="12" customFormat="false" ht="15" hidden="false" customHeight="false" outlineLevel="0" collapsed="false">
      <c r="A12" s="5" t="n">
        <v>10</v>
      </c>
      <c r="B12" s="6" t="s">
        <v>64</v>
      </c>
      <c r="C12" s="6" t="s">
        <v>40</v>
      </c>
      <c r="D12" s="7" t="n">
        <v>1</v>
      </c>
      <c r="E12" s="6" t="s">
        <v>65</v>
      </c>
      <c r="F12" s="6" t="s">
        <v>54</v>
      </c>
    </row>
    <row r="13" customFormat="false" ht="23.85" hidden="false" customHeight="false" outlineLevel="0" collapsed="false">
      <c r="A13" s="5" t="n">
        <v>11</v>
      </c>
      <c r="B13" s="6" t="s">
        <v>66</v>
      </c>
      <c r="C13" s="6" t="s">
        <v>40</v>
      </c>
      <c r="D13" s="7" t="n">
        <v>1</v>
      </c>
      <c r="E13" s="6" t="s">
        <v>67</v>
      </c>
      <c r="F13" s="6" t="s">
        <v>68</v>
      </c>
    </row>
    <row r="14" customFormat="false" ht="35.05" hidden="false" customHeight="false" outlineLevel="0" collapsed="false">
      <c r="A14" s="5" t="n">
        <v>12</v>
      </c>
      <c r="B14" s="6" t="s">
        <v>69</v>
      </c>
      <c r="C14" s="6" t="s">
        <v>70</v>
      </c>
      <c r="D14" s="7" t="n">
        <v>1</v>
      </c>
      <c r="E14" s="6" t="s">
        <v>71</v>
      </c>
      <c r="F14" s="6" t="s">
        <v>72</v>
      </c>
    </row>
    <row r="15" customFormat="false" ht="15" hidden="false" customHeight="false" outlineLevel="0" collapsed="false">
      <c r="A15" s="5" t="n">
        <v>13</v>
      </c>
      <c r="B15" s="6" t="s">
        <v>73</v>
      </c>
      <c r="C15" s="6" t="s">
        <v>40</v>
      </c>
      <c r="D15" s="7" t="n">
        <v>1</v>
      </c>
      <c r="E15" s="6" t="s">
        <v>56</v>
      </c>
      <c r="F15" s="6" t="s">
        <v>54</v>
      </c>
    </row>
    <row r="16" customFormat="false" ht="23.85" hidden="false" customHeight="false" outlineLevel="0" collapsed="false">
      <c r="A16" s="5" t="n">
        <v>14</v>
      </c>
      <c r="B16" s="6" t="s">
        <v>74</v>
      </c>
      <c r="C16" s="6" t="s">
        <v>75</v>
      </c>
      <c r="D16" s="7" t="n">
        <v>1</v>
      </c>
      <c r="E16" s="6" t="s">
        <v>76</v>
      </c>
      <c r="F16" s="6" t="s">
        <v>77</v>
      </c>
    </row>
    <row r="17" customFormat="false" ht="23.85" hidden="false" customHeight="false" outlineLevel="0" collapsed="false">
      <c r="A17" s="5" t="n">
        <v>15</v>
      </c>
      <c r="B17" s="6" t="s">
        <v>78</v>
      </c>
      <c r="C17" s="6" t="s">
        <v>79</v>
      </c>
      <c r="D17" s="7" t="n">
        <v>1</v>
      </c>
      <c r="E17" s="6" t="s">
        <v>80</v>
      </c>
      <c r="F17" s="6" t="s">
        <v>81</v>
      </c>
    </row>
    <row r="18" customFormat="false" ht="15" hidden="false" customHeight="false" outlineLevel="0" collapsed="false">
      <c r="A18" s="5" t="n">
        <v>16</v>
      </c>
      <c r="B18" s="6" t="s">
        <v>82</v>
      </c>
      <c r="C18" s="6" t="s">
        <v>83</v>
      </c>
      <c r="D18" s="7" t="n">
        <v>1</v>
      </c>
      <c r="E18" s="6" t="s">
        <v>84</v>
      </c>
      <c r="F18" s="6" t="s">
        <v>54</v>
      </c>
    </row>
    <row r="19" customFormat="false" ht="23.85" hidden="false" customHeight="false" outlineLevel="0" collapsed="false">
      <c r="A19" s="5" t="n">
        <v>17</v>
      </c>
      <c r="B19" s="6" t="s">
        <v>85</v>
      </c>
      <c r="C19" s="6" t="s">
        <v>86</v>
      </c>
      <c r="D19" s="7" t="n">
        <v>1</v>
      </c>
      <c r="E19" s="6" t="s">
        <v>87</v>
      </c>
      <c r="F19" s="6" t="s">
        <v>54</v>
      </c>
    </row>
    <row r="20" customFormat="false" ht="23.85" hidden="false" customHeight="false" outlineLevel="0" collapsed="false">
      <c r="A20" s="5" t="n">
        <v>18</v>
      </c>
      <c r="B20" s="6" t="s">
        <v>88</v>
      </c>
      <c r="C20" s="6" t="s">
        <v>89</v>
      </c>
      <c r="D20" s="7" t="n">
        <v>1</v>
      </c>
      <c r="E20" s="6" t="s">
        <v>90</v>
      </c>
      <c r="F20" s="6" t="s">
        <v>91</v>
      </c>
    </row>
    <row r="21" customFormat="false" ht="15" hidden="false" customHeight="false" outlineLevel="0" collapsed="false">
      <c r="A21" s="5" t="n">
        <v>19</v>
      </c>
      <c r="B21" s="6" t="s">
        <v>92</v>
      </c>
      <c r="C21" s="6" t="s">
        <v>86</v>
      </c>
      <c r="D21" s="7" t="n">
        <v>1</v>
      </c>
      <c r="E21" s="6" t="s">
        <v>84</v>
      </c>
      <c r="F21" s="6" t="s">
        <v>54</v>
      </c>
    </row>
    <row r="22" customFormat="false" ht="23.85" hidden="false" customHeight="false" outlineLevel="0" collapsed="false">
      <c r="A22" s="5" t="n">
        <v>20</v>
      </c>
      <c r="B22" s="6" t="s">
        <v>93</v>
      </c>
      <c r="C22" s="6" t="s">
        <v>40</v>
      </c>
      <c r="D22" s="7" t="n">
        <v>1</v>
      </c>
      <c r="E22" s="6" t="s">
        <v>84</v>
      </c>
      <c r="F22" s="6" t="s">
        <v>54</v>
      </c>
    </row>
    <row r="23" customFormat="false" ht="23.85" hidden="false" customHeight="false" outlineLevel="0" collapsed="false">
      <c r="A23" s="5" t="n">
        <v>21</v>
      </c>
      <c r="B23" s="6" t="s">
        <v>94</v>
      </c>
      <c r="C23" s="6" t="s">
        <v>89</v>
      </c>
      <c r="D23" s="7" t="n">
        <v>1</v>
      </c>
      <c r="E23" s="6" t="s">
        <v>56</v>
      </c>
      <c r="F23" s="6" t="s">
        <v>54</v>
      </c>
    </row>
    <row r="24" customFormat="false" ht="15" hidden="false" customHeight="false" outlineLevel="0" collapsed="false">
      <c r="A24" s="5" t="n">
        <v>22</v>
      </c>
      <c r="B24" s="6" t="s">
        <v>95</v>
      </c>
      <c r="C24" s="6" t="s">
        <v>86</v>
      </c>
      <c r="D24" s="7" t="n">
        <v>1</v>
      </c>
      <c r="E24" s="6" t="s">
        <v>84</v>
      </c>
      <c r="F24" s="6" t="s">
        <v>54</v>
      </c>
    </row>
    <row r="25" customFormat="false" ht="15" hidden="false" customHeight="false" outlineLevel="0" collapsed="false">
      <c r="A25" s="5" t="n">
        <v>23</v>
      </c>
      <c r="B25" s="6" t="s">
        <v>96</v>
      </c>
      <c r="C25" s="6" t="s">
        <v>86</v>
      </c>
      <c r="D25" s="7" t="n">
        <v>1</v>
      </c>
      <c r="E25" s="6" t="s">
        <v>84</v>
      </c>
      <c r="F25" s="6" t="s">
        <v>54</v>
      </c>
    </row>
    <row r="26" customFormat="false" ht="15" hidden="false" customHeight="false" outlineLevel="0" collapsed="false">
      <c r="A26" s="5" t="n">
        <v>24</v>
      </c>
      <c r="B26" s="6" t="s">
        <v>97</v>
      </c>
      <c r="C26" s="6" t="s">
        <v>40</v>
      </c>
      <c r="D26" s="7" t="n">
        <v>1</v>
      </c>
      <c r="E26" s="6" t="s">
        <v>84</v>
      </c>
      <c r="F26" s="6" t="s">
        <v>54</v>
      </c>
    </row>
    <row r="27" customFormat="false" ht="15" hidden="false" customHeight="false" outlineLevel="0" collapsed="false">
      <c r="A27" s="5" t="n">
        <v>25</v>
      </c>
      <c r="B27" s="6" t="s">
        <v>98</v>
      </c>
      <c r="C27" s="6" t="s">
        <v>86</v>
      </c>
      <c r="D27" s="7" t="n">
        <v>1</v>
      </c>
      <c r="E27" s="6" t="s">
        <v>99</v>
      </c>
      <c r="F27" s="6" t="s">
        <v>54</v>
      </c>
    </row>
    <row r="28" customFormat="false" ht="15" hidden="false" customHeight="false" outlineLevel="0" collapsed="false">
      <c r="A28" s="5" t="n">
        <v>26</v>
      </c>
      <c r="B28" s="6" t="s">
        <v>100</v>
      </c>
      <c r="C28" s="6" t="s">
        <v>83</v>
      </c>
      <c r="D28" s="7" t="n">
        <v>1</v>
      </c>
      <c r="E28" s="6" t="s">
        <v>84</v>
      </c>
      <c r="F28" s="6" t="s">
        <v>54</v>
      </c>
    </row>
    <row r="29" customFormat="false" ht="15" hidden="false" customHeight="false" outlineLevel="0" collapsed="false">
      <c r="A29" s="5" t="n">
        <v>27</v>
      </c>
      <c r="B29" s="6" t="s">
        <v>101</v>
      </c>
      <c r="C29" s="6" t="s">
        <v>86</v>
      </c>
      <c r="D29" s="7" t="n">
        <v>1</v>
      </c>
      <c r="E29" s="6" t="s">
        <v>84</v>
      </c>
      <c r="F29" s="6" t="s">
        <v>54</v>
      </c>
    </row>
    <row r="30" customFormat="false" ht="15" hidden="false" customHeight="false" outlineLevel="0" collapsed="false">
      <c r="A30" s="5" t="n">
        <v>28</v>
      </c>
      <c r="B30" s="6" t="s">
        <v>102</v>
      </c>
      <c r="C30" s="6" t="s">
        <v>86</v>
      </c>
      <c r="D30" s="7" t="n">
        <v>1</v>
      </c>
      <c r="E30" s="6" t="s">
        <v>84</v>
      </c>
      <c r="F30" s="6" t="s">
        <v>54</v>
      </c>
    </row>
    <row r="31" customFormat="false" ht="15" hidden="false" customHeight="false" outlineLevel="0" collapsed="false">
      <c r="A31" s="5" t="n">
        <v>29</v>
      </c>
      <c r="B31" s="6" t="s">
        <v>103</v>
      </c>
      <c r="C31" s="6" t="s">
        <v>86</v>
      </c>
      <c r="D31" s="7" t="n">
        <v>1</v>
      </c>
      <c r="E31" s="6" t="s">
        <v>84</v>
      </c>
      <c r="F31" s="6" t="s">
        <v>54</v>
      </c>
    </row>
    <row r="32" customFormat="false" ht="23.85" hidden="false" customHeight="false" outlineLevel="0" collapsed="false">
      <c r="A32" s="5" t="n">
        <v>30</v>
      </c>
      <c r="B32" s="6" t="s">
        <v>104</v>
      </c>
      <c r="C32" s="6" t="s">
        <v>40</v>
      </c>
      <c r="D32" s="7" t="n">
        <v>1</v>
      </c>
      <c r="E32" s="6" t="s">
        <v>105</v>
      </c>
      <c r="F32" s="6" t="s">
        <v>54</v>
      </c>
    </row>
    <row r="33" customFormat="false" ht="15" hidden="false" customHeight="false" outlineLevel="0" collapsed="false">
      <c r="A33" s="5" t="n">
        <v>31</v>
      </c>
      <c r="B33" s="6" t="s">
        <v>106</v>
      </c>
      <c r="C33" s="6" t="s">
        <v>40</v>
      </c>
      <c r="D33" s="7" t="n">
        <v>1</v>
      </c>
      <c r="E33" s="6" t="s">
        <v>56</v>
      </c>
      <c r="F33" s="6" t="s">
        <v>54</v>
      </c>
    </row>
    <row r="34" customFormat="false" ht="15" hidden="false" customHeight="false" outlineLevel="0" collapsed="false">
      <c r="A34" s="5" t="n">
        <v>32</v>
      </c>
      <c r="B34" s="6" t="s">
        <v>107</v>
      </c>
      <c r="C34" s="6" t="s">
        <v>40</v>
      </c>
      <c r="D34" s="7" t="n">
        <v>1</v>
      </c>
      <c r="E34" s="6" t="s">
        <v>108</v>
      </c>
      <c r="F34" s="6" t="s">
        <v>109</v>
      </c>
    </row>
    <row r="35" customFormat="false" ht="23.85" hidden="false" customHeight="false" outlineLevel="0" collapsed="false">
      <c r="A35" s="5" t="n">
        <v>33</v>
      </c>
      <c r="B35" s="6" t="s">
        <v>110</v>
      </c>
      <c r="C35" s="6" t="s">
        <v>40</v>
      </c>
      <c r="D35" s="7" t="n">
        <v>1</v>
      </c>
      <c r="E35" s="6" t="s">
        <v>111</v>
      </c>
      <c r="F35" s="6" t="s">
        <v>112</v>
      </c>
    </row>
    <row r="36" customFormat="false" ht="15" hidden="false" customHeight="false" outlineLevel="0" collapsed="false">
      <c r="A36" s="5" t="n">
        <v>34</v>
      </c>
      <c r="B36" s="6" t="s">
        <v>113</v>
      </c>
      <c r="C36" s="6" t="s">
        <v>40</v>
      </c>
      <c r="D36" s="7" t="n">
        <v>1</v>
      </c>
      <c r="E36" s="6" t="s">
        <v>84</v>
      </c>
      <c r="F36" s="6" t="s">
        <v>54</v>
      </c>
    </row>
    <row r="37" customFormat="false" ht="23.85" hidden="false" customHeight="false" outlineLevel="0" collapsed="false">
      <c r="A37" s="5" t="n">
        <v>35</v>
      </c>
      <c r="B37" s="6" t="s">
        <v>114</v>
      </c>
      <c r="C37" s="6" t="s">
        <v>40</v>
      </c>
      <c r="D37" s="7" t="n">
        <v>1</v>
      </c>
      <c r="E37" s="6" t="s">
        <v>115</v>
      </c>
      <c r="F37" s="6" t="s">
        <v>116</v>
      </c>
    </row>
    <row r="38" customFormat="false" ht="15" hidden="false" customHeight="false" outlineLevel="0" collapsed="false">
      <c r="A38" s="5" t="n">
        <v>36</v>
      </c>
      <c r="B38" s="6" t="s">
        <v>117</v>
      </c>
      <c r="C38" s="6" t="s">
        <v>40</v>
      </c>
      <c r="D38" s="7" t="n">
        <v>1</v>
      </c>
      <c r="E38" s="6" t="s">
        <v>56</v>
      </c>
      <c r="F38" s="6" t="s">
        <v>54</v>
      </c>
    </row>
    <row r="39" customFormat="false" ht="15" hidden="false" customHeight="false" outlineLevel="0" collapsed="false">
      <c r="A39" s="5" t="n">
        <v>37</v>
      </c>
      <c r="B39" s="6" t="s">
        <v>118</v>
      </c>
      <c r="C39" s="6" t="s">
        <v>40</v>
      </c>
      <c r="D39" s="7" t="n">
        <v>1</v>
      </c>
      <c r="E39" s="6" t="s">
        <v>56</v>
      </c>
      <c r="F39" s="6" t="s">
        <v>54</v>
      </c>
    </row>
    <row r="40" customFormat="false" ht="23.85" hidden="false" customHeight="false" outlineLevel="0" collapsed="false">
      <c r="A40" s="5" t="n">
        <v>38</v>
      </c>
      <c r="B40" s="6" t="s">
        <v>119</v>
      </c>
      <c r="C40" s="6" t="s">
        <v>120</v>
      </c>
      <c r="D40" s="7" t="n">
        <v>1</v>
      </c>
      <c r="E40" s="6" t="s">
        <v>84</v>
      </c>
      <c r="F40" s="6" t="s">
        <v>121</v>
      </c>
    </row>
    <row r="41" customFormat="false" ht="15" hidden="false" customHeight="false" outlineLevel="0" collapsed="false">
      <c r="A41" s="5" t="n">
        <v>39</v>
      </c>
      <c r="B41" s="6" t="s">
        <v>122</v>
      </c>
      <c r="C41" s="6" t="s">
        <v>40</v>
      </c>
      <c r="D41" s="7" t="n">
        <v>1</v>
      </c>
      <c r="E41" s="6" t="s">
        <v>56</v>
      </c>
      <c r="F41" s="6" t="s">
        <v>54</v>
      </c>
    </row>
    <row r="42" customFormat="false" ht="15" hidden="false" customHeight="false" outlineLevel="0" collapsed="false">
      <c r="A42" s="5" t="n">
        <v>40</v>
      </c>
      <c r="B42" s="6" t="s">
        <v>123</v>
      </c>
      <c r="C42" s="6" t="s">
        <v>40</v>
      </c>
      <c r="D42" s="7" t="n">
        <v>1</v>
      </c>
      <c r="E42" s="6" t="s">
        <v>124</v>
      </c>
      <c r="F42" s="6" t="s">
        <v>125</v>
      </c>
    </row>
    <row r="43" customFormat="false" ht="15" hidden="false" customHeight="false" outlineLevel="0" collapsed="false">
      <c r="A43" s="5" t="n">
        <v>41</v>
      </c>
      <c r="B43" s="6" t="s">
        <v>126</v>
      </c>
      <c r="C43" s="6" t="s">
        <v>40</v>
      </c>
      <c r="D43" s="7" t="n">
        <v>1</v>
      </c>
      <c r="E43" s="6" t="s">
        <v>127</v>
      </c>
      <c r="F43" s="6" t="s">
        <v>128</v>
      </c>
    </row>
    <row r="44" customFormat="false" ht="15" hidden="false" customHeight="false" outlineLevel="0" collapsed="false">
      <c r="A44" s="5" t="n">
        <v>42</v>
      </c>
      <c r="B44" s="6" t="s">
        <v>129</v>
      </c>
      <c r="C44" s="6" t="s">
        <v>40</v>
      </c>
      <c r="D44" s="7" t="n">
        <v>1</v>
      </c>
      <c r="E44" s="6" t="s">
        <v>56</v>
      </c>
      <c r="F44" s="6" t="s">
        <v>54</v>
      </c>
    </row>
    <row r="45" customFormat="false" ht="15" hidden="false" customHeight="false" outlineLevel="0" collapsed="false">
      <c r="A45" s="5" t="n">
        <v>43</v>
      </c>
      <c r="B45" s="6" t="s">
        <v>130</v>
      </c>
      <c r="C45" s="6" t="s">
        <v>86</v>
      </c>
      <c r="D45" s="7" t="n">
        <v>1</v>
      </c>
      <c r="E45" s="6" t="s">
        <v>84</v>
      </c>
      <c r="F45" s="6" t="s">
        <v>54</v>
      </c>
    </row>
    <row r="46" customFormat="false" ht="15" hidden="false" customHeight="false" outlineLevel="0" collapsed="false">
      <c r="A46" s="5" t="n">
        <v>44</v>
      </c>
      <c r="B46" s="6" t="s">
        <v>131</v>
      </c>
      <c r="C46" s="6" t="s">
        <v>86</v>
      </c>
      <c r="D46" s="7" t="n">
        <v>1</v>
      </c>
      <c r="E46" s="6" t="s">
        <v>132</v>
      </c>
      <c r="F46" s="6" t="s">
        <v>133</v>
      </c>
    </row>
    <row r="47" customFormat="false" ht="15" hidden="false" customHeight="false" outlineLevel="0" collapsed="false">
      <c r="A47" s="5" t="n">
        <v>45</v>
      </c>
      <c r="B47" s="6" t="s">
        <v>134</v>
      </c>
      <c r="C47" s="6" t="s">
        <v>86</v>
      </c>
      <c r="D47" s="7" t="n">
        <v>1</v>
      </c>
      <c r="E47" s="6" t="s">
        <v>84</v>
      </c>
      <c r="F47" s="6" t="s">
        <v>54</v>
      </c>
    </row>
    <row r="48" customFormat="false" ht="15" hidden="false" customHeight="false" outlineLevel="0" collapsed="false">
      <c r="A48" s="5" t="n">
        <v>46</v>
      </c>
      <c r="B48" s="6" t="s">
        <v>135</v>
      </c>
      <c r="C48" s="6" t="s">
        <v>86</v>
      </c>
      <c r="D48" s="7" t="n">
        <v>1</v>
      </c>
      <c r="E48" s="6" t="s">
        <v>84</v>
      </c>
      <c r="F48" s="6" t="s">
        <v>54</v>
      </c>
    </row>
    <row r="49" customFormat="false" ht="15" hidden="false" customHeight="false" outlineLevel="0" collapsed="false">
      <c r="A49" s="5" t="n">
        <v>47</v>
      </c>
      <c r="B49" s="6" t="s">
        <v>136</v>
      </c>
      <c r="C49" s="6" t="s">
        <v>86</v>
      </c>
      <c r="D49" s="7" t="n">
        <v>1</v>
      </c>
      <c r="E49" s="6" t="s">
        <v>137</v>
      </c>
      <c r="F49" s="6" t="s">
        <v>54</v>
      </c>
    </row>
    <row r="50" customFormat="false" ht="23.85" hidden="false" customHeight="false" outlineLevel="0" collapsed="false">
      <c r="A50" s="5" t="n">
        <v>48</v>
      </c>
      <c r="B50" s="6" t="s">
        <v>138</v>
      </c>
      <c r="C50" s="6" t="s">
        <v>139</v>
      </c>
      <c r="D50" s="7" t="n">
        <v>1</v>
      </c>
      <c r="E50" s="6" t="s">
        <v>140</v>
      </c>
      <c r="F50" s="6" t="s">
        <v>54</v>
      </c>
    </row>
    <row r="51" customFormat="false" ht="15" hidden="false" customHeight="false" outlineLevel="0" collapsed="false">
      <c r="A51" s="5" t="n">
        <v>49</v>
      </c>
      <c r="B51" s="6" t="s">
        <v>141</v>
      </c>
      <c r="C51" s="6" t="s">
        <v>86</v>
      </c>
      <c r="D51" s="7" t="n">
        <v>1</v>
      </c>
      <c r="E51" s="6" t="s">
        <v>142</v>
      </c>
      <c r="F51" s="6" t="s">
        <v>143</v>
      </c>
    </row>
    <row r="52" customFormat="false" ht="15" hidden="false" customHeight="false" outlineLevel="0" collapsed="false">
      <c r="A52" s="5" t="n">
        <v>50</v>
      </c>
      <c r="B52" s="6" t="s">
        <v>144</v>
      </c>
      <c r="C52" s="6" t="s">
        <v>86</v>
      </c>
      <c r="D52" s="7" t="n">
        <v>1</v>
      </c>
      <c r="E52" s="6" t="s">
        <v>145</v>
      </c>
      <c r="F52" s="6" t="s">
        <v>54</v>
      </c>
    </row>
    <row r="53" customFormat="false" ht="15" hidden="false" customHeight="false" outlineLevel="0" collapsed="false">
      <c r="A53" s="5" t="n">
        <v>51</v>
      </c>
      <c r="B53" s="6" t="s">
        <v>146</v>
      </c>
      <c r="C53" s="6" t="s">
        <v>147</v>
      </c>
      <c r="D53" s="7" t="n">
        <v>1</v>
      </c>
      <c r="E53" s="6" t="s">
        <v>84</v>
      </c>
      <c r="F53" s="6" t="s">
        <v>54</v>
      </c>
    </row>
    <row r="54" customFormat="false" ht="15" hidden="false" customHeight="false" outlineLevel="0" collapsed="false">
      <c r="A54" s="5" t="n">
        <v>52</v>
      </c>
      <c r="B54" s="6" t="s">
        <v>148</v>
      </c>
      <c r="C54" s="6" t="s">
        <v>86</v>
      </c>
      <c r="D54" s="7" t="n">
        <v>1</v>
      </c>
      <c r="E54" s="6" t="s">
        <v>149</v>
      </c>
      <c r="F54" s="6" t="s">
        <v>150</v>
      </c>
    </row>
    <row r="55" customFormat="false" ht="15" hidden="false" customHeight="false" outlineLevel="0" collapsed="false">
      <c r="A55" s="5" t="n">
        <v>53</v>
      </c>
      <c r="B55" s="6" t="s">
        <v>151</v>
      </c>
      <c r="C55" s="6" t="s">
        <v>86</v>
      </c>
      <c r="D55" s="7" t="n">
        <v>1</v>
      </c>
      <c r="E55" s="6" t="s">
        <v>56</v>
      </c>
      <c r="F55" s="6" t="s">
        <v>54</v>
      </c>
    </row>
    <row r="56" customFormat="false" ht="23.85" hidden="false" customHeight="false" outlineLevel="0" collapsed="false">
      <c r="A56" s="5" t="n">
        <v>54</v>
      </c>
      <c r="B56" s="6" t="s">
        <v>152</v>
      </c>
      <c r="C56" s="6" t="s">
        <v>153</v>
      </c>
      <c r="D56" s="7" t="n">
        <v>1</v>
      </c>
      <c r="E56" s="6" t="s">
        <v>84</v>
      </c>
      <c r="F56" s="6" t="s">
        <v>54</v>
      </c>
    </row>
    <row r="57" customFormat="false" ht="23.85" hidden="false" customHeight="false" outlineLevel="0" collapsed="false">
      <c r="A57" s="5" t="n">
        <v>55</v>
      </c>
      <c r="B57" s="6" t="s">
        <v>154</v>
      </c>
      <c r="C57" s="6" t="s">
        <v>40</v>
      </c>
      <c r="D57" s="7" t="n">
        <v>1</v>
      </c>
      <c r="E57" s="6" t="s">
        <v>155</v>
      </c>
      <c r="F57" s="6" t="s">
        <v>156</v>
      </c>
    </row>
    <row r="58" customFormat="false" ht="15" hidden="false" customHeight="false" outlineLevel="0" collapsed="false">
      <c r="A58" s="5" t="n">
        <v>56</v>
      </c>
      <c r="B58" s="6" t="s">
        <v>157</v>
      </c>
      <c r="C58" s="6" t="s">
        <v>40</v>
      </c>
      <c r="D58" s="7" t="n">
        <v>1</v>
      </c>
      <c r="E58" s="6" t="s">
        <v>158</v>
      </c>
      <c r="F58" s="6" t="s">
        <v>54</v>
      </c>
    </row>
    <row r="59" customFormat="false" ht="23.85" hidden="false" customHeight="false" outlineLevel="0" collapsed="false">
      <c r="A59" s="5" t="n">
        <v>57</v>
      </c>
      <c r="B59" s="6" t="s">
        <v>159</v>
      </c>
      <c r="C59" s="6" t="s">
        <v>40</v>
      </c>
      <c r="D59" s="8" t="n">
        <v>2</v>
      </c>
      <c r="E59" s="6" t="s">
        <v>160</v>
      </c>
      <c r="F59" s="6" t="s">
        <v>161</v>
      </c>
    </row>
    <row r="60" customFormat="false" ht="15" hidden="false" customHeight="false" outlineLevel="0" collapsed="false">
      <c r="A60" s="5" t="n">
        <v>58</v>
      </c>
      <c r="B60" s="6" t="s">
        <v>162</v>
      </c>
      <c r="C60" s="6" t="s">
        <v>40</v>
      </c>
      <c r="D60" s="8" t="n">
        <v>2</v>
      </c>
      <c r="E60" s="6" t="s">
        <v>163</v>
      </c>
      <c r="F60" s="6" t="s">
        <v>164</v>
      </c>
    </row>
    <row r="61" customFormat="false" ht="23.85" hidden="false" customHeight="false" outlineLevel="0" collapsed="false">
      <c r="A61" s="5" t="n">
        <v>59</v>
      </c>
      <c r="B61" s="6" t="s">
        <v>165</v>
      </c>
      <c r="C61" s="6" t="s">
        <v>40</v>
      </c>
      <c r="D61" s="8" t="n">
        <v>2</v>
      </c>
      <c r="E61" s="6" t="s">
        <v>166</v>
      </c>
      <c r="F61" s="6" t="s">
        <v>167</v>
      </c>
    </row>
    <row r="62" customFormat="false" ht="23.85" hidden="false" customHeight="false" outlineLevel="0" collapsed="false">
      <c r="A62" s="5" t="n">
        <v>60</v>
      </c>
      <c r="B62" s="6" t="s">
        <v>168</v>
      </c>
      <c r="C62" s="6" t="s">
        <v>40</v>
      </c>
      <c r="D62" s="8" t="n">
        <v>2</v>
      </c>
      <c r="E62" s="6" t="s">
        <v>169</v>
      </c>
      <c r="F62" s="6" t="s">
        <v>170</v>
      </c>
    </row>
    <row r="63" customFormat="false" ht="23.85" hidden="false" customHeight="false" outlineLevel="0" collapsed="false">
      <c r="A63" s="5" t="n">
        <v>61</v>
      </c>
      <c r="B63" s="6" t="s">
        <v>171</v>
      </c>
      <c r="C63" s="6" t="s">
        <v>172</v>
      </c>
      <c r="D63" s="8" t="n">
        <v>2</v>
      </c>
      <c r="E63" s="6" t="s">
        <v>173</v>
      </c>
      <c r="F63" s="6" t="s">
        <v>174</v>
      </c>
    </row>
    <row r="64" customFormat="false" ht="23.85" hidden="false" customHeight="false" outlineLevel="0" collapsed="false">
      <c r="A64" s="5" t="n">
        <v>62</v>
      </c>
      <c r="B64" s="6" t="s">
        <v>175</v>
      </c>
      <c r="C64" s="6" t="s">
        <v>40</v>
      </c>
      <c r="D64" s="8" t="n">
        <v>2</v>
      </c>
      <c r="E64" s="6" t="s">
        <v>176</v>
      </c>
      <c r="F64" s="6" t="s">
        <v>177</v>
      </c>
    </row>
    <row r="65" customFormat="false" ht="15" hidden="false" customHeight="false" outlineLevel="0" collapsed="false">
      <c r="A65" s="5" t="n">
        <v>63</v>
      </c>
      <c r="B65" s="6" t="s">
        <v>178</v>
      </c>
      <c r="C65" s="6" t="s">
        <v>40</v>
      </c>
      <c r="D65" s="8" t="n">
        <v>2</v>
      </c>
      <c r="E65" s="6" t="s">
        <v>179</v>
      </c>
      <c r="F65" s="6" t="s">
        <v>180</v>
      </c>
    </row>
    <row r="66" customFormat="false" ht="23.85" hidden="false" customHeight="false" outlineLevel="0" collapsed="false">
      <c r="A66" s="5" t="n">
        <v>64</v>
      </c>
      <c r="B66" s="6" t="s">
        <v>181</v>
      </c>
      <c r="C66" s="6" t="s">
        <v>40</v>
      </c>
      <c r="D66" s="8" t="n">
        <v>2</v>
      </c>
      <c r="E66" s="6" t="s">
        <v>182</v>
      </c>
      <c r="F66" s="6" t="s">
        <v>183</v>
      </c>
    </row>
    <row r="67" customFormat="false" ht="23.85" hidden="false" customHeight="false" outlineLevel="0" collapsed="false">
      <c r="A67" s="5" t="n">
        <v>65</v>
      </c>
      <c r="B67" s="6" t="s">
        <v>184</v>
      </c>
      <c r="C67" s="6" t="s">
        <v>40</v>
      </c>
      <c r="D67" s="8" t="n">
        <v>2</v>
      </c>
      <c r="E67" s="6" t="s">
        <v>185</v>
      </c>
      <c r="F67" s="6" t="s">
        <v>186</v>
      </c>
    </row>
    <row r="68" customFormat="false" ht="23.85" hidden="false" customHeight="false" outlineLevel="0" collapsed="false">
      <c r="A68" s="5" t="n">
        <v>66</v>
      </c>
      <c r="B68" s="6" t="s">
        <v>187</v>
      </c>
      <c r="C68" s="6" t="s">
        <v>188</v>
      </c>
      <c r="D68" s="8" t="n">
        <v>2</v>
      </c>
      <c r="E68" s="6" t="s">
        <v>189</v>
      </c>
      <c r="F68" s="6" t="s">
        <v>190</v>
      </c>
    </row>
    <row r="69" customFormat="false" ht="15" hidden="false" customHeight="false" outlineLevel="0" collapsed="false">
      <c r="A69" s="5" t="n">
        <v>67</v>
      </c>
      <c r="B69" s="6" t="s">
        <v>191</v>
      </c>
      <c r="C69" s="6" t="s">
        <v>40</v>
      </c>
      <c r="D69" s="8" t="n">
        <v>2</v>
      </c>
      <c r="E69" s="6" t="s">
        <v>192</v>
      </c>
      <c r="F69" s="6" t="s">
        <v>193</v>
      </c>
    </row>
    <row r="70" customFormat="false" ht="23.85" hidden="false" customHeight="false" outlineLevel="0" collapsed="false">
      <c r="A70" s="5" t="n">
        <v>68</v>
      </c>
      <c r="B70" s="6" t="s">
        <v>194</v>
      </c>
      <c r="C70" s="6" t="s">
        <v>195</v>
      </c>
      <c r="D70" s="8" t="n">
        <v>2</v>
      </c>
      <c r="E70" s="6" t="s">
        <v>196</v>
      </c>
      <c r="F70" s="6" t="s">
        <v>197</v>
      </c>
    </row>
    <row r="71" customFormat="false" ht="15" hidden="false" customHeight="false" outlineLevel="0" collapsed="false">
      <c r="A71" s="5" t="n">
        <v>69</v>
      </c>
      <c r="B71" s="6" t="s">
        <v>198</v>
      </c>
      <c r="C71" s="6" t="s">
        <v>199</v>
      </c>
      <c r="D71" s="8" t="n">
        <v>2</v>
      </c>
      <c r="E71" s="6" t="s">
        <v>200</v>
      </c>
      <c r="F71" s="6" t="s">
        <v>201</v>
      </c>
    </row>
    <row r="72" customFormat="false" ht="23.85" hidden="false" customHeight="false" outlineLevel="0" collapsed="false">
      <c r="A72" s="5" t="n">
        <v>70</v>
      </c>
      <c r="B72" s="6" t="s">
        <v>202</v>
      </c>
      <c r="C72" s="6" t="s">
        <v>203</v>
      </c>
      <c r="D72" s="8" t="n">
        <v>2</v>
      </c>
      <c r="E72" s="6" t="s">
        <v>204</v>
      </c>
      <c r="F72" s="6" t="s">
        <v>205</v>
      </c>
    </row>
    <row r="73" customFormat="false" ht="23.85" hidden="false" customHeight="false" outlineLevel="0" collapsed="false">
      <c r="A73" s="5" t="n">
        <v>71</v>
      </c>
      <c r="B73" s="6" t="s">
        <v>206</v>
      </c>
      <c r="C73" s="6" t="s">
        <v>207</v>
      </c>
      <c r="D73" s="8" t="n">
        <v>2</v>
      </c>
      <c r="E73" s="6" t="s">
        <v>208</v>
      </c>
      <c r="F73" s="6" t="s">
        <v>209</v>
      </c>
    </row>
    <row r="74" customFormat="false" ht="15" hidden="false" customHeight="false" outlineLevel="0" collapsed="false">
      <c r="A74" s="5" t="n">
        <v>72</v>
      </c>
      <c r="B74" s="6" t="s">
        <v>210</v>
      </c>
      <c r="C74" s="6" t="s">
        <v>40</v>
      </c>
      <c r="D74" s="8" t="n">
        <v>2</v>
      </c>
      <c r="E74" s="6" t="s">
        <v>211</v>
      </c>
      <c r="F74" s="6" t="s">
        <v>212</v>
      </c>
    </row>
    <row r="75" customFormat="false" ht="15" hidden="false" customHeight="false" outlineLevel="0" collapsed="false">
      <c r="A75" s="5" t="n">
        <v>73</v>
      </c>
      <c r="B75" s="6" t="s">
        <v>213</v>
      </c>
      <c r="C75" s="6" t="s">
        <v>40</v>
      </c>
      <c r="D75" s="8" t="n">
        <v>2</v>
      </c>
      <c r="E75" s="6" t="s">
        <v>214</v>
      </c>
      <c r="F75" s="6" t="s">
        <v>215</v>
      </c>
    </row>
    <row r="76" customFormat="false" ht="15" hidden="false" customHeight="false" outlineLevel="0" collapsed="false">
      <c r="A76" s="5" t="n">
        <v>74</v>
      </c>
      <c r="B76" s="6" t="s">
        <v>216</v>
      </c>
      <c r="C76" s="6" t="s">
        <v>40</v>
      </c>
      <c r="D76" s="8" t="n">
        <v>2</v>
      </c>
      <c r="E76" s="6" t="s">
        <v>217</v>
      </c>
      <c r="F76" s="6" t="s">
        <v>218</v>
      </c>
    </row>
    <row r="77" customFormat="false" ht="23.85" hidden="false" customHeight="false" outlineLevel="0" collapsed="false">
      <c r="A77" s="5" t="n">
        <v>75</v>
      </c>
      <c r="B77" s="6" t="s">
        <v>219</v>
      </c>
      <c r="C77" s="6" t="s">
        <v>220</v>
      </c>
      <c r="D77" s="8" t="n">
        <v>2</v>
      </c>
      <c r="E77" s="6" t="s">
        <v>221</v>
      </c>
      <c r="F77" s="6" t="s">
        <v>222</v>
      </c>
    </row>
    <row r="78" customFormat="false" ht="15" hidden="false" customHeight="false" outlineLevel="0" collapsed="false">
      <c r="A78" s="5" t="n">
        <v>76</v>
      </c>
      <c r="B78" s="6" t="s">
        <v>223</v>
      </c>
      <c r="C78" s="6" t="s">
        <v>40</v>
      </c>
      <c r="D78" s="8" t="n">
        <v>2</v>
      </c>
      <c r="E78" s="6" t="s">
        <v>224</v>
      </c>
      <c r="F78" s="6" t="s">
        <v>225</v>
      </c>
    </row>
    <row r="79" customFormat="false" ht="15" hidden="false" customHeight="false" outlineLevel="0" collapsed="false">
      <c r="A79" s="5" t="n">
        <v>77</v>
      </c>
      <c r="B79" s="6" t="s">
        <v>226</v>
      </c>
      <c r="C79" s="6" t="s">
        <v>40</v>
      </c>
      <c r="D79" s="8" t="n">
        <v>2</v>
      </c>
      <c r="E79" s="6" t="s">
        <v>227</v>
      </c>
      <c r="F79" s="6" t="s">
        <v>218</v>
      </c>
    </row>
    <row r="80" customFormat="false" ht="15" hidden="false" customHeight="false" outlineLevel="0" collapsed="false">
      <c r="A80" s="5" t="n">
        <v>78</v>
      </c>
      <c r="B80" s="6" t="s">
        <v>228</v>
      </c>
      <c r="C80" s="6" t="s">
        <v>40</v>
      </c>
      <c r="D80" s="8" t="n">
        <v>2</v>
      </c>
      <c r="E80" s="6" t="s">
        <v>229</v>
      </c>
      <c r="F80" s="6" t="s">
        <v>230</v>
      </c>
    </row>
    <row r="81" customFormat="false" ht="15" hidden="false" customHeight="false" outlineLevel="0" collapsed="false">
      <c r="A81" s="5" t="n">
        <v>79</v>
      </c>
      <c r="B81" s="6" t="s">
        <v>231</v>
      </c>
      <c r="C81" s="6" t="s">
        <v>40</v>
      </c>
      <c r="D81" s="8" t="n">
        <v>2</v>
      </c>
      <c r="E81" s="6" t="s">
        <v>232</v>
      </c>
      <c r="F81" s="6" t="s">
        <v>233</v>
      </c>
    </row>
    <row r="82" customFormat="false" ht="23.85" hidden="false" customHeight="false" outlineLevel="0" collapsed="false">
      <c r="A82" s="5" t="n">
        <v>80</v>
      </c>
      <c r="B82" s="6" t="s">
        <v>234</v>
      </c>
      <c r="C82" s="6" t="s">
        <v>40</v>
      </c>
      <c r="D82" s="8" t="n">
        <v>2</v>
      </c>
      <c r="E82" s="6" t="s">
        <v>235</v>
      </c>
      <c r="F82" s="6" t="s">
        <v>236</v>
      </c>
    </row>
    <row r="83" customFormat="false" ht="23.85" hidden="false" customHeight="false" outlineLevel="0" collapsed="false">
      <c r="A83" s="5" t="n">
        <v>81</v>
      </c>
      <c r="B83" s="6" t="s">
        <v>237</v>
      </c>
      <c r="C83" s="6" t="s">
        <v>40</v>
      </c>
      <c r="D83" s="8" t="n">
        <v>2</v>
      </c>
      <c r="E83" s="6" t="s">
        <v>238</v>
      </c>
      <c r="F83" s="6" t="s">
        <v>239</v>
      </c>
    </row>
    <row r="84" customFormat="false" ht="15" hidden="false" customHeight="false" outlineLevel="0" collapsed="false">
      <c r="A84" s="5" t="n">
        <v>82</v>
      </c>
      <c r="B84" s="6" t="s">
        <v>240</v>
      </c>
      <c r="C84" s="6" t="s">
        <v>40</v>
      </c>
      <c r="D84" s="8" t="n">
        <v>2</v>
      </c>
      <c r="E84" s="6" t="s">
        <v>241</v>
      </c>
      <c r="F84" s="6" t="s">
        <v>218</v>
      </c>
    </row>
    <row r="85" customFormat="false" ht="23.85" hidden="false" customHeight="false" outlineLevel="0" collapsed="false">
      <c r="A85" s="5" t="n">
        <v>83</v>
      </c>
      <c r="B85" s="6" t="s">
        <v>242</v>
      </c>
      <c r="C85" s="6" t="s">
        <v>243</v>
      </c>
      <c r="D85" s="8" t="n">
        <v>2</v>
      </c>
      <c r="E85" s="6" t="s">
        <v>244</v>
      </c>
      <c r="F85" s="6" t="s">
        <v>245</v>
      </c>
    </row>
    <row r="86" customFormat="false" ht="23.85" hidden="false" customHeight="false" outlineLevel="0" collapsed="false">
      <c r="A86" s="5" t="n">
        <v>84</v>
      </c>
      <c r="B86" s="6" t="s">
        <v>246</v>
      </c>
      <c r="C86" s="6" t="s">
        <v>247</v>
      </c>
      <c r="D86" s="8" t="n">
        <v>2</v>
      </c>
      <c r="E86" s="6" t="s">
        <v>248</v>
      </c>
      <c r="F86" s="6" t="s">
        <v>249</v>
      </c>
    </row>
    <row r="87" customFormat="false" ht="15" hidden="false" customHeight="false" outlineLevel="0" collapsed="false">
      <c r="A87" s="5" t="n">
        <v>85</v>
      </c>
      <c r="B87" s="6" t="s">
        <v>250</v>
      </c>
      <c r="C87" s="6" t="s">
        <v>40</v>
      </c>
      <c r="D87" s="8" t="n">
        <v>2</v>
      </c>
      <c r="E87" s="6" t="s">
        <v>251</v>
      </c>
      <c r="F87" s="6" t="s">
        <v>252</v>
      </c>
    </row>
    <row r="88" customFormat="false" ht="15" hidden="false" customHeight="false" outlineLevel="0" collapsed="false">
      <c r="A88" s="5" t="n">
        <v>86</v>
      </c>
      <c r="B88" s="6" t="s">
        <v>253</v>
      </c>
      <c r="C88" s="6" t="s">
        <v>83</v>
      </c>
      <c r="D88" s="8" t="n">
        <v>2</v>
      </c>
      <c r="E88" s="6" t="s">
        <v>254</v>
      </c>
      <c r="F88" s="6" t="s">
        <v>255</v>
      </c>
    </row>
    <row r="89" customFormat="false" ht="15" hidden="false" customHeight="false" outlineLevel="0" collapsed="false">
      <c r="A89" s="5" t="n">
        <v>87</v>
      </c>
      <c r="B89" s="6" t="s">
        <v>256</v>
      </c>
      <c r="C89" s="6" t="s">
        <v>40</v>
      </c>
      <c r="D89" s="8" t="n">
        <v>2</v>
      </c>
      <c r="E89" s="6" t="s">
        <v>257</v>
      </c>
      <c r="F89" s="6" t="s">
        <v>258</v>
      </c>
    </row>
    <row r="90" customFormat="false" ht="15" hidden="false" customHeight="false" outlineLevel="0" collapsed="false">
      <c r="A90" s="5" t="n">
        <v>88</v>
      </c>
      <c r="B90" s="6" t="s">
        <v>259</v>
      </c>
      <c r="C90" s="6" t="s">
        <v>40</v>
      </c>
      <c r="D90" s="8" t="n">
        <v>2</v>
      </c>
      <c r="E90" s="6" t="s">
        <v>260</v>
      </c>
      <c r="F90" s="6" t="s">
        <v>261</v>
      </c>
    </row>
    <row r="91" customFormat="false" ht="23.85" hidden="false" customHeight="false" outlineLevel="0" collapsed="false">
      <c r="A91" s="5" t="n">
        <v>89</v>
      </c>
      <c r="B91" s="6" t="s">
        <v>262</v>
      </c>
      <c r="C91" s="6" t="s">
        <v>263</v>
      </c>
      <c r="D91" s="8" t="n">
        <v>2</v>
      </c>
      <c r="E91" s="6" t="s">
        <v>264</v>
      </c>
      <c r="F91" s="6" t="s">
        <v>265</v>
      </c>
    </row>
    <row r="92" customFormat="false" ht="15" hidden="false" customHeight="false" outlineLevel="0" collapsed="false">
      <c r="A92" s="5" t="n">
        <v>90</v>
      </c>
      <c r="B92" s="6" t="s">
        <v>266</v>
      </c>
      <c r="C92" s="6" t="s">
        <v>40</v>
      </c>
      <c r="D92" s="8" t="n">
        <v>2</v>
      </c>
      <c r="E92" s="6" t="s">
        <v>267</v>
      </c>
      <c r="F92" s="6" t="s">
        <v>268</v>
      </c>
    </row>
    <row r="93" customFormat="false" ht="35.05" hidden="false" customHeight="false" outlineLevel="0" collapsed="false">
      <c r="A93" s="5" t="n">
        <v>91</v>
      </c>
      <c r="B93" s="6" t="s">
        <v>269</v>
      </c>
      <c r="C93" s="6" t="s">
        <v>40</v>
      </c>
      <c r="D93" s="9" t="n">
        <v>3</v>
      </c>
      <c r="E93" s="6" t="s">
        <v>270</v>
      </c>
      <c r="F93" s="6" t="s">
        <v>271</v>
      </c>
    </row>
    <row r="94" customFormat="false" ht="23.85" hidden="false" customHeight="false" outlineLevel="0" collapsed="false">
      <c r="A94" s="5" t="n">
        <v>92</v>
      </c>
      <c r="B94" s="6" t="s">
        <v>272</v>
      </c>
      <c r="C94" s="6" t="s">
        <v>40</v>
      </c>
      <c r="D94" s="9" t="n">
        <v>3</v>
      </c>
      <c r="E94" s="6" t="s">
        <v>273</v>
      </c>
      <c r="F94" s="6" t="s">
        <v>274</v>
      </c>
    </row>
    <row r="95" customFormat="false" ht="15" hidden="false" customHeight="false" outlineLevel="0" collapsed="false">
      <c r="A95" s="5" t="n">
        <v>93</v>
      </c>
      <c r="B95" s="6" t="s">
        <v>275</v>
      </c>
      <c r="C95" s="6" t="s">
        <v>40</v>
      </c>
      <c r="D95" s="9" t="n">
        <v>3</v>
      </c>
      <c r="E95" s="6" t="s">
        <v>276</v>
      </c>
      <c r="F95" s="6" t="s">
        <v>271</v>
      </c>
    </row>
    <row r="96" customFormat="false" ht="23.85" hidden="false" customHeight="false" outlineLevel="0" collapsed="false">
      <c r="A96" s="5" t="n">
        <v>94</v>
      </c>
      <c r="B96" s="6" t="s">
        <v>277</v>
      </c>
      <c r="C96" s="6" t="s">
        <v>40</v>
      </c>
      <c r="D96" s="9" t="n">
        <v>3</v>
      </c>
      <c r="E96" s="6" t="s">
        <v>278</v>
      </c>
      <c r="F96" s="6" t="s">
        <v>271</v>
      </c>
    </row>
    <row r="97" customFormat="false" ht="15" hidden="false" customHeight="false" outlineLevel="0" collapsed="false">
      <c r="A97" s="5" t="n">
        <v>95</v>
      </c>
      <c r="B97" s="6" t="s">
        <v>279</v>
      </c>
      <c r="C97" s="6" t="s">
        <v>40</v>
      </c>
      <c r="D97" s="9" t="n">
        <v>3</v>
      </c>
      <c r="E97" s="6" t="s">
        <v>280</v>
      </c>
      <c r="F97" s="6" t="s">
        <v>281</v>
      </c>
    </row>
    <row r="98" customFormat="false" ht="35.05" hidden="false" customHeight="false" outlineLevel="0" collapsed="false">
      <c r="A98" s="5" t="n">
        <v>96</v>
      </c>
      <c r="B98" s="6" t="s">
        <v>282</v>
      </c>
      <c r="C98" s="6" t="s">
        <v>40</v>
      </c>
      <c r="D98" s="9" t="n">
        <v>3</v>
      </c>
      <c r="E98" s="6" t="s">
        <v>283</v>
      </c>
      <c r="F98" s="6" t="s">
        <v>284</v>
      </c>
    </row>
    <row r="99" customFormat="false" ht="15" hidden="false" customHeight="false" outlineLevel="0" collapsed="false">
      <c r="A99" s="5" t="n">
        <v>97</v>
      </c>
      <c r="B99" s="6" t="s">
        <v>285</v>
      </c>
      <c r="C99" s="6" t="s">
        <v>40</v>
      </c>
      <c r="D99" s="9" t="n">
        <v>3</v>
      </c>
      <c r="E99" s="6" t="s">
        <v>286</v>
      </c>
      <c r="F99" s="6" t="s">
        <v>281</v>
      </c>
    </row>
    <row r="100" customFormat="false" ht="23.85" hidden="false" customHeight="false" outlineLevel="0" collapsed="false">
      <c r="A100" s="5" t="n">
        <v>98</v>
      </c>
      <c r="B100" s="6" t="s">
        <v>287</v>
      </c>
      <c r="C100" s="6" t="s">
        <v>288</v>
      </c>
      <c r="D100" s="9" t="n">
        <v>3</v>
      </c>
      <c r="E100" s="6" t="s">
        <v>289</v>
      </c>
      <c r="F100" s="6" t="s">
        <v>284</v>
      </c>
    </row>
    <row r="101" customFormat="false" ht="15" hidden="false" customHeight="false" outlineLevel="0" collapsed="false">
      <c r="A101" s="5" t="n">
        <v>99</v>
      </c>
      <c r="B101" s="6" t="s">
        <v>290</v>
      </c>
      <c r="C101" s="6" t="s">
        <v>40</v>
      </c>
      <c r="D101" s="9" t="n">
        <v>3</v>
      </c>
      <c r="E101" s="6" t="s">
        <v>291</v>
      </c>
      <c r="F101" s="6" t="s">
        <v>281</v>
      </c>
    </row>
    <row r="102" customFormat="false" ht="15" hidden="false" customHeight="false" outlineLevel="0" collapsed="false">
      <c r="A102" s="5" t="n">
        <v>100</v>
      </c>
      <c r="B102" s="6" t="s">
        <v>292</v>
      </c>
      <c r="C102" s="6" t="s">
        <v>40</v>
      </c>
      <c r="D102" s="9" t="n">
        <v>3</v>
      </c>
      <c r="E102" s="6" t="s">
        <v>293</v>
      </c>
      <c r="F102" s="6" t="s">
        <v>281</v>
      </c>
    </row>
    <row r="103" customFormat="false" ht="15" hidden="false" customHeight="false" outlineLevel="0" collapsed="false">
      <c r="A103" s="5" t="n">
        <v>101</v>
      </c>
      <c r="B103" s="6" t="s">
        <v>294</v>
      </c>
      <c r="C103" s="6" t="s">
        <v>40</v>
      </c>
      <c r="D103" s="9" t="n">
        <v>3</v>
      </c>
      <c r="E103" s="6" t="s">
        <v>295</v>
      </c>
      <c r="F103" s="6" t="s">
        <v>296</v>
      </c>
    </row>
    <row r="104" customFormat="false" ht="15" hidden="false" customHeight="false" outlineLevel="0" collapsed="false">
      <c r="A104" s="5" t="n">
        <v>102</v>
      </c>
      <c r="B104" s="6" t="s">
        <v>297</v>
      </c>
      <c r="C104" s="6" t="s">
        <v>40</v>
      </c>
      <c r="D104" s="9" t="n">
        <v>3</v>
      </c>
      <c r="E104" s="6" t="s">
        <v>298</v>
      </c>
      <c r="F104" s="6" t="s">
        <v>299</v>
      </c>
    </row>
    <row r="105" customFormat="false" ht="15" hidden="false" customHeight="false" outlineLevel="0" collapsed="false">
      <c r="A105" s="5" t="n">
        <v>103</v>
      </c>
      <c r="B105" s="6" t="s">
        <v>300</v>
      </c>
      <c r="C105" s="6" t="s">
        <v>40</v>
      </c>
      <c r="D105" s="9" t="n">
        <v>3</v>
      </c>
      <c r="E105" s="6" t="s">
        <v>301</v>
      </c>
      <c r="F105" s="6" t="s">
        <v>299</v>
      </c>
    </row>
    <row r="106" customFormat="false" ht="15" hidden="false" customHeight="false" outlineLevel="0" collapsed="false">
      <c r="A106" s="5" t="n">
        <v>104</v>
      </c>
      <c r="B106" s="6" t="s">
        <v>302</v>
      </c>
      <c r="C106" s="6" t="s">
        <v>40</v>
      </c>
      <c r="D106" s="9" t="n">
        <v>3</v>
      </c>
      <c r="E106" s="6" t="s">
        <v>303</v>
      </c>
      <c r="F106" s="6" t="s">
        <v>299</v>
      </c>
    </row>
    <row r="107" customFormat="false" ht="15" hidden="false" customHeight="false" outlineLevel="0" collapsed="false">
      <c r="A107" s="5" t="n">
        <v>105</v>
      </c>
      <c r="B107" s="6" t="s">
        <v>304</v>
      </c>
      <c r="C107" s="6" t="s">
        <v>40</v>
      </c>
      <c r="D107" s="9" t="n">
        <v>3</v>
      </c>
      <c r="E107" s="6" t="s">
        <v>305</v>
      </c>
      <c r="F107" s="6" t="s">
        <v>299</v>
      </c>
    </row>
    <row r="109" customFormat="false" ht="15" hidden="false" customHeight="false" outlineLevel="0" collapsed="false">
      <c r="B109" s="10" t="s">
        <v>306</v>
      </c>
    </row>
    <row r="110" customFormat="false" ht="15" hidden="false" customHeight="false" outlineLevel="0" collapsed="false">
      <c r="B110" s="11" t="s">
        <v>307</v>
      </c>
      <c r="C110" s="11" t="n">
        <f aca="false">COUNTIF(D3:D107,1)</f>
        <v>56</v>
      </c>
    </row>
    <row r="111" customFormat="false" ht="15" hidden="false" customHeight="false" outlineLevel="0" collapsed="false">
      <c r="B111" s="11" t="s">
        <v>308</v>
      </c>
      <c r="C111" s="11" t="n">
        <f aca="false">COUNTIF(D3:D107,2)</f>
        <v>34</v>
      </c>
    </row>
    <row r="112" customFormat="false" ht="15" hidden="false" customHeight="false" outlineLevel="0" collapsed="false">
      <c r="B112" s="11" t="s">
        <v>309</v>
      </c>
      <c r="C112" s="11" t="n">
        <f aca="false">COUNTIF(D3:D107,3)</f>
        <v>15</v>
      </c>
    </row>
    <row r="113" customFormat="false" ht="15" hidden="false" customHeight="false" outlineLevel="0" collapsed="false">
      <c r="B113" s="10" t="s">
        <v>310</v>
      </c>
      <c r="C113" s="10" t="n">
        <f aca="false">COUNTA(B3:B107)</f>
        <v>105</v>
      </c>
    </row>
  </sheetData>
  <autoFilter ref="A2:F107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74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3" t="s">
        <v>311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customFormat="false" ht="15" hidden="false" customHeight="false" outlineLevel="0" collapsed="false">
      <c r="A3" s="5" t="n">
        <v>1</v>
      </c>
      <c r="B3" s="6" t="s">
        <v>312</v>
      </c>
      <c r="C3" s="6" t="s">
        <v>40</v>
      </c>
      <c r="D3" s="7" t="n">
        <v>1</v>
      </c>
      <c r="E3" s="6" t="s">
        <v>313</v>
      </c>
      <c r="F3" s="6" t="s">
        <v>54</v>
      </c>
    </row>
    <row r="4" customFormat="false" ht="15" hidden="false" customHeight="false" outlineLevel="0" collapsed="false">
      <c r="A4" s="5" t="n">
        <v>2</v>
      </c>
      <c r="B4" s="6" t="s">
        <v>314</v>
      </c>
      <c r="C4" s="6" t="s">
        <v>40</v>
      </c>
      <c r="D4" s="7" t="n">
        <v>1</v>
      </c>
      <c r="E4" s="6" t="s">
        <v>315</v>
      </c>
      <c r="F4" s="6" t="s">
        <v>316</v>
      </c>
    </row>
    <row r="5" customFormat="false" ht="15" hidden="false" customHeight="false" outlineLevel="0" collapsed="false">
      <c r="A5" s="5" t="n">
        <v>3</v>
      </c>
      <c r="B5" s="6" t="s">
        <v>317</v>
      </c>
      <c r="C5" s="6" t="s">
        <v>40</v>
      </c>
      <c r="D5" s="7" t="n">
        <v>1</v>
      </c>
      <c r="E5" s="6" t="s">
        <v>318</v>
      </c>
      <c r="F5" s="6" t="s">
        <v>54</v>
      </c>
    </row>
    <row r="6" customFormat="false" ht="15" hidden="false" customHeight="false" outlineLevel="0" collapsed="false">
      <c r="A6" s="5" t="n">
        <v>4</v>
      </c>
      <c r="B6" s="6" t="s">
        <v>319</v>
      </c>
      <c r="C6" s="6" t="s">
        <v>40</v>
      </c>
      <c r="D6" s="7" t="n">
        <v>1</v>
      </c>
      <c r="E6" s="6" t="s">
        <v>56</v>
      </c>
      <c r="F6" s="6" t="s">
        <v>54</v>
      </c>
    </row>
    <row r="7" customFormat="false" ht="23.85" hidden="false" customHeight="false" outlineLevel="0" collapsed="false">
      <c r="A7" s="5" t="n">
        <v>5</v>
      </c>
      <c r="B7" s="6" t="s">
        <v>320</v>
      </c>
      <c r="C7" s="6" t="s">
        <v>321</v>
      </c>
      <c r="D7" s="7" t="n">
        <v>1</v>
      </c>
      <c r="E7" s="6" t="s">
        <v>56</v>
      </c>
      <c r="F7" s="6" t="s">
        <v>54</v>
      </c>
    </row>
    <row r="8" customFormat="false" ht="23.85" hidden="false" customHeight="false" outlineLevel="0" collapsed="false">
      <c r="A8" s="5" t="n">
        <v>6</v>
      </c>
      <c r="B8" s="6" t="s">
        <v>275</v>
      </c>
      <c r="C8" s="6" t="s">
        <v>40</v>
      </c>
      <c r="D8" s="7" t="n">
        <v>1</v>
      </c>
      <c r="E8" s="6" t="s">
        <v>322</v>
      </c>
      <c r="F8" s="6" t="s">
        <v>323</v>
      </c>
    </row>
    <row r="9" customFormat="false" ht="15" hidden="false" customHeight="false" outlineLevel="0" collapsed="false">
      <c r="A9" s="5" t="n">
        <v>7</v>
      </c>
      <c r="B9" s="6" t="s">
        <v>324</v>
      </c>
      <c r="C9" s="6" t="s">
        <v>40</v>
      </c>
      <c r="D9" s="7" t="n">
        <v>1</v>
      </c>
      <c r="E9" s="6" t="s">
        <v>56</v>
      </c>
      <c r="F9" s="6" t="s">
        <v>54</v>
      </c>
    </row>
    <row r="10" customFormat="false" ht="35.05" hidden="false" customHeight="false" outlineLevel="0" collapsed="false">
      <c r="A10" s="5" t="n">
        <v>8</v>
      </c>
      <c r="B10" s="6" t="s">
        <v>269</v>
      </c>
      <c r="C10" s="6" t="s">
        <v>40</v>
      </c>
      <c r="D10" s="7" t="n">
        <v>1</v>
      </c>
      <c r="E10" s="6" t="s">
        <v>325</v>
      </c>
      <c r="F10" s="6" t="s">
        <v>326</v>
      </c>
    </row>
    <row r="11" customFormat="false" ht="23.85" hidden="false" customHeight="false" outlineLevel="0" collapsed="false">
      <c r="A11" s="5" t="n">
        <v>9</v>
      </c>
      <c r="B11" s="6" t="s">
        <v>327</v>
      </c>
      <c r="C11" s="6" t="s">
        <v>40</v>
      </c>
      <c r="D11" s="7" t="n">
        <v>1</v>
      </c>
      <c r="E11" s="6" t="s">
        <v>328</v>
      </c>
      <c r="F11" s="6" t="s">
        <v>329</v>
      </c>
    </row>
    <row r="12" customFormat="false" ht="15" hidden="false" customHeight="false" outlineLevel="0" collapsed="false">
      <c r="A12" s="5" t="n">
        <v>10</v>
      </c>
      <c r="B12" s="6" t="s">
        <v>277</v>
      </c>
      <c r="C12" s="6" t="s">
        <v>40</v>
      </c>
      <c r="D12" s="7" t="n">
        <v>1</v>
      </c>
      <c r="E12" s="6" t="s">
        <v>330</v>
      </c>
      <c r="F12" s="6" t="s">
        <v>331</v>
      </c>
    </row>
    <row r="13" customFormat="false" ht="15" hidden="false" customHeight="false" outlineLevel="0" collapsed="false">
      <c r="A13" s="5" t="n">
        <v>11</v>
      </c>
      <c r="B13" s="6" t="s">
        <v>332</v>
      </c>
      <c r="C13" s="6" t="s">
        <v>333</v>
      </c>
      <c r="D13" s="7" t="n">
        <v>1</v>
      </c>
      <c r="E13" s="6" t="s">
        <v>56</v>
      </c>
      <c r="F13" s="6" t="s">
        <v>54</v>
      </c>
    </row>
    <row r="14" customFormat="false" ht="15" hidden="false" customHeight="false" outlineLevel="0" collapsed="false">
      <c r="A14" s="5" t="n">
        <v>12</v>
      </c>
      <c r="B14" s="6" t="s">
        <v>334</v>
      </c>
      <c r="C14" s="6" t="s">
        <v>40</v>
      </c>
      <c r="D14" s="7" t="n">
        <v>1</v>
      </c>
      <c r="E14" s="6" t="s">
        <v>56</v>
      </c>
      <c r="F14" s="6" t="s">
        <v>54</v>
      </c>
    </row>
    <row r="15" customFormat="false" ht="15" hidden="false" customHeight="false" outlineLevel="0" collapsed="false">
      <c r="A15" s="5" t="n">
        <v>13</v>
      </c>
      <c r="B15" s="6" t="s">
        <v>335</v>
      </c>
      <c r="C15" s="6" t="s">
        <v>199</v>
      </c>
      <c r="D15" s="7" t="n">
        <v>1</v>
      </c>
      <c r="E15" s="6" t="s">
        <v>336</v>
      </c>
      <c r="F15" s="6" t="s">
        <v>337</v>
      </c>
    </row>
    <row r="16" customFormat="false" ht="15" hidden="false" customHeight="false" outlineLevel="0" collapsed="false">
      <c r="A16" s="5" t="n">
        <v>14</v>
      </c>
      <c r="B16" s="6" t="s">
        <v>338</v>
      </c>
      <c r="C16" s="6" t="s">
        <v>40</v>
      </c>
      <c r="D16" s="7" t="n">
        <v>1</v>
      </c>
      <c r="E16" s="6" t="s">
        <v>339</v>
      </c>
      <c r="F16" s="6" t="s">
        <v>54</v>
      </c>
    </row>
    <row r="17" customFormat="false" ht="15" hidden="false" customHeight="false" outlineLevel="0" collapsed="false">
      <c r="A17" s="5" t="n">
        <v>15</v>
      </c>
      <c r="B17" s="6" t="s">
        <v>340</v>
      </c>
      <c r="C17" s="6" t="s">
        <v>40</v>
      </c>
      <c r="D17" s="7" t="n">
        <v>1</v>
      </c>
      <c r="E17" s="6" t="s">
        <v>341</v>
      </c>
      <c r="F17" s="6" t="s">
        <v>342</v>
      </c>
    </row>
    <row r="18" customFormat="false" ht="15" hidden="false" customHeight="false" outlineLevel="0" collapsed="false">
      <c r="A18" s="5" t="n">
        <v>16</v>
      </c>
      <c r="B18" s="6" t="s">
        <v>343</v>
      </c>
      <c r="C18" s="6" t="s">
        <v>40</v>
      </c>
      <c r="D18" s="7" t="n">
        <v>1</v>
      </c>
      <c r="E18" s="6" t="s">
        <v>84</v>
      </c>
      <c r="F18" s="6" t="s">
        <v>54</v>
      </c>
    </row>
    <row r="19" customFormat="false" ht="15" hidden="false" customHeight="false" outlineLevel="0" collapsed="false">
      <c r="A19" s="5" t="n">
        <v>17</v>
      </c>
      <c r="B19" s="6" t="s">
        <v>344</v>
      </c>
      <c r="C19" s="6" t="s">
        <v>40</v>
      </c>
      <c r="D19" s="7" t="n">
        <v>1</v>
      </c>
      <c r="E19" s="6" t="s">
        <v>56</v>
      </c>
      <c r="F19" s="6" t="s">
        <v>54</v>
      </c>
    </row>
    <row r="20" customFormat="false" ht="35.05" hidden="false" customHeight="false" outlineLevel="0" collapsed="false">
      <c r="A20" s="5" t="n">
        <v>18</v>
      </c>
      <c r="B20" s="6" t="s">
        <v>345</v>
      </c>
      <c r="C20" s="6" t="s">
        <v>346</v>
      </c>
      <c r="D20" s="7" t="n">
        <v>1</v>
      </c>
      <c r="E20" s="6" t="s">
        <v>347</v>
      </c>
      <c r="F20" s="6" t="s">
        <v>348</v>
      </c>
    </row>
    <row r="21" customFormat="false" ht="23.85" hidden="false" customHeight="false" outlineLevel="0" collapsed="false">
      <c r="A21" s="5" t="n">
        <v>19</v>
      </c>
      <c r="B21" s="6" t="s">
        <v>349</v>
      </c>
      <c r="C21" s="6" t="s">
        <v>350</v>
      </c>
      <c r="D21" s="7" t="n">
        <v>1</v>
      </c>
      <c r="E21" s="6" t="s">
        <v>351</v>
      </c>
      <c r="F21" s="6" t="s">
        <v>352</v>
      </c>
    </row>
    <row r="22" customFormat="false" ht="15" hidden="false" customHeight="false" outlineLevel="0" collapsed="false">
      <c r="A22" s="5" t="n">
        <v>20</v>
      </c>
      <c r="B22" s="6" t="s">
        <v>353</v>
      </c>
      <c r="C22" s="6" t="s">
        <v>40</v>
      </c>
      <c r="D22" s="7" t="n">
        <v>1</v>
      </c>
      <c r="E22" s="6" t="s">
        <v>56</v>
      </c>
      <c r="F22" s="6" t="s">
        <v>54</v>
      </c>
    </row>
    <row r="23" customFormat="false" ht="15" hidden="false" customHeight="false" outlineLevel="0" collapsed="false">
      <c r="A23" s="5" t="n">
        <v>21</v>
      </c>
      <c r="B23" s="6" t="s">
        <v>354</v>
      </c>
      <c r="C23" s="6" t="s">
        <v>40</v>
      </c>
      <c r="D23" s="7" t="n">
        <v>1</v>
      </c>
      <c r="E23" s="6" t="s">
        <v>355</v>
      </c>
      <c r="F23" s="6" t="s">
        <v>54</v>
      </c>
    </row>
    <row r="24" customFormat="false" ht="15" hidden="false" customHeight="false" outlineLevel="0" collapsed="false">
      <c r="A24" s="5" t="n">
        <v>22</v>
      </c>
      <c r="B24" s="6" t="s">
        <v>356</v>
      </c>
      <c r="C24" s="6" t="s">
        <v>40</v>
      </c>
      <c r="D24" s="7" t="n">
        <v>1</v>
      </c>
      <c r="E24" s="6" t="s">
        <v>56</v>
      </c>
      <c r="F24" s="6" t="s">
        <v>54</v>
      </c>
    </row>
    <row r="25" customFormat="false" ht="35.05" hidden="false" customHeight="false" outlineLevel="0" collapsed="false">
      <c r="A25" s="5" t="n">
        <v>23</v>
      </c>
      <c r="B25" s="6" t="s">
        <v>357</v>
      </c>
      <c r="C25" s="6" t="s">
        <v>358</v>
      </c>
      <c r="D25" s="7" t="n">
        <v>1</v>
      </c>
      <c r="E25" s="6" t="s">
        <v>359</v>
      </c>
      <c r="F25" s="6" t="s">
        <v>360</v>
      </c>
    </row>
    <row r="26" customFormat="false" ht="46.25" hidden="false" customHeight="false" outlineLevel="0" collapsed="false">
      <c r="A26" s="5" t="n">
        <v>24</v>
      </c>
      <c r="B26" s="6" t="s">
        <v>272</v>
      </c>
      <c r="C26" s="6" t="s">
        <v>40</v>
      </c>
      <c r="D26" s="8" t="n">
        <v>2</v>
      </c>
      <c r="E26" s="6" t="s">
        <v>361</v>
      </c>
      <c r="F26" s="6" t="s">
        <v>362</v>
      </c>
    </row>
    <row r="27" customFormat="false" ht="15" hidden="false" customHeight="false" outlineLevel="0" collapsed="false">
      <c r="A27" s="5" t="n">
        <v>25</v>
      </c>
      <c r="B27" s="6" t="s">
        <v>363</v>
      </c>
      <c r="C27" s="6" t="s">
        <v>364</v>
      </c>
      <c r="D27" s="7" t="n">
        <v>1</v>
      </c>
      <c r="E27" s="6" t="s">
        <v>365</v>
      </c>
      <c r="F27" s="6" t="s">
        <v>366</v>
      </c>
    </row>
    <row r="28" customFormat="false" ht="15" hidden="false" customHeight="false" outlineLevel="0" collapsed="false">
      <c r="A28" s="5" t="n">
        <v>26</v>
      </c>
      <c r="B28" s="6" t="s">
        <v>367</v>
      </c>
      <c r="C28" s="6" t="s">
        <v>368</v>
      </c>
      <c r="D28" s="8" t="n">
        <v>2</v>
      </c>
      <c r="E28" s="6" t="s">
        <v>369</v>
      </c>
      <c r="F28" s="6" t="s">
        <v>370</v>
      </c>
    </row>
    <row r="29" customFormat="false" ht="23.85" hidden="false" customHeight="false" outlineLevel="0" collapsed="false">
      <c r="A29" s="5" t="n">
        <v>27</v>
      </c>
      <c r="B29" s="6" t="s">
        <v>371</v>
      </c>
      <c r="C29" s="6" t="s">
        <v>40</v>
      </c>
      <c r="D29" s="8" t="n">
        <v>2</v>
      </c>
      <c r="E29" s="6" t="s">
        <v>372</v>
      </c>
      <c r="F29" s="6" t="s">
        <v>373</v>
      </c>
    </row>
    <row r="30" customFormat="false" ht="35.05" hidden="false" customHeight="false" outlineLevel="0" collapsed="false">
      <c r="A30" s="5" t="n">
        <v>28</v>
      </c>
      <c r="B30" s="6" t="s">
        <v>374</v>
      </c>
      <c r="C30" s="6" t="s">
        <v>40</v>
      </c>
      <c r="D30" s="8" t="n">
        <v>2</v>
      </c>
      <c r="E30" s="6" t="s">
        <v>375</v>
      </c>
      <c r="F30" s="6" t="s">
        <v>376</v>
      </c>
    </row>
    <row r="31" customFormat="false" ht="15" hidden="false" customHeight="false" outlineLevel="0" collapsed="false">
      <c r="A31" s="5" t="n">
        <v>29</v>
      </c>
      <c r="B31" s="6" t="s">
        <v>377</v>
      </c>
      <c r="C31" s="6" t="s">
        <v>40</v>
      </c>
      <c r="D31" s="8" t="n">
        <v>2</v>
      </c>
      <c r="E31" s="6" t="s">
        <v>378</v>
      </c>
      <c r="F31" s="6" t="s">
        <v>379</v>
      </c>
    </row>
    <row r="32" customFormat="false" ht="15" hidden="false" customHeight="false" outlineLevel="0" collapsed="false">
      <c r="A32" s="5" t="n">
        <v>30</v>
      </c>
      <c r="B32" s="6" t="s">
        <v>380</v>
      </c>
      <c r="C32" s="6" t="s">
        <v>40</v>
      </c>
      <c r="D32" s="8" t="n">
        <v>2</v>
      </c>
      <c r="E32" s="6" t="s">
        <v>381</v>
      </c>
      <c r="F32" s="6" t="s">
        <v>382</v>
      </c>
    </row>
    <row r="33" customFormat="false" ht="23.85" hidden="false" customHeight="false" outlineLevel="0" collapsed="false">
      <c r="A33" s="5" t="n">
        <v>31</v>
      </c>
      <c r="B33" s="6" t="s">
        <v>383</v>
      </c>
      <c r="C33" s="6" t="s">
        <v>384</v>
      </c>
      <c r="D33" s="9" t="n">
        <v>3</v>
      </c>
      <c r="E33" s="6" t="s">
        <v>385</v>
      </c>
      <c r="F33" s="6" t="s">
        <v>386</v>
      </c>
    </row>
    <row r="34" customFormat="false" ht="15" hidden="false" customHeight="false" outlineLevel="0" collapsed="false">
      <c r="A34" s="5" t="n">
        <v>32</v>
      </c>
      <c r="B34" s="6" t="s">
        <v>387</v>
      </c>
      <c r="C34" s="6" t="s">
        <v>388</v>
      </c>
      <c r="D34" s="9" t="n">
        <v>3</v>
      </c>
      <c r="E34" s="6" t="s">
        <v>389</v>
      </c>
      <c r="F34" s="6" t="s">
        <v>390</v>
      </c>
    </row>
    <row r="35" customFormat="false" ht="15" hidden="false" customHeight="false" outlineLevel="0" collapsed="false">
      <c r="A35" s="5" t="n">
        <v>33</v>
      </c>
      <c r="B35" s="6" t="s">
        <v>391</v>
      </c>
      <c r="C35" s="6" t="s">
        <v>388</v>
      </c>
      <c r="D35" s="9" t="n">
        <v>3</v>
      </c>
      <c r="E35" s="6" t="s">
        <v>392</v>
      </c>
      <c r="F35" s="6" t="s">
        <v>299</v>
      </c>
    </row>
    <row r="37" customFormat="false" ht="15" hidden="false" customHeight="false" outlineLevel="0" collapsed="false">
      <c r="B37" s="10" t="s">
        <v>306</v>
      </c>
    </row>
    <row r="38" customFormat="false" ht="15" hidden="false" customHeight="false" outlineLevel="0" collapsed="false">
      <c r="B38" s="11" t="s">
        <v>307</v>
      </c>
      <c r="C38" s="11" t="n">
        <f aca="false">COUNTIF(D3:D35,1)</f>
        <v>24</v>
      </c>
    </row>
    <row r="39" customFormat="false" ht="15" hidden="false" customHeight="false" outlineLevel="0" collapsed="false">
      <c r="B39" s="11" t="s">
        <v>308</v>
      </c>
      <c r="C39" s="11" t="n">
        <f aca="false">COUNTIF(D3:D35,2)</f>
        <v>6</v>
      </c>
    </row>
    <row r="40" customFormat="false" ht="15" hidden="false" customHeight="false" outlineLevel="0" collapsed="false">
      <c r="B40" s="11" t="s">
        <v>309</v>
      </c>
      <c r="C40" s="11" t="n">
        <f aca="false">COUNTIF(D3:D35,3)</f>
        <v>3</v>
      </c>
    </row>
    <row r="41" customFormat="false" ht="15" hidden="false" customHeight="false" outlineLevel="0" collapsed="false">
      <c r="B41" s="10" t="s">
        <v>310</v>
      </c>
      <c r="C41" s="10" t="n">
        <f aca="false">COUNTA(B3:B35)</f>
        <v>33</v>
      </c>
    </row>
  </sheetData>
  <autoFilter ref="A2:F35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0"/>
    <col collapsed="false" customWidth="true" hidden="false" outlineLevel="0" max="3" min="3" style="0" width="34"/>
    <col collapsed="false" customWidth="true" hidden="false" outlineLevel="0" max="4" min="4" style="0" width="6"/>
    <col collapsed="false" customWidth="true" hidden="false" outlineLevel="0" max="5" min="5" style="0" width="74"/>
    <col collapsed="false" customWidth="true" hidden="false" outlineLevel="0" max="6" min="6" style="0" width="56"/>
  </cols>
  <sheetData>
    <row r="1" customFormat="false" ht="15" hidden="false" customHeight="false" outlineLevel="0" collapsed="false">
      <c r="A1" s="3" t="s">
        <v>393</v>
      </c>
      <c r="B1" s="3"/>
      <c r="C1" s="3"/>
      <c r="D1" s="3"/>
      <c r="E1" s="3"/>
      <c r="F1" s="3"/>
    </row>
    <row r="2" customFormat="false" ht="15" hidden="false" customHeight="false" outlineLevel="0" collapsed="false">
      <c r="A2" s="4" t="s">
        <v>33</v>
      </c>
      <c r="B2" s="4" t="s">
        <v>34</v>
      </c>
      <c r="C2" s="4" t="s">
        <v>35</v>
      </c>
      <c r="D2" s="4" t="s">
        <v>36</v>
      </c>
      <c r="E2" s="4" t="s">
        <v>37</v>
      </c>
      <c r="F2" s="4" t="s">
        <v>38</v>
      </c>
    </row>
    <row r="3" customFormat="false" ht="15" hidden="false" customHeight="false" outlineLevel="0" collapsed="false">
      <c r="A3" s="5" t="n">
        <v>1</v>
      </c>
      <c r="B3" s="6" t="s">
        <v>394</v>
      </c>
      <c r="C3" s="6" t="s">
        <v>40</v>
      </c>
      <c r="D3" s="7" t="n">
        <v>1</v>
      </c>
      <c r="E3" s="6" t="s">
        <v>395</v>
      </c>
      <c r="F3" s="6" t="s">
        <v>396</v>
      </c>
    </row>
    <row r="4" customFormat="false" ht="23.85" hidden="false" customHeight="false" outlineLevel="0" collapsed="false">
      <c r="A4" s="5" t="n">
        <v>2</v>
      </c>
      <c r="B4" s="6" t="s">
        <v>397</v>
      </c>
      <c r="C4" s="6" t="s">
        <v>398</v>
      </c>
      <c r="D4" s="7" t="n">
        <v>1</v>
      </c>
      <c r="E4" s="6" t="s">
        <v>399</v>
      </c>
      <c r="F4" s="6" t="s">
        <v>400</v>
      </c>
    </row>
    <row r="5" customFormat="false" ht="15" hidden="false" customHeight="false" outlineLevel="0" collapsed="false">
      <c r="A5" s="5" t="n">
        <v>3</v>
      </c>
      <c r="B5" s="6" t="s">
        <v>401</v>
      </c>
      <c r="C5" s="6" t="s">
        <v>199</v>
      </c>
      <c r="D5" s="8" t="n">
        <v>2</v>
      </c>
      <c r="E5" s="6" t="s">
        <v>402</v>
      </c>
      <c r="F5" s="6" t="s">
        <v>403</v>
      </c>
    </row>
    <row r="6" customFormat="false" ht="15" hidden="false" customHeight="false" outlineLevel="0" collapsed="false">
      <c r="A6" s="5" t="n">
        <v>4</v>
      </c>
      <c r="B6" s="6" t="s">
        <v>404</v>
      </c>
      <c r="C6" s="6" t="s">
        <v>199</v>
      </c>
      <c r="D6" s="8" t="n">
        <v>2</v>
      </c>
      <c r="E6" s="6" t="s">
        <v>405</v>
      </c>
      <c r="F6" s="6" t="s">
        <v>406</v>
      </c>
    </row>
    <row r="7" customFormat="false" ht="15" hidden="false" customHeight="false" outlineLevel="0" collapsed="false">
      <c r="A7" s="5" t="n">
        <v>5</v>
      </c>
      <c r="B7" s="6" t="s">
        <v>407</v>
      </c>
      <c r="C7" s="6" t="s">
        <v>199</v>
      </c>
      <c r="D7" s="9" t="n">
        <v>3</v>
      </c>
      <c r="E7" s="6" t="s">
        <v>408</v>
      </c>
      <c r="F7" s="6" t="s">
        <v>409</v>
      </c>
    </row>
    <row r="8" customFormat="false" ht="23.85" hidden="false" customHeight="false" outlineLevel="0" collapsed="false">
      <c r="A8" s="5" t="n">
        <v>6</v>
      </c>
      <c r="B8" s="6" t="s">
        <v>410</v>
      </c>
      <c r="C8" s="6" t="s">
        <v>40</v>
      </c>
      <c r="D8" s="8" t="n">
        <v>2</v>
      </c>
      <c r="E8" s="6" t="s">
        <v>411</v>
      </c>
      <c r="F8" s="6" t="s">
        <v>412</v>
      </c>
    </row>
    <row r="9" customFormat="false" ht="23.85" hidden="false" customHeight="false" outlineLevel="0" collapsed="false">
      <c r="A9" s="5" t="n">
        <v>7</v>
      </c>
      <c r="B9" s="6" t="s">
        <v>413</v>
      </c>
      <c r="C9" s="6" t="s">
        <v>414</v>
      </c>
      <c r="D9" s="8" t="n">
        <v>2</v>
      </c>
      <c r="E9" s="6" t="s">
        <v>415</v>
      </c>
      <c r="F9" s="6" t="s">
        <v>416</v>
      </c>
    </row>
    <row r="10" customFormat="false" ht="15" hidden="false" customHeight="false" outlineLevel="0" collapsed="false">
      <c r="A10" s="5" t="n">
        <v>8</v>
      </c>
      <c r="B10" s="6" t="s">
        <v>417</v>
      </c>
      <c r="C10" s="6" t="s">
        <v>40</v>
      </c>
      <c r="D10" s="9" t="n">
        <v>3</v>
      </c>
      <c r="E10" s="6" t="s">
        <v>418</v>
      </c>
      <c r="F10" s="6" t="s">
        <v>419</v>
      </c>
    </row>
    <row r="11" customFormat="false" ht="15" hidden="false" customHeight="false" outlineLevel="0" collapsed="false">
      <c r="A11" s="5" t="n">
        <v>9</v>
      </c>
      <c r="B11" s="6" t="s">
        <v>420</v>
      </c>
      <c r="C11" s="6" t="s">
        <v>199</v>
      </c>
      <c r="D11" s="9" t="n">
        <v>3</v>
      </c>
      <c r="E11" s="6" t="s">
        <v>399</v>
      </c>
      <c r="F11" s="6" t="s">
        <v>421</v>
      </c>
    </row>
    <row r="12" customFormat="false" ht="15" hidden="false" customHeight="false" outlineLevel="0" collapsed="false">
      <c r="A12" s="5" t="n">
        <v>10</v>
      </c>
      <c r="B12" s="6" t="s">
        <v>422</v>
      </c>
      <c r="C12" s="6" t="s">
        <v>199</v>
      </c>
      <c r="D12" s="9" t="n">
        <v>3</v>
      </c>
      <c r="E12" s="6" t="s">
        <v>423</v>
      </c>
      <c r="F12" s="6" t="s">
        <v>421</v>
      </c>
    </row>
    <row r="13" customFormat="false" ht="15" hidden="false" customHeight="false" outlineLevel="0" collapsed="false">
      <c r="A13" s="5" t="n">
        <v>11</v>
      </c>
      <c r="B13" s="6" t="s">
        <v>424</v>
      </c>
      <c r="C13" s="6" t="s">
        <v>199</v>
      </c>
      <c r="D13" s="7" t="n">
        <v>1</v>
      </c>
      <c r="E13" s="6" t="s">
        <v>425</v>
      </c>
      <c r="F13" s="6" t="s">
        <v>426</v>
      </c>
    </row>
    <row r="14" customFormat="false" ht="15" hidden="false" customHeight="false" outlineLevel="0" collapsed="false">
      <c r="A14" s="5" t="n">
        <v>12</v>
      </c>
      <c r="B14" s="6" t="s">
        <v>427</v>
      </c>
      <c r="C14" s="6" t="s">
        <v>40</v>
      </c>
      <c r="D14" s="7" t="n">
        <v>1</v>
      </c>
      <c r="E14" s="6" t="s">
        <v>428</v>
      </c>
      <c r="F14" s="6" t="s">
        <v>429</v>
      </c>
    </row>
    <row r="15" customFormat="false" ht="15" hidden="false" customHeight="false" outlineLevel="0" collapsed="false">
      <c r="A15" s="5" t="n">
        <v>13</v>
      </c>
      <c r="B15" s="6" t="s">
        <v>430</v>
      </c>
      <c r="C15" s="6" t="s">
        <v>199</v>
      </c>
      <c r="D15" s="7" t="n">
        <v>1</v>
      </c>
      <c r="E15" s="6" t="s">
        <v>56</v>
      </c>
      <c r="F15" s="6" t="s">
        <v>431</v>
      </c>
    </row>
    <row r="16" customFormat="false" ht="15" hidden="false" customHeight="false" outlineLevel="0" collapsed="false">
      <c r="A16" s="5" t="n">
        <v>14</v>
      </c>
      <c r="B16" s="6" t="s">
        <v>432</v>
      </c>
      <c r="C16" s="6" t="s">
        <v>433</v>
      </c>
      <c r="D16" s="7" t="n">
        <v>1</v>
      </c>
      <c r="E16" s="6" t="s">
        <v>84</v>
      </c>
      <c r="F16" s="6" t="s">
        <v>431</v>
      </c>
    </row>
    <row r="17" customFormat="false" ht="15" hidden="false" customHeight="false" outlineLevel="0" collapsed="false">
      <c r="A17" s="5" t="n">
        <v>15</v>
      </c>
      <c r="B17" s="6" t="s">
        <v>434</v>
      </c>
      <c r="C17" s="6" t="s">
        <v>435</v>
      </c>
      <c r="D17" s="7" t="n">
        <v>1</v>
      </c>
      <c r="E17" s="6" t="s">
        <v>56</v>
      </c>
      <c r="F17" s="6" t="s">
        <v>431</v>
      </c>
    </row>
    <row r="18" customFormat="false" ht="15" hidden="false" customHeight="false" outlineLevel="0" collapsed="false">
      <c r="A18" s="5" t="n">
        <v>16</v>
      </c>
      <c r="B18" s="6" t="s">
        <v>436</v>
      </c>
      <c r="C18" s="6" t="s">
        <v>40</v>
      </c>
      <c r="D18" s="7" t="n">
        <v>1</v>
      </c>
      <c r="E18" s="6" t="s">
        <v>56</v>
      </c>
      <c r="F18" s="6" t="s">
        <v>431</v>
      </c>
    </row>
    <row r="19" customFormat="false" ht="15" hidden="false" customHeight="false" outlineLevel="0" collapsed="false">
      <c r="A19" s="5" t="n">
        <v>17</v>
      </c>
      <c r="B19" s="6" t="s">
        <v>437</v>
      </c>
      <c r="C19" s="6" t="s">
        <v>40</v>
      </c>
      <c r="D19" s="7" t="n">
        <v>1</v>
      </c>
      <c r="E19" s="6" t="s">
        <v>56</v>
      </c>
      <c r="F19" s="6" t="s">
        <v>431</v>
      </c>
    </row>
    <row r="20" customFormat="false" ht="23.85" hidden="false" customHeight="false" outlineLevel="0" collapsed="false">
      <c r="A20" s="5" t="n">
        <v>18</v>
      </c>
      <c r="B20" s="6" t="s">
        <v>438</v>
      </c>
      <c r="C20" s="6" t="s">
        <v>439</v>
      </c>
      <c r="D20" s="7" t="n">
        <v>1</v>
      </c>
      <c r="E20" s="6" t="s">
        <v>56</v>
      </c>
      <c r="F20" s="6" t="s">
        <v>54</v>
      </c>
    </row>
    <row r="22" customFormat="false" ht="15" hidden="false" customHeight="false" outlineLevel="0" collapsed="false">
      <c r="B22" s="10" t="s">
        <v>306</v>
      </c>
    </row>
    <row r="23" customFormat="false" ht="15" hidden="false" customHeight="false" outlineLevel="0" collapsed="false">
      <c r="B23" s="11" t="s">
        <v>307</v>
      </c>
      <c r="C23" s="11" t="n">
        <f aca="false">COUNTIF(D3:D20,1)</f>
        <v>10</v>
      </c>
    </row>
    <row r="24" customFormat="false" ht="15" hidden="false" customHeight="false" outlineLevel="0" collapsed="false">
      <c r="B24" s="11" t="s">
        <v>308</v>
      </c>
      <c r="C24" s="11" t="n">
        <f aca="false">COUNTIF(D3:D20,2)</f>
        <v>4</v>
      </c>
    </row>
    <row r="25" customFormat="false" ht="15" hidden="false" customHeight="false" outlineLevel="0" collapsed="false">
      <c r="B25" s="11" t="s">
        <v>309</v>
      </c>
      <c r="C25" s="11" t="n">
        <f aca="false">COUNTIF(D3:D20,3)</f>
        <v>4</v>
      </c>
    </row>
    <row r="26" customFormat="false" ht="15" hidden="false" customHeight="false" outlineLevel="0" collapsed="false">
      <c r="B26" s="10" t="s">
        <v>310</v>
      </c>
      <c r="C26" s="10" t="n">
        <f aca="false">COUNTA(B3:B20)</f>
        <v>18</v>
      </c>
    </row>
  </sheetData>
  <autoFilter ref="A2:F20"/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8"/>
    <col collapsed="false" customWidth="true" hidden="false" outlineLevel="0" max="4" min="4" style="0" width="52"/>
    <col collapsed="false" customWidth="true" hidden="false" outlineLevel="0" max="5" min="5" style="0" width="28"/>
    <col collapsed="false" customWidth="true" hidden="false" outlineLevel="0" max="6" min="6" style="0" width="66"/>
  </cols>
  <sheetData>
    <row r="1" customFormat="false" ht="15" hidden="false" customHeight="false" outlineLevel="0" collapsed="false">
      <c r="A1" s="3" t="s">
        <v>440</v>
      </c>
      <c r="B1" s="3"/>
      <c r="C1" s="3"/>
      <c r="D1" s="3"/>
      <c r="E1" s="3"/>
    </row>
    <row r="2" customFormat="false" ht="15" hidden="false" customHeight="false" outlineLevel="0" collapsed="false">
      <c r="A2" s="4" t="s">
        <v>441</v>
      </c>
      <c r="B2" s="4" t="s">
        <v>442</v>
      </c>
      <c r="C2" s="4" t="s">
        <v>443</v>
      </c>
      <c r="D2" s="4" t="s">
        <v>444</v>
      </c>
      <c r="E2" s="4" t="s">
        <v>445</v>
      </c>
      <c r="F2" s="4" t="s">
        <v>446</v>
      </c>
    </row>
    <row r="3" customFormat="false" ht="23.85" hidden="false" customHeight="false" outlineLevel="0" collapsed="false">
      <c r="A3" s="5" t="n">
        <v>3</v>
      </c>
      <c r="B3" s="5" t="s">
        <v>447</v>
      </c>
      <c r="C3" s="5" t="n">
        <v>100</v>
      </c>
      <c r="D3" s="6" t="s">
        <v>448</v>
      </c>
      <c r="E3" s="6" t="s">
        <v>269</v>
      </c>
      <c r="F3" s="6" t="s">
        <v>449</v>
      </c>
    </row>
    <row r="4" customFormat="false" ht="23.85" hidden="false" customHeight="false" outlineLevel="0" collapsed="false">
      <c r="A4" s="5" t="n">
        <v>17</v>
      </c>
      <c r="B4" s="5" t="s">
        <v>447</v>
      </c>
      <c r="C4" s="5" t="n">
        <v>93</v>
      </c>
      <c r="D4" s="6" t="s">
        <v>450</v>
      </c>
      <c r="E4" s="6" t="s">
        <v>282</v>
      </c>
      <c r="F4" s="6" t="s">
        <v>451</v>
      </c>
    </row>
    <row r="5" customFormat="false" ht="23.85" hidden="false" customHeight="false" outlineLevel="0" collapsed="false">
      <c r="A5" s="5" t="n">
        <v>83</v>
      </c>
      <c r="B5" s="5" t="s">
        <v>447</v>
      </c>
      <c r="C5" s="5" t="n">
        <v>83</v>
      </c>
      <c r="D5" s="6" t="s">
        <v>452</v>
      </c>
      <c r="E5" s="6" t="s">
        <v>453</v>
      </c>
      <c r="F5" s="6" t="s">
        <v>454</v>
      </c>
    </row>
    <row r="6" customFormat="false" ht="23.85" hidden="false" customHeight="false" outlineLevel="0" collapsed="false">
      <c r="A6" s="5" t="n">
        <v>84</v>
      </c>
      <c r="B6" s="5" t="s">
        <v>447</v>
      </c>
      <c r="C6" s="5" t="n">
        <v>83</v>
      </c>
      <c r="D6" s="6" t="s">
        <v>455</v>
      </c>
      <c r="E6" s="6" t="s">
        <v>290</v>
      </c>
      <c r="F6" s="6" t="s">
        <v>456</v>
      </c>
    </row>
    <row r="7" customFormat="false" ht="15" hidden="false" customHeight="false" outlineLevel="0" collapsed="false">
      <c r="A7" s="5" t="n">
        <v>85</v>
      </c>
      <c r="B7" s="5" t="s">
        <v>447</v>
      </c>
      <c r="C7" s="5" t="n">
        <v>83</v>
      </c>
      <c r="D7" s="6" t="s">
        <v>457</v>
      </c>
      <c r="E7" s="6" t="s">
        <v>290</v>
      </c>
      <c r="F7" s="6" t="s">
        <v>458</v>
      </c>
    </row>
    <row r="8" customFormat="false" ht="15" hidden="false" customHeight="false" outlineLevel="0" collapsed="false">
      <c r="A8" s="5" t="n">
        <v>87</v>
      </c>
      <c r="B8" s="5" t="s">
        <v>447</v>
      </c>
      <c r="C8" s="5" t="n">
        <v>83</v>
      </c>
      <c r="D8" s="6" t="s">
        <v>459</v>
      </c>
      <c r="E8" s="6" t="s">
        <v>168</v>
      </c>
      <c r="F8" s="6" t="s">
        <v>460</v>
      </c>
    </row>
    <row r="9" customFormat="false" ht="15" hidden="false" customHeight="false" outlineLevel="0" collapsed="false">
      <c r="A9" s="5" t="n">
        <v>89</v>
      </c>
      <c r="B9" s="5" t="s">
        <v>447</v>
      </c>
      <c r="C9" s="5" t="n">
        <v>83</v>
      </c>
      <c r="D9" s="6" t="s">
        <v>461</v>
      </c>
      <c r="E9" s="6" t="s">
        <v>462</v>
      </c>
      <c r="F9" s="6" t="s">
        <v>463</v>
      </c>
    </row>
    <row r="10" customFormat="false" ht="15" hidden="false" customHeight="false" outlineLevel="0" collapsed="false">
      <c r="A10" s="5" t="n">
        <v>91</v>
      </c>
      <c r="B10" s="5" t="s">
        <v>447</v>
      </c>
      <c r="C10" s="5" t="n">
        <v>83</v>
      </c>
      <c r="D10" s="6" t="s">
        <v>464</v>
      </c>
      <c r="E10" s="6" t="s">
        <v>282</v>
      </c>
      <c r="F10" s="6" t="s">
        <v>465</v>
      </c>
    </row>
    <row r="11" customFormat="false" ht="15" hidden="false" customHeight="false" outlineLevel="0" collapsed="false">
      <c r="A11" s="5" t="n">
        <v>140</v>
      </c>
      <c r="B11" s="5" t="s">
        <v>447</v>
      </c>
      <c r="C11" s="5" t="n">
        <v>77</v>
      </c>
      <c r="D11" s="6" t="s">
        <v>466</v>
      </c>
      <c r="E11" s="6" t="s">
        <v>292</v>
      </c>
      <c r="F11" s="6" t="s">
        <v>467</v>
      </c>
    </row>
    <row r="12" customFormat="false" ht="23.85" hidden="false" customHeight="false" outlineLevel="0" collapsed="false">
      <c r="A12" s="5" t="n">
        <v>170</v>
      </c>
      <c r="B12" s="5" t="s">
        <v>447</v>
      </c>
      <c r="C12" s="5" t="n">
        <v>77</v>
      </c>
      <c r="D12" s="6" t="s">
        <v>468</v>
      </c>
      <c r="E12" s="6" t="s">
        <v>304</v>
      </c>
      <c r="F12" s="6" t="s">
        <v>469</v>
      </c>
    </row>
    <row r="14" customFormat="false" ht="15" hidden="false" customHeight="false" outlineLevel="0" collapsed="false">
      <c r="A14" s="10" t="s">
        <v>470</v>
      </c>
    </row>
    <row r="15" customFormat="false" ht="15" hidden="false" customHeight="false" outlineLevel="0" collapsed="false">
      <c r="A15" s="5" t="n">
        <v>76</v>
      </c>
      <c r="B15" s="5" t="s">
        <v>471</v>
      </c>
      <c r="C15" s="5"/>
      <c r="D15" s="6" t="s">
        <v>472</v>
      </c>
      <c r="E15" s="5"/>
      <c r="F15" s="6" t="s">
        <v>473</v>
      </c>
    </row>
    <row r="16" customFormat="false" ht="23.85" hidden="false" customHeight="false" outlineLevel="0" collapsed="false">
      <c r="A16" s="5" t="n">
        <v>77</v>
      </c>
      <c r="B16" s="5" t="s">
        <v>471</v>
      </c>
      <c r="C16" s="5"/>
      <c r="D16" s="6" t="s">
        <v>474</v>
      </c>
      <c r="E16" s="5"/>
      <c r="F16" s="6" t="s">
        <v>475</v>
      </c>
    </row>
    <row r="17" customFormat="false" ht="15" hidden="false" customHeight="false" outlineLevel="0" collapsed="false">
      <c r="A17" s="5" t="n">
        <v>78</v>
      </c>
      <c r="B17" s="5" t="s">
        <v>471</v>
      </c>
      <c r="C17" s="5"/>
      <c r="D17" s="6" t="s">
        <v>476</v>
      </c>
      <c r="E17" s="5"/>
      <c r="F17" s="6" t="s">
        <v>473</v>
      </c>
    </row>
    <row r="18" customFormat="false" ht="15" hidden="false" customHeight="false" outlineLevel="0" collapsed="false">
      <c r="A18" s="5" t="n">
        <v>79</v>
      </c>
      <c r="B18" s="5" t="s">
        <v>471</v>
      </c>
      <c r="C18" s="5"/>
      <c r="D18" s="6" t="s">
        <v>477</v>
      </c>
      <c r="E18" s="5"/>
      <c r="F18" s="6" t="s">
        <v>473</v>
      </c>
    </row>
    <row r="19" customFormat="false" ht="15" hidden="false" customHeight="false" outlineLevel="0" collapsed="false">
      <c r="A19" s="5" t="n">
        <v>80</v>
      </c>
      <c r="B19" s="5" t="s">
        <v>471</v>
      </c>
      <c r="C19" s="5"/>
      <c r="D19" s="6" t="s">
        <v>478</v>
      </c>
      <c r="E19" s="5"/>
      <c r="F19" s="6" t="s">
        <v>473</v>
      </c>
    </row>
    <row r="20" customFormat="false" ht="15" hidden="false" customHeight="false" outlineLevel="0" collapsed="false">
      <c r="A20" s="5" t="n">
        <v>180</v>
      </c>
      <c r="B20" s="5" t="s">
        <v>471</v>
      </c>
      <c r="C20" s="5"/>
      <c r="D20" s="6" t="s">
        <v>479</v>
      </c>
      <c r="E20" s="5"/>
      <c r="F20" s="6" t="s">
        <v>473</v>
      </c>
    </row>
    <row r="21" customFormat="false" ht="15" hidden="false" customHeight="false" outlineLevel="0" collapsed="false">
      <c r="A21" s="5" t="n">
        <v>195</v>
      </c>
      <c r="B21" s="5" t="s">
        <v>471</v>
      </c>
      <c r="C21" s="5"/>
      <c r="D21" s="6" t="s">
        <v>480</v>
      </c>
      <c r="E21" s="5"/>
      <c r="F21" s="6" t="s">
        <v>481</v>
      </c>
    </row>
    <row r="22" customFormat="false" ht="15" hidden="false" customHeight="false" outlineLevel="0" collapsed="false">
      <c r="A22" s="5" t="n">
        <v>197</v>
      </c>
      <c r="B22" s="5" t="s">
        <v>471</v>
      </c>
      <c r="C22" s="5"/>
      <c r="D22" s="6" t="s">
        <v>482</v>
      </c>
      <c r="E22" s="5"/>
      <c r="F22" s="6" t="s">
        <v>483</v>
      </c>
    </row>
    <row r="23" customFormat="false" ht="15" hidden="false" customHeight="false" outlineLevel="0" collapsed="false">
      <c r="A23" s="5" t="n">
        <v>203</v>
      </c>
      <c r="B23" s="5" t="s">
        <v>471</v>
      </c>
      <c r="C23" s="5"/>
      <c r="D23" s="6" t="s">
        <v>484</v>
      </c>
      <c r="E23" s="5"/>
      <c r="F23" s="6" t="s">
        <v>473</v>
      </c>
    </row>
    <row r="24" customFormat="false" ht="15" hidden="false" customHeight="false" outlineLevel="0" collapsed="false">
      <c r="A24" s="5" t="n">
        <v>108</v>
      </c>
      <c r="B24" s="5" t="s">
        <v>485</v>
      </c>
      <c r="C24" s="5"/>
      <c r="D24" s="6" t="s">
        <v>486</v>
      </c>
      <c r="E24" s="5"/>
      <c r="F24" s="6" t="s">
        <v>487</v>
      </c>
    </row>
    <row r="25" customFormat="false" ht="15" hidden="false" customHeight="false" outlineLevel="0" collapsed="false">
      <c r="A25" s="5" t="n">
        <v>25</v>
      </c>
      <c r="B25" s="5" t="s">
        <v>447</v>
      </c>
      <c r="C25" s="5"/>
      <c r="D25" s="6" t="s">
        <v>488</v>
      </c>
      <c r="E25" s="5"/>
      <c r="F25" s="6" t="s">
        <v>489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2026-08-31T10:25:49Z</dcterms:created>
  <dc:creator>openpyxl</dc:creator>
  <dc:description/>
  <dc:language>en-US</dc:language>
  <cp:lastModifiedBy/>
  <dcterms:modified xsi:type="dcterms:W3CDTF">2026-08-31T10:25:49Z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